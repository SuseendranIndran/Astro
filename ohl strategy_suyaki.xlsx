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HL Strategy" sheetId="1" r:id="rId4"/>
    <sheet state="visible" name="Sheet2" sheetId="2" r:id="rId5"/>
    <sheet state="visible" name="Copy of OHL Strategy" sheetId="3" r:id="rId6"/>
  </sheets>
  <definedNames/>
  <calcPr/>
  <extLst>
    <ext uri="GoogleSheetsCustomDataVersion2">
      <go:sheetsCustomData xmlns:go="http://customooxmlschemas.google.com/" r:id="rId7" roundtripDataChecksum="Rtvw0o3Xm2w+8cBOsJv94YI8vwJAPSWKl0w2mcnD6FU="/>
    </ext>
  </extLst>
</workbook>
</file>

<file path=xl/sharedStrings.xml><?xml version="1.0" encoding="utf-8"?>
<sst xmlns="http://schemas.openxmlformats.org/spreadsheetml/2006/main" count="3211" uniqueCount="1557">
  <si>
    <t>share market</t>
  </si>
  <si>
    <t xml:space="preserve">INTRADAY OHL STRATEGY </t>
  </si>
  <si>
    <t>STOCK NAME</t>
  </si>
  <si>
    <t>CMP</t>
  </si>
  <si>
    <t>OPEN</t>
  </si>
  <si>
    <t>HIGH</t>
  </si>
  <si>
    <t>LOW</t>
  </si>
  <si>
    <t>SIGNAL(BUY/SELL)</t>
  </si>
  <si>
    <t>PRE CLOSE</t>
  </si>
  <si>
    <t>GAP UP/GAP DOWN</t>
  </si>
  <si>
    <t>PIVOT</t>
  </si>
  <si>
    <t>R1</t>
  </si>
  <si>
    <t>S1</t>
  </si>
  <si>
    <t>R2</t>
  </si>
  <si>
    <t>S2</t>
  </si>
  <si>
    <t>ADANIENT</t>
  </si>
  <si>
    <t>ADANIPORTS</t>
  </si>
  <si>
    <t>APOLLOHOSP</t>
  </si>
  <si>
    <t>ASIANPAINT</t>
  </si>
  <si>
    <t>AXISBANK</t>
  </si>
  <si>
    <t>BAJAJ-AUTO</t>
  </si>
  <si>
    <t>BAJFINANCE</t>
  </si>
  <si>
    <t>BAJAJFINSV</t>
  </si>
  <si>
    <t>BPCL</t>
  </si>
  <si>
    <t>BHARTIARTL</t>
  </si>
  <si>
    <t>BRITANNIA</t>
  </si>
  <si>
    <t>CIPLA</t>
  </si>
  <si>
    <t>COALINDIA</t>
  </si>
  <si>
    <t>DIVISLAB</t>
  </si>
  <si>
    <t>DRREDDY</t>
  </si>
  <si>
    <t>EICHERMOT</t>
  </si>
  <si>
    <t>GRASIM</t>
  </si>
  <si>
    <t>HCLTECH</t>
  </si>
  <si>
    <t>HDFCBANK</t>
  </si>
  <si>
    <t>HDFCLIFE</t>
  </si>
  <si>
    <t>HEROMOTOCO</t>
  </si>
  <si>
    <t>HINDALCO</t>
  </si>
  <si>
    <t>#N/A</t>
  </si>
  <si>
    <t>HINDUNILVR</t>
  </si>
  <si>
    <t>HDFC</t>
  </si>
  <si>
    <t>ICICIBANK</t>
  </si>
  <si>
    <t>ITC</t>
  </si>
  <si>
    <t>INDUSINDBK</t>
  </si>
  <si>
    <t>INFY</t>
  </si>
  <si>
    <t>JSWSTEEL</t>
  </si>
  <si>
    <t>KOTAKBANK</t>
  </si>
  <si>
    <t>LT</t>
  </si>
  <si>
    <t>M&amp;M</t>
  </si>
  <si>
    <t>MARUTI</t>
  </si>
  <si>
    <t>NTPC</t>
  </si>
  <si>
    <t>NESTLEIND</t>
  </si>
  <si>
    <t>ONGC</t>
  </si>
  <si>
    <t>POWERGRID</t>
  </si>
  <si>
    <t>RELIANCE</t>
  </si>
  <si>
    <t>SBILIFE</t>
  </si>
  <si>
    <t>SBIN</t>
  </si>
  <si>
    <t>SUNPHARMA</t>
  </si>
  <si>
    <t>TCS</t>
  </si>
  <si>
    <t>TATACONSUM</t>
  </si>
  <si>
    <t>TATAMOTORS</t>
  </si>
  <si>
    <t>TATASTEEL</t>
  </si>
  <si>
    <t>TECHM</t>
  </si>
  <si>
    <t>ULTRACEMCO</t>
  </si>
  <si>
    <t>WIPRO</t>
  </si>
  <si>
    <t>ZEEL</t>
  </si>
  <si>
    <t>EMBASSY</t>
  </si>
  <si>
    <t>DMART</t>
  </si>
  <si>
    <t>ADANIGREEN</t>
  </si>
  <si>
    <t>TITAN</t>
  </si>
  <si>
    <t>ADANITRANS</t>
  </si>
  <si>
    <t>ATGL</t>
  </si>
  <si>
    <t>TATAMTRDVR</t>
  </si>
  <si>
    <t>HINDZINC</t>
  </si>
  <si>
    <t>PIDILITIND</t>
  </si>
  <si>
    <t>LTI</t>
  </si>
  <si>
    <t>VEDL</t>
  </si>
  <si>
    <t>IOC</t>
  </si>
  <si>
    <t>ZOMATO</t>
  </si>
  <si>
    <t>DABUR</t>
  </si>
  <si>
    <t>DLF</t>
  </si>
  <si>
    <t>SHREECEM</t>
  </si>
  <si>
    <t>GODREJCP</t>
  </si>
  <si>
    <t>SBICARD</t>
  </si>
  <si>
    <t>HAVELLS</t>
  </si>
  <si>
    <t>ICICIPRULI</t>
  </si>
  <si>
    <t>SIEMENS</t>
  </si>
  <si>
    <t>INDIGO</t>
  </si>
  <si>
    <t>AMBUJACEM</t>
  </si>
  <si>
    <t>MOTHERSUMI</t>
  </si>
  <si>
    <t>BERGEPAINT</t>
  </si>
  <si>
    <t>MINDTREE</t>
  </si>
  <si>
    <t>TATAPOWER</t>
  </si>
  <si>
    <t>SRF</t>
  </si>
  <si>
    <t>INDUSTOWER</t>
  </si>
  <si>
    <t>NAUKRI</t>
  </si>
  <si>
    <t>ICICIGI</t>
  </si>
  <si>
    <t>IRCTC</t>
  </si>
  <si>
    <t>MCDOWELL-N</t>
  </si>
  <si>
    <t>MARICO</t>
  </si>
  <si>
    <t>GAIL</t>
  </si>
  <si>
    <t>PEL</t>
  </si>
  <si>
    <t>UPL</t>
  </si>
  <si>
    <t>MUTHOOTFIN</t>
  </si>
  <si>
    <t>GLAND</t>
  </si>
  <si>
    <t>LODHA</t>
  </si>
  <si>
    <t>MPHASIS</t>
  </si>
  <si>
    <t>LTTS</t>
  </si>
  <si>
    <t>BAJAJHLDNG</t>
  </si>
  <si>
    <t>IDBI</t>
  </si>
  <si>
    <t>GODREJPROP</t>
  </si>
  <si>
    <t>TTML</t>
  </si>
  <si>
    <t>HDFCAMC</t>
  </si>
  <si>
    <t>TORNTPHARM</t>
  </si>
  <si>
    <t>PGHH</t>
  </si>
  <si>
    <t>JUBLFOOD</t>
  </si>
  <si>
    <t>JSWENERGY</t>
  </si>
  <si>
    <t>BOSCHLTD</t>
  </si>
  <si>
    <t>BEL</t>
  </si>
  <si>
    <t>ASTRAL</t>
  </si>
  <si>
    <t>ABB</t>
  </si>
  <si>
    <t>GUJGASLTD</t>
  </si>
  <si>
    <t>CHOLAFIN</t>
  </si>
  <si>
    <t>PAGEIND</t>
  </si>
  <si>
    <t>BANKBARODA</t>
  </si>
  <si>
    <t>BALKRISIND</t>
  </si>
  <si>
    <t>CADILAHC</t>
  </si>
  <si>
    <t>BANDHANBNK</t>
  </si>
  <si>
    <t>HINDPETRO</t>
  </si>
  <si>
    <t>ADANIPOWER</t>
  </si>
  <si>
    <t>PNB</t>
  </si>
  <si>
    <t>ALKEM</t>
  </si>
  <si>
    <t>HAL</t>
  </si>
  <si>
    <t>PIIND</t>
  </si>
  <si>
    <t>SONACOMS</t>
  </si>
  <si>
    <t>ACC</t>
  </si>
  <si>
    <t>BIOCON</t>
  </si>
  <si>
    <t>SAIL</t>
  </si>
  <si>
    <t>AUROPHARMA</t>
  </si>
  <si>
    <t>LUPIN</t>
  </si>
  <si>
    <t>UBL</t>
  </si>
  <si>
    <t>TATACOMM</t>
  </si>
  <si>
    <t>VOLTAS</t>
  </si>
  <si>
    <t>NMDC</t>
  </si>
  <si>
    <t>AUBANK</t>
  </si>
  <si>
    <t>CANBK</t>
  </si>
  <si>
    <t>TRENT</t>
  </si>
  <si>
    <t>IOB</t>
  </si>
  <si>
    <t>CONCOR</t>
  </si>
  <si>
    <t>ASHOKLEY</t>
  </si>
  <si>
    <t>AARTIIND</t>
  </si>
  <si>
    <t>JINDALSTEL</t>
  </si>
  <si>
    <t>COLPAL</t>
  </si>
  <si>
    <t>VBL</t>
  </si>
  <si>
    <t>MAXHEALTH</t>
  </si>
  <si>
    <t>HONAUT</t>
  </si>
  <si>
    <t>ABBOTINDIA</t>
  </si>
  <si>
    <t>DALBHARAT</t>
  </si>
  <si>
    <t>POLYCAB</t>
  </si>
  <si>
    <t>TATAELXSI</t>
  </si>
  <si>
    <t>OFSS</t>
  </si>
  <si>
    <t>MFSL</t>
  </si>
  <si>
    <t>IDEA</t>
  </si>
  <si>
    <t>DEEPAKNTR</t>
  </si>
  <si>
    <t>COFORGE</t>
  </si>
  <si>
    <t>BHARATFORG</t>
  </si>
  <si>
    <t>OBEROIRLTY</t>
  </si>
  <si>
    <t>YESBANK</t>
  </si>
  <si>
    <t>PERSISTENT</t>
  </si>
  <si>
    <t>TIINDIA</t>
  </si>
  <si>
    <t>MINDAIND</t>
  </si>
  <si>
    <t>PETRONET</t>
  </si>
  <si>
    <t>KANSAINER</t>
  </si>
  <si>
    <t>RELAXO</t>
  </si>
  <si>
    <t>SRTRANSFIN</t>
  </si>
  <si>
    <t>PFC</t>
  </si>
  <si>
    <t>IGL</t>
  </si>
  <si>
    <t>ABCAPITAL</t>
  </si>
  <si>
    <t>MRF</t>
  </si>
  <si>
    <t>DIXON</t>
  </si>
  <si>
    <t>NHPC</t>
  </si>
  <si>
    <t>UNIONBANK</t>
  </si>
  <si>
    <t>LALPATHLAB</t>
  </si>
  <si>
    <t>IDFCFIRSTB</t>
  </si>
  <si>
    <t>TVSMOTOR</t>
  </si>
  <si>
    <t>FLUOROCHEM</t>
  </si>
  <si>
    <t>IRFC</t>
  </si>
  <si>
    <t>TRIDENT</t>
  </si>
  <si>
    <t>GLAXO</t>
  </si>
  <si>
    <t>SCHAEFFLER</t>
  </si>
  <si>
    <t>ABFRL</t>
  </si>
  <si>
    <t>SUPREMEIND</t>
  </si>
  <si>
    <t>ATUL</t>
  </si>
  <si>
    <t>3MINDIA</t>
  </si>
  <si>
    <t>CROMPTON</t>
  </si>
  <si>
    <t>LAURUSLABS</t>
  </si>
  <si>
    <t>TORNTPOWER</t>
  </si>
  <si>
    <t>CLEAN</t>
  </si>
  <si>
    <t>RECLTD</t>
  </si>
  <si>
    <t>IPCALAB</t>
  </si>
  <si>
    <t>INDHOTEL</t>
  </si>
  <si>
    <t>GMRINFRA</t>
  </si>
  <si>
    <t>CUMMINSIND</t>
  </si>
  <si>
    <t>JKCEMENT</t>
  </si>
  <si>
    <t>HATSUN</t>
  </si>
  <si>
    <t>SUNDARMFIN</t>
  </si>
  <si>
    <t>KPRMILL</t>
  </si>
  <si>
    <t>RUCHI</t>
  </si>
  <si>
    <t>CGPOWER</t>
  </si>
  <si>
    <t>ISEC</t>
  </si>
  <si>
    <t>TANLA</t>
  </si>
  <si>
    <t>BATAINDIA</t>
  </si>
  <si>
    <t>SYNGENE</t>
  </si>
  <si>
    <t>ESCORTS</t>
  </si>
  <si>
    <t>TATACHEM</t>
  </si>
  <si>
    <t>GICRE</t>
  </si>
  <si>
    <t>RAJESHEXPO</t>
  </si>
  <si>
    <t>RAMCOCEM</t>
  </si>
  <si>
    <t>OIL</t>
  </si>
  <si>
    <t>ENDURANCE</t>
  </si>
  <si>
    <t>WHIRLPOOL</t>
  </si>
  <si>
    <t>THERMAX</t>
  </si>
  <si>
    <t>NIACL</t>
  </si>
  <si>
    <t>IEX</t>
  </si>
  <si>
    <t>APLAPOLLO</t>
  </si>
  <si>
    <t>DEVYANI</t>
  </si>
  <si>
    <t>NAM-INDIA</t>
  </si>
  <si>
    <t>AAVAS</t>
  </si>
  <si>
    <t>COROMANDEL</t>
  </si>
  <si>
    <t>BAYERCROP</t>
  </si>
  <si>
    <t>EMAMILTD</t>
  </si>
  <si>
    <t>BANKINDIA</t>
  </si>
  <si>
    <t>PFIZER</t>
  </si>
  <si>
    <t>LINDEINDIA</t>
  </si>
  <si>
    <t>FORTIS</t>
  </si>
  <si>
    <t>KAJARIACER</t>
  </si>
  <si>
    <t>GRINDWELL</t>
  </si>
  <si>
    <t>GODREJIND</t>
  </si>
  <si>
    <t>BHEL</t>
  </si>
  <si>
    <t>CRISIL</t>
  </si>
  <si>
    <t>VINATIORGA</t>
  </si>
  <si>
    <t>POONAWALLA</t>
  </si>
  <si>
    <t>LICHSGFIN</t>
  </si>
  <si>
    <t>INDIAMART</t>
  </si>
  <si>
    <t>FEDERALBNK</t>
  </si>
  <si>
    <t>NAVINFLUOR</t>
  </si>
  <si>
    <t>SUNTV</t>
  </si>
  <si>
    <t>NATIONALUM</t>
  </si>
  <si>
    <t>SOLARINDS</t>
  </si>
  <si>
    <t>L&amp;TFH</t>
  </si>
  <si>
    <t>M&amp;MFIN</t>
  </si>
  <si>
    <t>AJANTPHARM</t>
  </si>
  <si>
    <t>HAPPSTMNDS</t>
  </si>
  <si>
    <t>KPITTECH</t>
  </si>
  <si>
    <t>SUMICHEM</t>
  </si>
  <si>
    <t>PRESTIGE</t>
  </si>
  <si>
    <t>SKFINDIA</t>
  </si>
  <si>
    <t>BCG</t>
  </si>
  <si>
    <t>ALKYLAMINE</t>
  </si>
  <si>
    <t>CENTRALBK</t>
  </si>
  <si>
    <t>CARBORUNIV</t>
  </si>
  <si>
    <t>SUNDRMFAST</t>
  </si>
  <si>
    <t>GSPL</t>
  </si>
  <si>
    <t>AFFLE</t>
  </si>
  <si>
    <t>INDIANB</t>
  </si>
  <si>
    <t>GRINFRA</t>
  </si>
  <si>
    <t>CHAMBLFERT</t>
  </si>
  <si>
    <t>APTUS</t>
  </si>
  <si>
    <t>NUVOCO</t>
  </si>
  <si>
    <t>SANOFI</t>
  </si>
  <si>
    <t>AIAENG</t>
  </si>
  <si>
    <t>GILLETTE</t>
  </si>
  <si>
    <t>PHOENIXLTD</t>
  </si>
  <si>
    <t>BLUEDART</t>
  </si>
  <si>
    <t>NATCOPHARM</t>
  </si>
  <si>
    <t>RADICO</t>
  </si>
  <si>
    <t>SFL</t>
  </si>
  <si>
    <t>APLLTD</t>
  </si>
  <si>
    <t>METROPOLIS</t>
  </si>
  <si>
    <t>CDSL</t>
  </si>
  <si>
    <t>WABCOINDIA</t>
  </si>
  <si>
    <t>BSOFT</t>
  </si>
  <si>
    <t>UCOBANK</t>
  </si>
  <si>
    <t>KIOCL</t>
  </si>
  <si>
    <t>DCMSHRIRAM</t>
  </si>
  <si>
    <t>TIMKEN</t>
  </si>
  <si>
    <t>WELSPUNIND</t>
  </si>
  <si>
    <t>ALOKINDS</t>
  </si>
  <si>
    <t>IRB</t>
  </si>
  <si>
    <t>VTL</t>
  </si>
  <si>
    <t>EXIDEIND</t>
  </si>
  <si>
    <t>APOLLOTYRE</t>
  </si>
  <si>
    <t>GLENMARK</t>
  </si>
  <si>
    <t>CENTURYPLY</t>
  </si>
  <si>
    <t>BAJAJELEC</t>
  </si>
  <si>
    <t>IIFLWAM</t>
  </si>
  <si>
    <t>MANAPPURAM</t>
  </si>
  <si>
    <t>UTIAMC</t>
  </si>
  <si>
    <t>CAMS</t>
  </si>
  <si>
    <t>MOTILALOFS</t>
  </si>
  <si>
    <t>TTKPRESTIG</t>
  </si>
  <si>
    <t>MAHABANK</t>
  </si>
  <si>
    <t>BASF</t>
  </si>
  <si>
    <t>ASAHIINDIA</t>
  </si>
  <si>
    <t>NH</t>
  </si>
  <si>
    <t>JBCHEPHARM</t>
  </si>
  <si>
    <t>SUVENPHAR</t>
  </si>
  <si>
    <t>MEDPLUS</t>
  </si>
  <si>
    <t>MAGMA</t>
  </si>
  <si>
    <t>REDINGTON</t>
  </si>
  <si>
    <t>KEC</t>
  </si>
  <si>
    <t>FSL</t>
  </si>
  <si>
    <t>HINDCOPPER</t>
  </si>
  <si>
    <t>SJVN</t>
  </si>
  <si>
    <t>LXCHEM</t>
  </si>
  <si>
    <t>FINPIPE</t>
  </si>
  <si>
    <t>CESC</t>
  </si>
  <si>
    <t>CASTROLIND</t>
  </si>
  <si>
    <t>CHOLAHLDNG</t>
  </si>
  <si>
    <t>BALAMINES</t>
  </si>
  <si>
    <t>QUESS</t>
  </si>
  <si>
    <t>SHRIRAMCIT</t>
  </si>
  <si>
    <t>ROUTE</t>
  </si>
  <si>
    <t>AMBER</t>
  </si>
  <si>
    <t>IIFL</t>
  </si>
  <si>
    <t>ZYDUSWELL</t>
  </si>
  <si>
    <t>KIMS</t>
  </si>
  <si>
    <t>HFCL</t>
  </si>
  <si>
    <t>FINEORG</t>
  </si>
  <si>
    <t>CYIENT</t>
  </si>
  <si>
    <t>ELGIEQUIP</t>
  </si>
  <si>
    <t>BIRLACORPN</t>
  </si>
  <si>
    <t>CENTURYTEX</t>
  </si>
  <si>
    <t>ITI</t>
  </si>
  <si>
    <t>GALAXYSURF</t>
  </si>
  <si>
    <t>ZENSARTECH</t>
  </si>
  <si>
    <t>LUXIND</t>
  </si>
  <si>
    <t>STLTECH</t>
  </si>
  <si>
    <t>SUZLON</t>
  </si>
  <si>
    <t>AMARAJABAT</t>
  </si>
  <si>
    <t>CUB</t>
  </si>
  <si>
    <t>BRIGADE</t>
  </si>
  <si>
    <t>ANGELBRKG</t>
  </si>
  <si>
    <t>POWERINDIA</t>
  </si>
  <si>
    <t>ANURAS</t>
  </si>
  <si>
    <t>GODREJAGRO</t>
  </si>
  <si>
    <t>IBULHSGFIN</t>
  </si>
  <si>
    <t>KEI</t>
  </si>
  <si>
    <t>LAXMIMACH</t>
  </si>
  <si>
    <t>GRAPHITE</t>
  </si>
  <si>
    <t>SAREGAMA</t>
  </si>
  <si>
    <t>IDFC</t>
  </si>
  <si>
    <t>ERIS</t>
  </si>
  <si>
    <t>INTELLECT</t>
  </si>
  <si>
    <t>INDIGOPNTS</t>
  </si>
  <si>
    <t>ECLERX</t>
  </si>
  <si>
    <t>CHEMPLASTS</t>
  </si>
  <si>
    <t>JUBLINGREA</t>
  </si>
  <si>
    <t>VGUARD</t>
  </si>
  <si>
    <t>JSL</t>
  </si>
  <si>
    <t>BLUESTARCO</t>
  </si>
  <si>
    <t>NETWORK18</t>
  </si>
  <si>
    <t>TATASTLBSL</t>
  </si>
  <si>
    <t>MASTEK</t>
  </si>
  <si>
    <t>ALLCARGO</t>
  </si>
  <si>
    <t>NBCC</t>
  </si>
  <si>
    <t>PVR</t>
  </si>
  <si>
    <t>ASTERDM</t>
  </si>
  <si>
    <t>SONATSOFTW</t>
  </si>
  <si>
    <t>NLCINDIA</t>
  </si>
  <si>
    <t>RATNAMANI</t>
  </si>
  <si>
    <t>CGCL</t>
  </si>
  <si>
    <t>JUBLPHARMA</t>
  </si>
  <si>
    <t>VAIBHAVGBL</t>
  </si>
  <si>
    <t>AKZOINDIA</t>
  </si>
  <si>
    <t>POLYMED</t>
  </si>
  <si>
    <t>SHYAMMETL</t>
  </si>
  <si>
    <t>FACT</t>
  </si>
  <si>
    <t>KNRCON</t>
  </si>
  <si>
    <t>CREDITACC</t>
  </si>
  <si>
    <t>RBLBANK</t>
  </si>
  <si>
    <t>BSE</t>
  </si>
  <si>
    <t>MGL</t>
  </si>
  <si>
    <t>HUDCO</t>
  </si>
  <si>
    <t>EIDPARRY</t>
  </si>
  <si>
    <t>BALRAMCHIN</t>
  </si>
  <si>
    <t>PRIVISCL</t>
  </si>
  <si>
    <t>PGHL</t>
  </si>
  <si>
    <t>MAHINDCIE</t>
  </si>
  <si>
    <t>HLEGLAS</t>
  </si>
  <si>
    <t>SUNTECK</t>
  </si>
  <si>
    <t>JSLHISAR</t>
  </si>
  <si>
    <t>SPARC</t>
  </si>
  <si>
    <t>BORORENEW</t>
  </si>
  <si>
    <t>PNBHOUSING</t>
  </si>
  <si>
    <t>RTNINDIA</t>
  </si>
  <si>
    <t>WESTLIFE</t>
  </si>
  <si>
    <t>AVANTIFEED</t>
  </si>
  <si>
    <t>EIHOTEL</t>
  </si>
  <si>
    <t>SOBHA</t>
  </si>
  <si>
    <t>GRANULES</t>
  </si>
  <si>
    <t>FINCABLES</t>
  </si>
  <si>
    <t>VIPIND</t>
  </si>
  <si>
    <t>TCIEXP</t>
  </si>
  <si>
    <t>MCX</t>
  </si>
  <si>
    <t>CANFINHOME</t>
  </si>
  <si>
    <t>RAIN</t>
  </si>
  <si>
    <t>TV18BRDCST</t>
  </si>
  <si>
    <t>IBREALEST</t>
  </si>
  <si>
    <t>BEML</t>
  </si>
  <si>
    <t>MRPL</t>
  </si>
  <si>
    <t>SUNCLAYLTD</t>
  </si>
  <si>
    <t>ORIENTELEC</t>
  </si>
  <si>
    <t>BBTC</t>
  </si>
  <si>
    <t>PNCINFRA</t>
  </si>
  <si>
    <t>DELTACORP</t>
  </si>
  <si>
    <t>PRINCEPIPE</t>
  </si>
  <si>
    <t>NAZARA</t>
  </si>
  <si>
    <t>VMART</t>
  </si>
  <si>
    <t>BDL</t>
  </si>
  <si>
    <t>ASTRAZEN</t>
  </si>
  <si>
    <t>INDIACEM</t>
  </si>
  <si>
    <t>AEGISCHEM</t>
  </si>
  <si>
    <t>GMMPFAUDLR</t>
  </si>
  <si>
    <t>RVNL</t>
  </si>
  <si>
    <t>DHANI</t>
  </si>
  <si>
    <t>JMFINANCIL</t>
  </si>
  <si>
    <t>KALYANKJIL</t>
  </si>
  <si>
    <t>GLS</t>
  </si>
  <si>
    <t>TATAINVEST</t>
  </si>
  <si>
    <t>PRSMJOHNSN</t>
  </si>
  <si>
    <t>JPPOWER</t>
  </si>
  <si>
    <t>JBMA</t>
  </si>
  <si>
    <t>RENUKA</t>
  </si>
  <si>
    <t>MTARTECH</t>
  </si>
  <si>
    <t>JUSTDIAL</t>
  </si>
  <si>
    <t>SYMPHONY</t>
  </si>
  <si>
    <t>HOMEFIRST</t>
  </si>
  <si>
    <t>SWSOLAR</t>
  </si>
  <si>
    <t>HEG</t>
  </si>
  <si>
    <t>GNFC</t>
  </si>
  <si>
    <t>EDELWEISS</t>
  </si>
  <si>
    <t>JKLAKSHMI</t>
  </si>
  <si>
    <t>TEAMLEASE</t>
  </si>
  <si>
    <t>ROSSARI</t>
  </si>
  <si>
    <t>GARFIBRES</t>
  </si>
  <si>
    <t>SUPPETRO</t>
  </si>
  <si>
    <t>PSB</t>
  </si>
  <si>
    <t>RHIM</t>
  </si>
  <si>
    <t>PRAJIND</t>
  </si>
  <si>
    <t>MMTC</t>
  </si>
  <si>
    <t>EQUITASBNK</t>
  </si>
  <si>
    <t>VARROC</t>
  </si>
  <si>
    <t>OLECTRA</t>
  </si>
  <si>
    <t>RITES</t>
  </si>
  <si>
    <t>SIS</t>
  </si>
  <si>
    <t>HGS</t>
  </si>
  <si>
    <t>EASEMYTRIP</t>
  </si>
  <si>
    <t>SCI</t>
  </si>
  <si>
    <t>HIKAL</t>
  </si>
  <si>
    <t>NIITLTD</t>
  </si>
  <si>
    <t>CERA</t>
  </si>
  <si>
    <t>CAPLIPOINT</t>
  </si>
  <si>
    <t>TCI</t>
  </si>
  <si>
    <t>EPL</t>
  </si>
  <si>
    <t>SUPRAJIT</t>
  </si>
  <si>
    <t>KRBL</t>
  </si>
  <si>
    <t>DBL</t>
  </si>
  <si>
    <t>GODFRYPHLP</t>
  </si>
  <si>
    <t>TATVA</t>
  </si>
  <si>
    <t>TRIVENI</t>
  </si>
  <si>
    <t>POLYPLEX</t>
  </si>
  <si>
    <t>DEEPAKFERT</t>
  </si>
  <si>
    <t>TRITURBINE</t>
  </si>
  <si>
    <t>CCL</t>
  </si>
  <si>
    <t>THYROCARE</t>
  </si>
  <si>
    <t>KALPATPOWR</t>
  </si>
  <si>
    <t>VIJAYA</t>
  </si>
  <si>
    <t>MAZDOCK</t>
  </si>
  <si>
    <t>BURGERKING</t>
  </si>
  <si>
    <t>INFIBEAM</t>
  </si>
  <si>
    <t>RALLIS</t>
  </si>
  <si>
    <t>GREENPANEL</t>
  </si>
  <si>
    <t>HEIDELBERG</t>
  </si>
  <si>
    <t>BARBEQUE</t>
  </si>
  <si>
    <t>JINDWORLD</t>
  </si>
  <si>
    <t>JCHAC</t>
  </si>
  <si>
    <t>TEJASNET</t>
  </si>
  <si>
    <t>BHARATRAS</t>
  </si>
  <si>
    <t>ICIL</t>
  </si>
  <si>
    <t>JYOTHYLAB</t>
  </si>
  <si>
    <t>ESABINDIA</t>
  </si>
  <si>
    <t>ORIENTREF</t>
  </si>
  <si>
    <t>GREAVESCOT</t>
  </si>
  <si>
    <t>GSFC</t>
  </si>
  <si>
    <t>RPOWER</t>
  </si>
  <si>
    <t>MAHLOG</t>
  </si>
  <si>
    <t>FDC</t>
  </si>
  <si>
    <t>GUJALKALI</t>
  </si>
  <si>
    <t>SHILPAMED</t>
  </si>
  <si>
    <t>CRAFTSMAN</t>
  </si>
  <si>
    <t>AARTIDRUGS</t>
  </si>
  <si>
    <t>VSTIND</t>
  </si>
  <si>
    <t>ISGEC</t>
  </si>
  <si>
    <t>CHALET</t>
  </si>
  <si>
    <t>RESPONIND</t>
  </si>
  <si>
    <t>GPPL</t>
  </si>
  <si>
    <t>WELCORP</t>
  </si>
  <si>
    <t>CEATLTD</t>
  </si>
  <si>
    <t>TCNSBRANDS</t>
  </si>
  <si>
    <t>IFBIND</t>
  </si>
  <si>
    <t>WOCKPHARMA</t>
  </si>
  <si>
    <t>NEOGEN</t>
  </si>
  <si>
    <t>JSWHL</t>
  </si>
  <si>
    <t>NCC</t>
  </si>
  <si>
    <t>GESHIP</t>
  </si>
  <si>
    <t>MAHSCOOTER</t>
  </si>
  <si>
    <t>MINDACORP</t>
  </si>
  <si>
    <t>JINDALPOLY</t>
  </si>
  <si>
    <t>GREENLAM</t>
  </si>
  <si>
    <t>LAOPALA</t>
  </si>
  <si>
    <t>MANINFRA</t>
  </si>
  <si>
    <t>COCHINSHIP</t>
  </si>
  <si>
    <t>PDSMFL</t>
  </si>
  <si>
    <t>RCF</t>
  </si>
  <si>
    <t>SEQUENT</t>
  </si>
  <si>
    <t>NEWGEN</t>
  </si>
  <si>
    <t>CSBBANK</t>
  </si>
  <si>
    <t>JAMNAAUTO</t>
  </si>
  <si>
    <t>KSB</t>
  </si>
  <si>
    <t>IRCON</t>
  </si>
  <si>
    <t>INOXLEISUR</t>
  </si>
  <si>
    <t>BOROLTD</t>
  </si>
  <si>
    <t>VRLLOG</t>
  </si>
  <si>
    <t>VAKRANGEE</t>
  </si>
  <si>
    <t>HNDFDS</t>
  </si>
  <si>
    <t>RTNPOWER</t>
  </si>
  <si>
    <t>GLOBUSSPR</t>
  </si>
  <si>
    <t>RELIGARE</t>
  </si>
  <si>
    <t>RAYMOND</t>
  </si>
  <si>
    <t>NOCIL</t>
  </si>
  <si>
    <t>SWANENERGY</t>
  </si>
  <si>
    <t>KENNAMET</t>
  </si>
  <si>
    <t>PHILIPCARB</t>
  </si>
  <si>
    <t>CMSINFO</t>
  </si>
  <si>
    <t>EQUITAS</t>
  </si>
  <si>
    <t>MAHLIFE</t>
  </si>
  <si>
    <t>TATACOFFEE</t>
  </si>
  <si>
    <t>MOIL</t>
  </si>
  <si>
    <t>AMIORG</t>
  </si>
  <si>
    <t>NESCO</t>
  </si>
  <si>
    <t>STARCEMENT</t>
  </si>
  <si>
    <t>STAR</t>
  </si>
  <si>
    <t>INGERRAND</t>
  </si>
  <si>
    <t>MHRIL</t>
  </si>
  <si>
    <t>HATHWAY</t>
  </si>
  <si>
    <t>SUDARSCHEM</t>
  </si>
  <si>
    <t>ENGINERSIN</t>
  </si>
  <si>
    <t>GAEL</t>
  </si>
  <si>
    <t>RUPA</t>
  </si>
  <si>
    <t>SANSERA</t>
  </si>
  <si>
    <t>DATAPATTNS</t>
  </si>
  <si>
    <t>INDOCO</t>
  </si>
  <si>
    <t>LEMONTREE</t>
  </si>
  <si>
    <t>ARVINDFASN</t>
  </si>
  <si>
    <t>HEMIPROP</t>
  </si>
  <si>
    <t>SOMANYCERA</t>
  </si>
  <si>
    <t>J&amp;KBANK</t>
  </si>
  <si>
    <t>RAILTEL</t>
  </si>
  <si>
    <t>HGINFRA</t>
  </si>
  <si>
    <t>SPICEJET</t>
  </si>
  <si>
    <t>KARURVYSYA</t>
  </si>
  <si>
    <t>RSYSTEMS</t>
  </si>
  <si>
    <t>NILKAMAL</t>
  </si>
  <si>
    <t>GHCL</t>
  </si>
  <si>
    <t>CARTRADE</t>
  </si>
  <si>
    <t>TATASTLLP</t>
  </si>
  <si>
    <t>SOLARA</t>
  </si>
  <si>
    <t>MAHSEAMLES</t>
  </si>
  <si>
    <t>VENKEYS</t>
  </si>
  <si>
    <t>UFLEX</t>
  </si>
  <si>
    <t>IPL</t>
  </si>
  <si>
    <t>INDOSTAR</t>
  </si>
  <si>
    <t>ADVENZYMES</t>
  </si>
  <si>
    <t>GPIL</t>
  </si>
  <si>
    <t>SHOPERSTOP</t>
  </si>
  <si>
    <t>SHAREINDIA</t>
  </si>
  <si>
    <t>TASTYBITE</t>
  </si>
  <si>
    <t>ORIENTCEM</t>
  </si>
  <si>
    <t>UJJIVANSFB</t>
  </si>
  <si>
    <t>BANARISUG</t>
  </si>
  <si>
    <t>GDL</t>
  </si>
  <si>
    <t>ARVIND</t>
  </si>
  <si>
    <t>ROLEXRINGS</t>
  </si>
  <si>
    <t>JKPAPER</t>
  </si>
  <si>
    <t>MEGH</t>
  </si>
  <si>
    <t>IFCI</t>
  </si>
  <si>
    <t>DALMIASUG</t>
  </si>
  <si>
    <t>DHANUKA</t>
  </si>
  <si>
    <t>PURVA</t>
  </si>
  <si>
    <t>MIDHANI</t>
  </si>
  <si>
    <t>VALIANTORG</t>
  </si>
  <si>
    <t>HCG</t>
  </si>
  <si>
    <t>JKTYRE</t>
  </si>
  <si>
    <t>GET&amp;D</t>
  </si>
  <si>
    <t>DISHTV</t>
  </si>
  <si>
    <t>HIL</t>
  </si>
  <si>
    <t>DODLA</t>
  </si>
  <si>
    <t>DCAL</t>
  </si>
  <si>
    <t>JINDALSAW</t>
  </si>
  <si>
    <t>ICRA</t>
  </si>
  <si>
    <t>TINPLATE</t>
  </si>
  <si>
    <t>MASFIN</t>
  </si>
  <si>
    <t>DOLLAR</t>
  </si>
  <si>
    <t>PTC</t>
  </si>
  <si>
    <t>ITDC</t>
  </si>
  <si>
    <t>ASTEC</t>
  </si>
  <si>
    <t>GTPL</t>
  </si>
  <si>
    <t>SHARDACROP</t>
  </si>
  <si>
    <t>SAGCEM</t>
  </si>
  <si>
    <t>STOVEKRAFT</t>
  </si>
  <si>
    <t>MFL</t>
  </si>
  <si>
    <t>INDIAGLYCO</t>
  </si>
  <si>
    <t>RKFORGE</t>
  </si>
  <si>
    <t>KSCL</t>
  </si>
  <si>
    <t>SURYAROSNI</t>
  </si>
  <si>
    <t>KIRLOSBROS</t>
  </si>
  <si>
    <t>MAITHANALL</t>
  </si>
  <si>
    <t>KIRLFER</t>
  </si>
  <si>
    <t>AGCNET</t>
  </si>
  <si>
    <t>APARINDS</t>
  </si>
  <si>
    <t>MOL</t>
  </si>
  <si>
    <t>HINDOILEXP</t>
  </si>
  <si>
    <t>EKC</t>
  </si>
  <si>
    <t>SHIL</t>
  </si>
  <si>
    <t>PAISALO</t>
  </si>
  <si>
    <t>SUBEXLTD</t>
  </si>
  <si>
    <t>USHAMART</t>
  </si>
  <si>
    <t>RAJRATAN</t>
  </si>
  <si>
    <t>BEPL</t>
  </si>
  <si>
    <t>BAJAJCON</t>
  </si>
  <si>
    <t>JPASSOCIAT</t>
  </si>
  <si>
    <t>IIFLSEC</t>
  </si>
  <si>
    <t>SEAMECLTD</t>
  </si>
  <si>
    <t>HERANBA</t>
  </si>
  <si>
    <t>TATAMETALI</t>
  </si>
  <si>
    <t>ASHOKA</t>
  </si>
  <si>
    <t>INOXWIND</t>
  </si>
  <si>
    <t>AHLUCONT</t>
  </si>
  <si>
    <t>FRETAIL</t>
  </si>
  <si>
    <t>GRSE</t>
  </si>
  <si>
    <t>TECHNOE</t>
  </si>
  <si>
    <t>TIPSINDLTD</t>
  </si>
  <si>
    <t>SARDAEN</t>
  </si>
  <si>
    <t>ALEMBICLTD</t>
  </si>
  <si>
    <t>NFL</t>
  </si>
  <si>
    <t>SCHNEIDER</t>
  </si>
  <si>
    <t>COSMOFILMS</t>
  </si>
  <si>
    <t>AMRUTANJAN</t>
  </si>
  <si>
    <t>GMDCLTD</t>
  </si>
  <si>
    <t>IOLCP</t>
  </si>
  <si>
    <t>GREENPLY</t>
  </si>
  <si>
    <t>FILATEX</t>
  </si>
  <si>
    <t>ACE</t>
  </si>
  <si>
    <t>OAL</t>
  </si>
  <si>
    <t>KIRLOSENG</t>
  </si>
  <si>
    <t>DCBBANK</t>
  </si>
  <si>
    <t>TIDEWATER</t>
  </si>
  <si>
    <t>TIRUMALCHM</t>
  </si>
  <si>
    <t>HIMATSEIDE</t>
  </si>
  <si>
    <t>JAYNECOIND</t>
  </si>
  <si>
    <t>MARKSANS</t>
  </si>
  <si>
    <t>OPTIEMUS</t>
  </si>
  <si>
    <t>SHARDAMOTR</t>
  </si>
  <si>
    <t>LSIL</t>
  </si>
  <si>
    <t>SSWL</t>
  </si>
  <si>
    <t>GATI</t>
  </si>
  <si>
    <t>RELINFRA</t>
  </si>
  <si>
    <t>MSTCLTD</t>
  </si>
  <si>
    <t>KOLTEPATIL</t>
  </si>
  <si>
    <t>SPANDANA</t>
  </si>
  <si>
    <t>GTLINFRA</t>
  </si>
  <si>
    <t>GUFICBIO</t>
  </si>
  <si>
    <t>MOREPENLAB</t>
  </si>
  <si>
    <t>FAIRCHEMOR</t>
  </si>
  <si>
    <t>INEOSSTYRO</t>
  </si>
  <si>
    <t>DAAWAT</t>
  </si>
  <si>
    <t>JISLDVREQS</t>
  </si>
  <si>
    <t>TVTODAY</t>
  </si>
  <si>
    <t>MOLDTKPAC</t>
  </si>
  <si>
    <t>VSTTILLERS</t>
  </si>
  <si>
    <t>KRSNAA</t>
  </si>
  <si>
    <t>SUBROS</t>
  </si>
  <si>
    <t>AUTOAXLES</t>
  </si>
  <si>
    <t>HCC</t>
  </si>
  <si>
    <t>JAICORPLTD</t>
  </si>
  <si>
    <t>BESTAGRO</t>
  </si>
  <si>
    <t>ATFL</t>
  </si>
  <si>
    <t>MAYURUNIQ</t>
  </si>
  <si>
    <t>BOMDYEING</t>
  </si>
  <si>
    <t>JISLJALEQS</t>
  </si>
  <si>
    <t>RAMCOIND</t>
  </si>
  <si>
    <t>ANANTRAJ</t>
  </si>
  <si>
    <t>APOLLOPIPE</t>
  </si>
  <si>
    <t>EVEREADY</t>
  </si>
  <si>
    <t>GULFOILLUB</t>
  </si>
  <si>
    <t>GOODYEAR</t>
  </si>
  <si>
    <t>THOMASCOOK</t>
  </si>
  <si>
    <t>BALMLAWRIE</t>
  </si>
  <si>
    <t>JTEKTINDIA</t>
  </si>
  <si>
    <t>BUTTERFLY</t>
  </si>
  <si>
    <t>NAHARSPING</t>
  </si>
  <si>
    <t>DHAMPURSUG</t>
  </si>
  <si>
    <t>VESUVIUS</t>
  </si>
  <si>
    <t>INDORAMA</t>
  </si>
  <si>
    <t>IGPL</t>
  </si>
  <si>
    <t>IMFA</t>
  </si>
  <si>
    <t>SHK</t>
  </si>
  <si>
    <t>ACRYSIL</t>
  </si>
  <si>
    <t>BECTORFOOD</t>
  </si>
  <si>
    <t>GRAVITA</t>
  </si>
  <si>
    <t>POKARNA</t>
  </si>
  <si>
    <t>ELECON</t>
  </si>
  <si>
    <t>BLS</t>
  </si>
  <si>
    <t>HESTERBIO</t>
  </si>
  <si>
    <t>CAMLINFINE</t>
  </si>
  <si>
    <t>GREENPOWER</t>
  </si>
  <si>
    <t>SIYSIL</t>
  </si>
  <si>
    <t>PILANIINVS</t>
  </si>
  <si>
    <t>GOKEX</t>
  </si>
  <si>
    <t>MTNL</t>
  </si>
  <si>
    <t>LGBBROSLTD</t>
  </si>
  <si>
    <t>MANALIPETC</t>
  </si>
  <si>
    <t>CONFIPET</t>
  </si>
  <si>
    <t>DATAMATICS</t>
  </si>
  <si>
    <t>STEELXIND</t>
  </si>
  <si>
    <t>DEN</t>
  </si>
  <si>
    <t>BAJAJHIND</t>
  </si>
  <si>
    <t>SAFARI</t>
  </si>
  <si>
    <t>HSCL</t>
  </si>
  <si>
    <t>WABAG</t>
  </si>
  <si>
    <t>KTKBANK</t>
  </si>
  <si>
    <t>VOLTAMP</t>
  </si>
  <si>
    <t>DIAMONDYD</t>
  </si>
  <si>
    <t>TIIL</t>
  </si>
  <si>
    <t>ASTRAMICRO</t>
  </si>
  <si>
    <t>NEULANDLAB</t>
  </si>
  <si>
    <t>MATRIMONY</t>
  </si>
  <si>
    <t>GABRIEL</t>
  </si>
  <si>
    <t>PFOCUS</t>
  </si>
  <si>
    <t>RPSGVENT</t>
  </si>
  <si>
    <t>APCOTEXIND</t>
  </si>
  <si>
    <t>SASKEN</t>
  </si>
  <si>
    <t>NAVNETEDUL</t>
  </si>
  <si>
    <t>VIDHIING</t>
  </si>
  <si>
    <t>GOLDIAM</t>
  </si>
  <si>
    <t>MAXVIL</t>
  </si>
  <si>
    <t>UNICHEMLAB</t>
  </si>
  <si>
    <t>SWARAJENG</t>
  </si>
  <si>
    <t>KIRIINDUS</t>
  </si>
  <si>
    <t>SHRIPISTON</t>
  </si>
  <si>
    <t>NOVARTIND</t>
  </si>
  <si>
    <t>PANAMAPET</t>
  </si>
  <si>
    <t>GEOJITFSL</t>
  </si>
  <si>
    <t>SOUTHBANK</t>
  </si>
  <si>
    <t>MUKANDLTD</t>
  </si>
  <si>
    <t>NACLIND</t>
  </si>
  <si>
    <t>PUNJABCHEM</t>
  </si>
  <si>
    <t>MIRZAINT</t>
  </si>
  <si>
    <t>HERITGFOOD</t>
  </si>
  <si>
    <t>KOVAI</t>
  </si>
  <si>
    <t>THANGAMAYL</t>
  </si>
  <si>
    <t>MMFL</t>
  </si>
  <si>
    <t>JAGRAN</t>
  </si>
  <si>
    <t>KCP</t>
  </si>
  <si>
    <t>ORCHPHARMA</t>
  </si>
  <si>
    <t>PSPPROJECT</t>
  </si>
  <si>
    <t>CARERATING</t>
  </si>
  <si>
    <t>NURECA</t>
  </si>
  <si>
    <t>ANDHRSUGAR</t>
  </si>
  <si>
    <t>NELCO</t>
  </si>
  <si>
    <t>RGL</t>
  </si>
  <si>
    <t>APTECHT</t>
  </si>
  <si>
    <t>HBLPOWER</t>
  </si>
  <si>
    <t>DPSCLTD</t>
  </si>
  <si>
    <t>KINGFA</t>
  </si>
  <si>
    <t>JSWISPL</t>
  </si>
  <si>
    <t>ASHIANA</t>
  </si>
  <si>
    <t>TIMETECHNO</t>
  </si>
  <si>
    <t>URJA</t>
  </si>
  <si>
    <t>WHEELS</t>
  </si>
  <si>
    <t>PGEL</t>
  </si>
  <si>
    <t>TARC</t>
  </si>
  <si>
    <t>SOTL</t>
  </si>
  <si>
    <t>KITEX</t>
  </si>
  <si>
    <t>UJJIVAN</t>
  </si>
  <si>
    <t>NRBBEARING</t>
  </si>
  <si>
    <t>NITINSPIN</t>
  </si>
  <si>
    <t>EXPLEOSOL</t>
  </si>
  <si>
    <t>JMCPROJECT</t>
  </si>
  <si>
    <t>SASTASUNDR</t>
  </si>
  <si>
    <t>DBCORP</t>
  </si>
  <si>
    <t>ZENTEC</t>
  </si>
  <si>
    <t>FORCEMOT</t>
  </si>
  <si>
    <t>ADFFOODS</t>
  </si>
  <si>
    <t>DWARKESH</t>
  </si>
  <si>
    <t>FCL</t>
  </si>
  <si>
    <t>NBVENTURES</t>
  </si>
  <si>
    <t>REPCOHOME</t>
  </si>
  <si>
    <t>SANGAMIND</t>
  </si>
  <si>
    <t>GULPOLY</t>
  </si>
  <si>
    <t>GENUSPOWER</t>
  </si>
  <si>
    <t>GEPIL</t>
  </si>
  <si>
    <t>CIGNITITEC</t>
  </si>
  <si>
    <t>ACCELYA</t>
  </si>
  <si>
    <t>ORISSAMINE</t>
  </si>
  <si>
    <t>IGARASHI</t>
  </si>
  <si>
    <t>NUCLEUS</t>
  </si>
  <si>
    <t>HUHTAMAKI</t>
  </si>
  <si>
    <t>OMAXE</t>
  </si>
  <si>
    <t>CHENNPETRO</t>
  </si>
  <si>
    <t>WSTCSTPAPR</t>
  </si>
  <si>
    <t>SUTLEJTEX</t>
  </si>
  <si>
    <t>PRECAM</t>
  </si>
  <si>
    <t>SANGHIIND</t>
  </si>
  <si>
    <t>KESORAMIND</t>
  </si>
  <si>
    <t>SHALBY</t>
  </si>
  <si>
    <t>ELECTCAST</t>
  </si>
  <si>
    <t>BFUTILITIE</t>
  </si>
  <si>
    <t>FCONSUMER</t>
  </si>
  <si>
    <t>TVSSRICHAK</t>
  </si>
  <si>
    <t>SURYODAY</t>
  </si>
  <si>
    <t>GOCLCORP</t>
  </si>
  <si>
    <t>FIEMIND</t>
  </si>
  <si>
    <t>PATELENG</t>
  </si>
  <si>
    <t>SANDHAR</t>
  </si>
  <si>
    <t>DBREALTY</t>
  </si>
  <si>
    <t>GALLISPAT</t>
  </si>
  <si>
    <t>RAMKY</t>
  </si>
  <si>
    <t>HSIL</t>
  </si>
  <si>
    <t>UGROCAP</t>
  </si>
  <si>
    <t>DFMFOODS</t>
  </si>
  <si>
    <t>DOLAT</t>
  </si>
  <si>
    <t>RIIL</t>
  </si>
  <si>
    <t>KSL</t>
  </si>
  <si>
    <t>CENTRUM</t>
  </si>
  <si>
    <t>VINDHYATEL</t>
  </si>
  <si>
    <t>BODALCHEM</t>
  </si>
  <si>
    <t>3IINFOLTD</t>
  </si>
  <si>
    <t>SBCL</t>
  </si>
  <si>
    <t>KABRAEXTRU</t>
  </si>
  <si>
    <t>KIRLOSIND</t>
  </si>
  <si>
    <t>PRICOLLTD</t>
  </si>
  <si>
    <t>POWERMECH</t>
  </si>
  <si>
    <t>XPROINDIA</t>
  </si>
  <si>
    <t>GRAUWEIL</t>
  </si>
  <si>
    <t>WELENT</t>
  </si>
  <si>
    <t>ITDCEM</t>
  </si>
  <si>
    <t>SUNDARMHLD</t>
  </si>
  <si>
    <t>INSECTICID</t>
  </si>
  <si>
    <t>TI</t>
  </si>
  <si>
    <t>MONTECARLO</t>
  </si>
  <si>
    <t>SIRCA</t>
  </si>
  <si>
    <t>GNA</t>
  </si>
  <si>
    <t>VHL</t>
  </si>
  <si>
    <t>KKCL</t>
  </si>
  <si>
    <t>TDPOWERSYS</t>
  </si>
  <si>
    <t>CHEMCON</t>
  </si>
  <si>
    <t>DYNAMATECH</t>
  </si>
  <si>
    <t>ASAL</t>
  </si>
  <si>
    <t>NXTDIGITAL</t>
  </si>
  <si>
    <t>SUPRIYA</t>
  </si>
  <si>
    <t>3IINFOTECH</t>
  </si>
  <si>
    <t>TWL</t>
  </si>
  <si>
    <t>RAMCOSYS</t>
  </si>
  <si>
    <t>QUICKHEAL</t>
  </si>
  <si>
    <t>KOPRAN</t>
  </si>
  <si>
    <t>BFINVEST</t>
  </si>
  <si>
    <t>BANCOINDIA</t>
  </si>
  <si>
    <t>PFS</t>
  </si>
  <si>
    <t>ALICON</t>
  </si>
  <si>
    <t>ANDREWYU</t>
  </si>
  <si>
    <t>GMBREW</t>
  </si>
  <si>
    <t>AJMERA</t>
  </si>
  <si>
    <t>FMGOETZE</t>
  </si>
  <si>
    <t>HONDAPOWER</t>
  </si>
  <si>
    <t>CANTABIL</t>
  </si>
  <si>
    <t>PNBGILTS</t>
  </si>
  <si>
    <t>XCHANGING</t>
  </si>
  <si>
    <t>SUNFLAG</t>
  </si>
  <si>
    <t>JKIL</t>
  </si>
  <si>
    <t>GIPCL</t>
  </si>
  <si>
    <t>PCJEWELLER</t>
  </si>
  <si>
    <t>MPSLTD</t>
  </si>
  <si>
    <t>ONMOBILE</t>
  </si>
  <si>
    <t>TEXRAIL</t>
  </si>
  <si>
    <t>SPAL</t>
  </si>
  <si>
    <t>SHANTIGEAR</t>
  </si>
  <si>
    <t>5PAISA</t>
  </si>
  <si>
    <t>SHANKARA</t>
  </si>
  <si>
    <t>KDDL</t>
  </si>
  <si>
    <t>AMBIKCO</t>
  </si>
  <si>
    <t>RSWM</t>
  </si>
  <si>
    <t>GANECOS</t>
  </si>
  <si>
    <t>AVTNPL</t>
  </si>
  <si>
    <t>SUVEN</t>
  </si>
  <si>
    <t>SHAKTIPUMP</t>
  </si>
  <si>
    <t>IFGLEXPOR</t>
  </si>
  <si>
    <t>PANACEABIO</t>
  </si>
  <si>
    <t>COFFEEDAY</t>
  </si>
  <si>
    <t>INDNIPPON</t>
  </si>
  <si>
    <t>FCSSOFT</t>
  </si>
  <si>
    <t>EXCELINDUS</t>
  </si>
  <si>
    <t>LUMAXTECH</t>
  </si>
  <si>
    <t>WONDERLA</t>
  </si>
  <si>
    <t>INFOBEAN</t>
  </si>
  <si>
    <t>DCW</t>
  </si>
  <si>
    <t>PARAGMILK</t>
  </si>
  <si>
    <t>ESTER</t>
  </si>
  <si>
    <t>CLNINDIA</t>
  </si>
  <si>
    <t>CAPACITE</t>
  </si>
  <si>
    <t>ZEEMEDIA</t>
  </si>
  <si>
    <t>FLFL</t>
  </si>
  <si>
    <t>EIHAHOTELS</t>
  </si>
  <si>
    <t>SMSPHARMA</t>
  </si>
  <si>
    <t>VISHNU</t>
  </si>
  <si>
    <t>GENESYS</t>
  </si>
  <si>
    <t>SHREDIGCEM</t>
  </si>
  <si>
    <t>CEREBRAINT</t>
  </si>
  <si>
    <t>SAKSOFT</t>
  </si>
  <si>
    <t>BHAGERIA</t>
  </si>
  <si>
    <t>PRAKASH</t>
  </si>
  <si>
    <t>VISAKAIND</t>
  </si>
  <si>
    <t>UNIDT</t>
  </si>
  <si>
    <t>RCOM</t>
  </si>
  <si>
    <t>JUBLINDS</t>
  </si>
  <si>
    <t>SPIC</t>
  </si>
  <si>
    <t>ARVSMART</t>
  </si>
  <si>
    <t>GOKULAGRO</t>
  </si>
  <si>
    <t>AVADHSUGAR</t>
  </si>
  <si>
    <t>BBL</t>
  </si>
  <si>
    <t>LUMAXIND</t>
  </si>
  <si>
    <t>VSSL</t>
  </si>
  <si>
    <t>GANESHHOUC</t>
  </si>
  <si>
    <t>WENDT</t>
  </si>
  <si>
    <t>MANGLMCEM</t>
  </si>
  <si>
    <t>CENTENKA</t>
  </si>
  <si>
    <t>EMAMIPAP</t>
  </si>
  <si>
    <t>SHRIRAMEPC</t>
  </si>
  <si>
    <t>DIGISPICE</t>
  </si>
  <si>
    <t>UNIENTER</t>
  </si>
  <si>
    <t>ANUP</t>
  </si>
  <si>
    <t>SANGHVIMOV</t>
  </si>
  <si>
    <t>SESHAPAPER</t>
  </si>
  <si>
    <t>BLISSGVS</t>
  </si>
  <si>
    <t>TNPETRO</t>
  </si>
  <si>
    <t>HMT</t>
  </si>
  <si>
    <t>APEX</t>
  </si>
  <si>
    <t>INDIANHUME</t>
  </si>
  <si>
    <t>KARDA</t>
  </si>
  <si>
    <t>UNITECH</t>
  </si>
  <si>
    <t>JETAIRWAYS</t>
  </si>
  <si>
    <t>TTKHLTCARE</t>
  </si>
  <si>
    <t>DVL</t>
  </si>
  <si>
    <t>ADORWELD</t>
  </si>
  <si>
    <t>ARSHIYA</t>
  </si>
  <si>
    <t>PGIL</t>
  </si>
  <si>
    <t>IMPAL</t>
  </si>
  <si>
    <t>NCLIND</t>
  </si>
  <si>
    <t>ALLSEC</t>
  </si>
  <si>
    <t>OCCL</t>
  </si>
  <si>
    <t>ASHAPURMIN</t>
  </si>
  <si>
    <t>RPGLIFE</t>
  </si>
  <si>
    <t>SMLISUZU</t>
  </si>
  <si>
    <t>SINTEX</t>
  </si>
  <si>
    <t>SATIA</t>
  </si>
  <si>
    <t>SPENCERS</t>
  </si>
  <si>
    <t>PROINDIA</t>
  </si>
  <si>
    <t>GOODLUCK</t>
  </si>
  <si>
    <t>ZOTA</t>
  </si>
  <si>
    <t>PARSVNATH</t>
  </si>
  <si>
    <t>SRIPIPES</t>
  </si>
  <si>
    <t>HCL-INSYS</t>
  </si>
  <si>
    <t>DREDGECORP</t>
  </si>
  <si>
    <t>THEMISMED</t>
  </si>
  <si>
    <t>AWHCL</t>
  </si>
  <si>
    <t>FOSECOIND</t>
  </si>
  <si>
    <t>MANGCHEFER</t>
  </si>
  <si>
    <t>ASALCBR</t>
  </si>
  <si>
    <t>BCLIND</t>
  </si>
  <si>
    <t>EVERESTIND</t>
  </si>
  <si>
    <t>DPABHUSHAN</t>
  </si>
  <si>
    <t>VIMTALABS</t>
  </si>
  <si>
    <t>YAARII</t>
  </si>
  <si>
    <t>NAGAFERT</t>
  </si>
  <si>
    <t>PRECWIRE</t>
  </si>
  <si>
    <t>DECCANCE</t>
  </si>
  <si>
    <t>ANDHRAPAP</t>
  </si>
  <si>
    <t>RANEHOLDIN</t>
  </si>
  <si>
    <t>SMCGLOBAL</t>
  </si>
  <si>
    <t>TEXINFRA</t>
  </si>
  <si>
    <t>IWEL</t>
  </si>
  <si>
    <t>GICHSGFIN</t>
  </si>
  <si>
    <t>HEXATRADEX</t>
  </si>
  <si>
    <t>TNPL</t>
  </si>
  <si>
    <t>ADSL</t>
  </si>
  <si>
    <t>NSIL</t>
  </si>
  <si>
    <t>KELLTONTEC</t>
  </si>
  <si>
    <t>RADIOCITY</t>
  </si>
  <si>
    <t>TAJGVK</t>
  </si>
  <si>
    <t>KICL</t>
  </si>
  <si>
    <t>APCL</t>
  </si>
  <si>
    <t>HPAL</t>
  </si>
  <si>
    <t>JAYBARMARU</t>
  </si>
  <si>
    <t>SUULD</t>
  </si>
  <si>
    <t>UTTAMSUGAR</t>
  </si>
  <si>
    <t>ORIENTHOT</t>
  </si>
  <si>
    <t>ENIL</t>
  </si>
  <si>
    <t>PITTIENG</t>
  </si>
  <si>
    <t>BINDALAGRO</t>
  </si>
  <si>
    <t>NELCAST</t>
  </si>
  <si>
    <t>GFLLIMITED</t>
  </si>
  <si>
    <t>AARTISURF</t>
  </si>
  <si>
    <t>SKIPPER</t>
  </si>
  <si>
    <t>KUANTUM</t>
  </si>
  <si>
    <t>NAHARPOLY</t>
  </si>
  <si>
    <t>CENTUM</t>
  </si>
  <si>
    <t>NDTV</t>
  </si>
  <si>
    <t>VLSFINANCE</t>
  </si>
  <si>
    <t>ARIHANTSUP</t>
  </si>
  <si>
    <t>AURIONPRO</t>
  </si>
  <si>
    <t>ISMTLTD</t>
  </si>
  <si>
    <t>CREATIVE</t>
  </si>
  <si>
    <t>KANORICHEM</t>
  </si>
  <si>
    <t>NECLIFE</t>
  </si>
  <si>
    <t>VASCONEQ</t>
  </si>
  <si>
    <t>SALASAR</t>
  </si>
  <si>
    <t>ASIANTILES</t>
  </si>
  <si>
    <t>RUSHIL</t>
  </si>
  <si>
    <t>SUMMITSEC</t>
  </si>
  <si>
    <t>BGRENERGY</t>
  </si>
  <si>
    <t>SPTL</t>
  </si>
  <si>
    <t>HLVLTD</t>
  </si>
  <si>
    <t>KPIGLOBAL</t>
  </si>
  <si>
    <t>NAHARCAP</t>
  </si>
  <si>
    <t>UNIVPHOTO</t>
  </si>
  <si>
    <t>VISHAL</t>
  </si>
  <si>
    <t>SNOWMAN</t>
  </si>
  <si>
    <t>LINCOLN</t>
  </si>
  <si>
    <t>INDRAMEDCO</t>
  </si>
  <si>
    <t>FELDVR</t>
  </si>
  <si>
    <t>ARMANFIN</t>
  </si>
  <si>
    <t>ORIENTPPR</t>
  </si>
  <si>
    <t>STERTOOLS</t>
  </si>
  <si>
    <t>YUKEN</t>
  </si>
  <si>
    <t>DYNPRO</t>
  </si>
  <si>
    <t>ONWARDTEC</t>
  </si>
  <si>
    <t>SADBHAV</t>
  </si>
  <si>
    <t>SHREEPUSHK</t>
  </si>
  <si>
    <t>JAIBALAJI</t>
  </si>
  <si>
    <t>NAVKARCORP</t>
  </si>
  <si>
    <t>HTMEDIA</t>
  </si>
  <si>
    <t>TALBROAUTO</t>
  </si>
  <si>
    <t>BALAJITELE</t>
  </si>
  <si>
    <t>MIRCELECTR</t>
  </si>
  <si>
    <t>MINDTECK</t>
  </si>
  <si>
    <t>JAYAGROGN</t>
  </si>
  <si>
    <t>HITECH</t>
  </si>
  <si>
    <t>RAMASTEEL</t>
  </si>
  <si>
    <t>DCMNVL</t>
  </si>
  <si>
    <t>LIKHITHA</t>
  </si>
  <si>
    <t>VADILALIND</t>
  </si>
  <si>
    <t>STCINDIA</t>
  </si>
  <si>
    <t>IFBAGRO</t>
  </si>
  <si>
    <t>ROHITFERRO</t>
  </si>
  <si>
    <t>REPRO</t>
  </si>
  <si>
    <t>AYMSYNTEX</t>
  </si>
  <si>
    <t>ORICONENT</t>
  </si>
  <si>
    <t>NDL</t>
  </si>
  <si>
    <t>AGARIND</t>
  </si>
  <si>
    <t>TAKE</t>
  </si>
  <si>
    <t>DELPHIFX</t>
  </si>
  <si>
    <t>VIKASLIFE</t>
  </si>
  <si>
    <t>CYBERTECH</t>
  </si>
  <si>
    <t>BLKASHYAP</t>
  </si>
  <si>
    <t>JPINFRATEC</t>
  </si>
  <si>
    <t>SHALPAINTS</t>
  </si>
  <si>
    <t>RML</t>
  </si>
  <si>
    <t>LYKALABS</t>
  </si>
  <si>
    <t>CONTROLPR</t>
  </si>
  <si>
    <t>GANESHBE</t>
  </si>
  <si>
    <t>PLASTIBLEN</t>
  </si>
  <si>
    <t>RBL</t>
  </si>
  <si>
    <t>KOKUYOCMLN</t>
  </si>
  <si>
    <t>RICOAUTO</t>
  </si>
  <si>
    <t>EXXARO</t>
  </si>
  <si>
    <t>JYOTISTRUC</t>
  </si>
  <si>
    <t>MANINDS</t>
  </si>
  <si>
    <t>SATIN</t>
  </si>
  <si>
    <t>BASML</t>
  </si>
  <si>
    <t>KAYA</t>
  </si>
  <si>
    <t>NAHARINDUS</t>
  </si>
  <si>
    <t>KAMDHENU</t>
  </si>
  <si>
    <t>DLINKINDIA</t>
  </si>
  <si>
    <t>EBIXFOREX</t>
  </si>
  <si>
    <t>UNIVCABLES</t>
  </si>
  <si>
    <t>WINDLAS</t>
  </si>
  <si>
    <t>HARITASEAT</t>
  </si>
  <si>
    <t>XELPMOC</t>
  </si>
  <si>
    <t>SRHHYPOLTD</t>
  </si>
  <si>
    <t>DUCON</t>
  </si>
  <si>
    <t>THEINVEST</t>
  </si>
  <si>
    <t>TRIGYN</t>
  </si>
  <si>
    <t>JASH</t>
  </si>
  <si>
    <t>MUTHOOTCAP</t>
  </si>
  <si>
    <t>NBIFIN</t>
  </si>
  <si>
    <t>DEEPINDS</t>
  </si>
  <si>
    <t>GALLANTT</t>
  </si>
  <si>
    <t>MSPL</t>
  </si>
  <si>
    <t>SANDESH</t>
  </si>
  <si>
    <t>ROSSELLIND</t>
  </si>
  <si>
    <t>MARALOVER</t>
  </si>
  <si>
    <t>HMVL</t>
  </si>
  <si>
    <t>TFCILTD</t>
  </si>
  <si>
    <t>SARLAPOLY</t>
  </si>
  <si>
    <t>ZEELEARN</t>
  </si>
  <si>
    <t>INVENTURE</t>
  </si>
  <si>
    <t>GAYAPROJ</t>
  </si>
  <si>
    <t>ANDHRACEMT</t>
  </si>
  <si>
    <t>MUNJALAU</t>
  </si>
  <si>
    <t>SADBHIN</t>
  </si>
  <si>
    <t>ARIHANTCAP</t>
  </si>
  <si>
    <t>HITECHCORP</t>
  </si>
  <si>
    <t>VENUSREM</t>
  </si>
  <si>
    <t>MADRASFERT</t>
  </si>
  <si>
    <t>TBZ</t>
  </si>
  <si>
    <t>BIGBLOC</t>
  </si>
  <si>
    <t>PENIND</t>
  </si>
  <si>
    <t>ZUARI</t>
  </si>
  <si>
    <t>V2RETAIL</t>
  </si>
  <si>
    <t>SHREYAS</t>
  </si>
  <si>
    <t>MUNJALSHOW</t>
  </si>
  <si>
    <t>MEP</t>
  </si>
  <si>
    <t>OSWALAGRO</t>
  </si>
  <si>
    <t>MANAKSIA</t>
  </si>
  <si>
    <t>DHFL</t>
  </si>
  <si>
    <t>FEL</t>
  </si>
  <si>
    <t>ORIENTBELL</t>
  </si>
  <si>
    <t>WEBELSOLAR</t>
  </si>
  <si>
    <t>LGBFORGE</t>
  </si>
  <si>
    <t>NATHBIOGEN</t>
  </si>
  <si>
    <t>MENONBE</t>
  </si>
  <si>
    <t>HERCULES</t>
  </si>
  <si>
    <t>PTL</t>
  </si>
  <si>
    <t>BALAXI</t>
  </si>
  <si>
    <t>VISHWARAJ</t>
  </si>
  <si>
    <t>PROZONINTU</t>
  </si>
  <si>
    <t>HITECHGEAR</t>
  </si>
  <si>
    <t>MARATHON</t>
  </si>
  <si>
    <t>BANSWRAS</t>
  </si>
  <si>
    <t>VARDHACRLC</t>
  </si>
  <si>
    <t>CONSOFINVT</t>
  </si>
  <si>
    <t>KHADIM</t>
  </si>
  <si>
    <t>MMP</t>
  </si>
  <si>
    <t>GANDHITUBE</t>
  </si>
  <si>
    <t>HPL</t>
  </si>
  <si>
    <t>TCPLPACK</t>
  </si>
  <si>
    <t>SITINET</t>
  </si>
  <si>
    <t>MEGASOFT</t>
  </si>
  <si>
    <t>HUBTOWN</t>
  </si>
  <si>
    <t>RUBYMILLS</t>
  </si>
  <si>
    <t>MARINE</t>
  </si>
  <si>
    <t>DHUNINV</t>
  </si>
  <si>
    <t>JINDRILL</t>
  </si>
  <si>
    <t>INDSWFTLAB</t>
  </si>
  <si>
    <t>WATERBASE</t>
  </si>
  <si>
    <t>OMINFRAL</t>
  </si>
  <si>
    <t>ZUARIGLOB</t>
  </si>
  <si>
    <t>TRIL</t>
  </si>
  <si>
    <t>SWELECTES</t>
  </si>
  <si>
    <t>HINDCOMPOS</t>
  </si>
  <si>
    <t>VINYLINDIA</t>
  </si>
  <si>
    <t>REPL</t>
  </si>
  <si>
    <t>JAGSNPHARM</t>
  </si>
  <si>
    <t>RANASUG</t>
  </si>
  <si>
    <t>SOUTHWEST</t>
  </si>
  <si>
    <t>KRISHANA</t>
  </si>
  <si>
    <t>SPECIALITY</t>
  </si>
  <si>
    <t>INDOTHAI</t>
  </si>
  <si>
    <t>SECURKLOUD</t>
  </si>
  <si>
    <t>GSCLCEMENT</t>
  </si>
  <si>
    <t>CEBBCO</t>
  </si>
  <si>
    <t>NRAIL</t>
  </si>
  <si>
    <t>BHARATWIRE</t>
  </si>
  <si>
    <t>PENINLAND</t>
  </si>
  <si>
    <t>KOTHARIPET</t>
  </si>
  <si>
    <t>ATULAUTO</t>
  </si>
  <si>
    <t>GVKPIL</t>
  </si>
  <si>
    <t>PRECOT</t>
  </si>
  <si>
    <t>GOKUL</t>
  </si>
  <si>
    <t>ASHIMASYN</t>
  </si>
  <si>
    <t>PDMJEPAPER</t>
  </si>
  <si>
    <t>SREEL</t>
  </si>
  <si>
    <t>CREST</t>
  </si>
  <si>
    <t>GINNIFILA</t>
  </si>
  <si>
    <t>KREBSBIO</t>
  </si>
  <si>
    <t>MAGADSUGAR</t>
  </si>
  <si>
    <t>VISESHINFO</t>
  </si>
  <si>
    <t>SHIVAMAUTO</t>
  </si>
  <si>
    <t>AXISCADES</t>
  </si>
  <si>
    <t>MANAKCOAT</t>
  </si>
  <si>
    <t>BIRLAMONEY</t>
  </si>
  <si>
    <t>HIRECT</t>
  </si>
  <si>
    <t>MAXIND</t>
  </si>
  <si>
    <t>MBLINFRA</t>
  </si>
  <si>
    <t>PRAXIS</t>
  </si>
  <si>
    <t>RELCAPITAL</t>
  </si>
  <si>
    <t>ORIENTABRA</t>
  </si>
  <si>
    <t>VIKASECO</t>
  </si>
  <si>
    <t>INSPIRISYS</t>
  </si>
  <si>
    <t>BIL</t>
  </si>
  <si>
    <t>ALBERTDAVD</t>
  </si>
  <si>
    <t>PPL</t>
  </si>
  <si>
    <t>SALZERELEC</t>
  </si>
  <si>
    <t>MBAPL</t>
  </si>
  <si>
    <t>NIPPOBATRY</t>
  </si>
  <si>
    <t>KILITCH</t>
  </si>
  <si>
    <t>SHYAMCENT</t>
  </si>
  <si>
    <t>DHANBANK</t>
  </si>
  <si>
    <t>AKSHARCHEM</t>
  </si>
  <si>
    <t>DICIND</t>
  </si>
  <si>
    <t>UGARSUGAR</t>
  </si>
  <si>
    <t>SCHAND</t>
  </si>
  <si>
    <t>DPWIRES</t>
  </si>
  <si>
    <t>PILITA</t>
  </si>
  <si>
    <t>SREINFRA</t>
  </si>
  <si>
    <t>BIRLATYRE</t>
  </si>
  <si>
    <t>ASAHISONG</t>
  </si>
  <si>
    <t>ISFT</t>
  </si>
  <si>
    <t>UCALFUEL</t>
  </si>
  <si>
    <t>GKWLIMITED</t>
  </si>
  <si>
    <t>DONEAR</t>
  </si>
  <si>
    <t>BALLARPUR</t>
  </si>
  <si>
    <t>ADVANIHOTR</t>
  </si>
  <si>
    <t>MAHEPC</t>
  </si>
  <si>
    <t>SILINV</t>
  </si>
  <si>
    <t>SAKUMA</t>
  </si>
  <si>
    <t>TVSELECT</t>
  </si>
  <si>
    <t>PRIMESECU</t>
  </si>
  <si>
    <t>PODDARMENT</t>
  </si>
  <si>
    <t>NILAINFRA</t>
  </si>
  <si>
    <t>MGEL</t>
  </si>
  <si>
    <t>GENUSPAPER</t>
  </si>
  <si>
    <t>LINCPEN</t>
  </si>
  <si>
    <t>GOACARBON</t>
  </si>
  <si>
    <t>IRISDOREME</t>
  </si>
  <si>
    <t>DTIL</t>
  </si>
  <si>
    <t>BIRLACABLE</t>
  </si>
  <si>
    <t>SHEMAROO</t>
  </si>
  <si>
    <t>BPL</t>
  </si>
  <si>
    <t>SORILINFRA</t>
  </si>
  <si>
    <t>PPAP</t>
  </si>
  <si>
    <t>MAWANASUG</t>
  </si>
  <si>
    <t>HDIL</t>
  </si>
  <si>
    <t>KCPSUGIND</t>
  </si>
  <si>
    <t>RAJMET</t>
  </si>
  <si>
    <t>EMAMIREAL</t>
  </si>
  <si>
    <t>SHIVATEX</t>
  </si>
  <si>
    <t>CLEDUCATE</t>
  </si>
  <si>
    <t>JITFINFRA</t>
  </si>
  <si>
    <t>BAFNAPH</t>
  </si>
  <si>
    <t>JPOLYINVST</t>
  </si>
  <si>
    <t>GEECEE</t>
  </si>
  <si>
    <t>APOLLO</t>
  </si>
  <si>
    <t>RHFL</t>
  </si>
  <si>
    <t>NGIL</t>
  </si>
  <si>
    <t>BSHSL</t>
  </si>
  <si>
    <t>RAMANEWS</t>
  </si>
  <si>
    <t>HINDNATGLS</t>
  </si>
  <si>
    <t>ALMONDZ</t>
  </si>
  <si>
    <t>RNAVAL</t>
  </si>
  <si>
    <t>INDOWIND</t>
  </si>
  <si>
    <t>FSC</t>
  </si>
  <si>
    <t>HARRMALAYA</t>
  </si>
  <si>
    <t>JAYSREETEA</t>
  </si>
  <si>
    <t>ACCURACY</t>
  </si>
  <si>
    <t>KOTHARIPRO</t>
  </si>
  <si>
    <t>AJRINFRA</t>
  </si>
  <si>
    <t>LASA</t>
  </si>
  <si>
    <t>KOTARISUG</t>
  </si>
  <si>
    <t>ANKITMETAL</t>
  </si>
  <si>
    <t>GBGLOBAL</t>
  </si>
  <si>
    <t>MCLEODRUSS</t>
  </si>
  <si>
    <t>PARACABLES</t>
  </si>
  <si>
    <t>JINDALPHOT</t>
  </si>
  <si>
    <t>SDBL</t>
  </si>
  <si>
    <t>IVC</t>
  </si>
  <si>
    <t>HINDMOTORS</t>
  </si>
  <si>
    <t>KMSUGAR</t>
  </si>
  <si>
    <t>20MICRONS</t>
  </si>
  <si>
    <t>ABAN</t>
  </si>
  <si>
    <t>RUCHINFRA</t>
  </si>
  <si>
    <t>CUPID</t>
  </si>
  <si>
    <t>REFEX</t>
  </si>
  <si>
    <t>CHEMBOND</t>
  </si>
  <si>
    <t>AIRAN</t>
  </si>
  <si>
    <t>MODISNME</t>
  </si>
  <si>
    <t>STEL</t>
  </si>
  <si>
    <t>GOLDTECH</t>
  </si>
  <si>
    <t>COMPUSOFT</t>
  </si>
  <si>
    <t>KANPRPLA</t>
  </si>
  <si>
    <t>AKASH</t>
  </si>
  <si>
    <t>WEALTH</t>
  </si>
  <si>
    <t>GTL</t>
  </si>
  <si>
    <t>ZODIACLOTH</t>
  </si>
  <si>
    <t>UFO</t>
  </si>
  <si>
    <t>CINELINE</t>
  </si>
  <si>
    <t>VIPULLTD</t>
  </si>
  <si>
    <t>INDTERRAIN</t>
  </si>
  <si>
    <t>ALANKIT</t>
  </si>
  <si>
    <t>LOVABLE</t>
  </si>
  <si>
    <t>EMKAY</t>
  </si>
  <si>
    <t>BRFL</t>
  </si>
  <si>
    <t>TEMBO</t>
  </si>
  <si>
    <t>MANAKSTEEL</t>
  </si>
  <si>
    <t>LIBERTSHOE</t>
  </si>
  <si>
    <t>COMPINFO</t>
  </si>
  <si>
    <t>SUNDARAM</t>
  </si>
  <si>
    <t>WINDMACHIN</t>
  </si>
  <si>
    <t>GULFPETRO</t>
  </si>
  <si>
    <t>GUJAPOLLO</t>
  </si>
  <si>
    <t>BRNL</t>
  </si>
  <si>
    <t>ORBTEXP</t>
  </si>
  <si>
    <t>BROOKS</t>
  </si>
  <si>
    <t>BEDMUTHA</t>
  </si>
  <si>
    <t>ESSARSHPNG</t>
  </si>
  <si>
    <t>SHRENIK</t>
  </si>
  <si>
    <t>WANBURY</t>
  </si>
  <si>
    <t>MAHESHWARI</t>
  </si>
  <si>
    <t>RAJTV</t>
  </si>
  <si>
    <t>DCM</t>
  </si>
  <si>
    <t>SUVIDHAA</t>
  </si>
  <si>
    <t>TTL</t>
  </si>
  <si>
    <t>CHEMFAB</t>
  </si>
  <si>
    <t>AUTOIND</t>
  </si>
  <si>
    <t>SEPOWER</t>
  </si>
  <si>
    <t>TEXMOPIPES</t>
  </si>
  <si>
    <t>AAKASH</t>
  </si>
  <si>
    <t>MAJESCO</t>
  </si>
  <si>
    <t>SIMPLEXINF</t>
  </si>
  <si>
    <t>DENORA</t>
  </si>
  <si>
    <t>ALPHAGEO</t>
  </si>
  <si>
    <t>PREMEXPLN</t>
  </si>
  <si>
    <t>NDRAUTO</t>
  </si>
  <si>
    <t>INDOSOLAR</t>
  </si>
  <si>
    <t>REVATHI</t>
  </si>
  <si>
    <t>MOLDTECH</t>
  </si>
  <si>
    <t>CAREERP</t>
  </si>
  <si>
    <t>SAKAR</t>
  </si>
  <si>
    <t>VISASTEEL</t>
  </si>
  <si>
    <t>NILASPACES</t>
  </si>
  <si>
    <t>MAZDA</t>
  </si>
  <si>
    <t>A2ZINFRA</t>
  </si>
  <si>
    <t>ROHLTD</t>
  </si>
  <si>
    <t>SINTERCOM</t>
  </si>
  <si>
    <t>SGIL</t>
  </si>
  <si>
    <t>DSSL</t>
  </si>
  <si>
    <t>GPTINFRA</t>
  </si>
  <si>
    <t>PONNIERODE</t>
  </si>
  <si>
    <t>ASTRON</t>
  </si>
  <si>
    <t>PIONDIST</t>
  </si>
  <si>
    <t>SELAN</t>
  </si>
  <si>
    <t>SETCO</t>
  </si>
  <si>
    <t>ELGIRUBCO</t>
  </si>
  <si>
    <t>NITCO</t>
  </si>
  <si>
    <t>LPDC</t>
  </si>
  <si>
    <t>INDOTECH</t>
  </si>
  <si>
    <t>AHLWEST</t>
  </si>
  <si>
    <t>IL&amp;FSTRANS</t>
  </si>
  <si>
    <t>VIDEOIND</t>
  </si>
  <si>
    <t>MOKSH</t>
  </si>
  <si>
    <t>VETO</t>
  </si>
  <si>
    <t>PALREDTEC</t>
  </si>
  <si>
    <t>GSS</t>
  </si>
  <si>
    <t>SMSLIFE</t>
  </si>
  <si>
    <t>ONEPOINT</t>
  </si>
  <si>
    <t>GLOBE</t>
  </si>
  <si>
    <t>UNITEDTEA</t>
  </si>
  <si>
    <t>SKMEGGPROD</t>
  </si>
  <si>
    <t>VIPCLOTHNG</t>
  </si>
  <si>
    <t>APOLSINHOT</t>
  </si>
  <si>
    <t>AHLEAST</t>
  </si>
  <si>
    <t>ARIES</t>
  </si>
  <si>
    <t>GANGAFORGE</t>
  </si>
  <si>
    <t>MANGALAM</t>
  </si>
  <si>
    <t>DANGEE</t>
  </si>
  <si>
    <t>BHANDARI</t>
  </si>
  <si>
    <t>RUCHIRA</t>
  </si>
  <si>
    <t>WALCHANNAG</t>
  </si>
  <si>
    <t>SURANASOL</t>
  </si>
  <si>
    <t>JHS</t>
  </si>
  <si>
    <t>ANSALAPI</t>
  </si>
  <si>
    <t>STARPAPER</t>
  </si>
  <si>
    <t>ANMOL</t>
  </si>
  <si>
    <t>SAKHTISUG</t>
  </si>
  <si>
    <t>GOLDENTOBC</t>
  </si>
  <si>
    <t>EIMCOELECO</t>
  </si>
  <si>
    <t>SURANAT&amp;P</t>
  </si>
  <si>
    <t>CAPTRUST</t>
  </si>
  <si>
    <t>SERVOTECH</t>
  </si>
  <si>
    <t>VIVIMEDLAB</t>
  </si>
  <si>
    <t>AKSHOPTFBR</t>
  </si>
  <si>
    <t>GRPLTD</t>
  </si>
  <si>
    <t>SUPERHOUSE</t>
  </si>
  <si>
    <t>KAKATCEM</t>
  </si>
  <si>
    <t>CORALFINAC</t>
  </si>
  <si>
    <t>INTENTECH</t>
  </si>
  <si>
    <t>MODIRUBBER</t>
  </si>
  <si>
    <t>RVHL</t>
  </si>
  <si>
    <t>PREMIERPOL</t>
  </si>
  <si>
    <t>IITL</t>
  </si>
  <si>
    <t>UMANGDAIRY</t>
  </si>
  <si>
    <t>PVP</t>
  </si>
  <si>
    <t>RANEENGINE</t>
  </si>
  <si>
    <t>NOIDATOLL</t>
  </si>
  <si>
    <t>EMMBI</t>
  </si>
  <si>
    <t>MACPOWER</t>
  </si>
  <si>
    <t>SMARTLINK</t>
  </si>
  <si>
    <t>KAPSTON</t>
  </si>
  <si>
    <t>EROSMEDIA</t>
  </si>
  <si>
    <t>MBECL</t>
  </si>
  <si>
    <t>ARROWGREEN</t>
  </si>
  <si>
    <t>ELECTHERM</t>
  </si>
  <si>
    <t>JOCIL</t>
  </si>
  <si>
    <t>ATLANTA</t>
  </si>
  <si>
    <t>CTE</t>
  </si>
  <si>
    <t>KECL</t>
  </si>
  <si>
    <t>INDIANCARD</t>
  </si>
  <si>
    <t>MANAKALUCO</t>
  </si>
  <si>
    <t>JBFIND</t>
  </si>
  <si>
    <t>BHARATGEAR</t>
  </si>
  <si>
    <t>KANANIIND</t>
  </si>
  <si>
    <t>KERNEX</t>
  </si>
  <si>
    <t>AHLADA</t>
  </si>
  <si>
    <t>SEYAIND</t>
  </si>
  <si>
    <t>BALPHARMA</t>
  </si>
  <si>
    <t>ALPA</t>
  </si>
  <si>
    <t>TRF</t>
  </si>
  <si>
    <t>PRAKASHSTL</t>
  </si>
  <si>
    <t>DBSTOCKBRO</t>
  </si>
  <si>
    <t>ENERGYDEV</t>
  </si>
  <si>
    <t>PRITIKAUTO</t>
  </si>
  <si>
    <t>BLBLIMITED</t>
  </si>
  <si>
    <t>GAMMNINFRA</t>
  </si>
  <si>
    <t>GENCON</t>
  </si>
  <si>
    <t>SHREYANIND</t>
  </si>
  <si>
    <t>MCDHOLDING</t>
  </si>
  <si>
    <t>PRAENG</t>
  </si>
  <si>
    <t>JMA</t>
  </si>
  <si>
    <t>BHAGYANGR</t>
  </si>
  <si>
    <t>MAANALU</t>
  </si>
  <si>
    <t>PIONEEREMB</t>
  </si>
  <si>
    <t>RPPINFRA</t>
  </si>
  <si>
    <t>WORTH</t>
  </si>
  <si>
    <t>RKEC</t>
  </si>
  <si>
    <t>SUNDRMBRAK</t>
  </si>
  <si>
    <t>ASIANHOTNR</t>
  </si>
  <si>
    <t>DRCSYSTEMS</t>
  </si>
  <si>
    <t>VERTOZ</t>
  </si>
  <si>
    <t>SPLIL</t>
  </si>
  <si>
    <t>SURYALAXMI</t>
  </si>
  <si>
    <t>GROBTEA</t>
  </si>
  <si>
    <t>MURUDCERA</t>
  </si>
  <si>
    <t>VIKASPROP</t>
  </si>
  <si>
    <t>INCREDIBLE</t>
  </si>
  <si>
    <t>JMTAUTOLTD</t>
  </si>
  <si>
    <t>AMJLAND</t>
  </si>
  <si>
    <t>BIOFILCHEM</t>
  </si>
  <si>
    <t>SPMLINFRA</t>
  </si>
  <si>
    <t>SAMBHAAV</t>
  </si>
  <si>
    <t>TIL</t>
  </si>
  <si>
    <t>NDGL</t>
  </si>
  <si>
    <t>MAHAPEXLTD</t>
  </si>
  <si>
    <t>GILLANDERS</t>
  </si>
  <si>
    <t>SANWARIA</t>
  </si>
  <si>
    <t>CCHHL</t>
  </si>
  <si>
    <t>SALONA</t>
  </si>
  <si>
    <t>DEEPENR</t>
  </si>
  <si>
    <t>SALSTEEL</t>
  </si>
  <si>
    <t>TCIDEVELOP</t>
  </si>
  <si>
    <t>SHIVAMILLS</t>
  </si>
  <si>
    <t>LOKESHMACH</t>
  </si>
  <si>
    <t>DAMODARIND</t>
  </si>
  <si>
    <t>AARVI</t>
  </si>
  <si>
    <t>TIRUPATIFL</t>
  </si>
  <si>
    <t>IL&amp;FSENGG</t>
  </si>
  <si>
    <t>WELINV</t>
  </si>
  <si>
    <t>AAREYDRUGS</t>
  </si>
  <si>
    <t>NIRAJ</t>
  </si>
  <si>
    <t>AARON</t>
  </si>
  <si>
    <t>DGCONTENT</t>
  </si>
  <si>
    <t>REMSONSIND</t>
  </si>
  <si>
    <t>SIGIND</t>
  </si>
  <si>
    <t>IVP</t>
  </si>
  <si>
    <t>TPLPLASTEH</t>
  </si>
  <si>
    <t>RSSOFTWARE</t>
  </si>
  <si>
    <t>PODDARHOUS</t>
  </si>
  <si>
    <t>BSL</t>
  </si>
  <si>
    <t>AROGRANITE</t>
  </si>
  <si>
    <t>GAL</t>
  </si>
  <si>
    <t>TOTAL</t>
  </si>
  <si>
    <t>LAMBODHARA</t>
  </si>
  <si>
    <t>MRO-TEK</t>
  </si>
  <si>
    <t>ROML</t>
  </si>
  <si>
    <t>IZMO</t>
  </si>
  <si>
    <t>EXCEL</t>
  </si>
  <si>
    <t>ROLTA</t>
  </si>
  <si>
    <t>PUNJLLOYD</t>
  </si>
  <si>
    <t>BAGFILMS</t>
  </si>
  <si>
    <t>SHREERAMA</t>
  </si>
  <si>
    <t>BYKE</t>
  </si>
  <si>
    <t>WEIZMANIND</t>
  </si>
  <si>
    <t>ASPINWALL</t>
  </si>
  <si>
    <t>MAHASTEEL</t>
  </si>
  <si>
    <t>ABMINTLTD</t>
  </si>
  <si>
    <t>UJAAS</t>
  </si>
  <si>
    <t>PATINTLOG</t>
  </si>
  <si>
    <t>MOTOGENFIN</t>
  </si>
  <si>
    <t>TOUCHWOOD</t>
  </si>
  <si>
    <t>UTTAMSTL</t>
  </si>
  <si>
    <t>TREJHARA</t>
  </si>
  <si>
    <t>BHAGYAPROP</t>
  </si>
  <si>
    <t>KAMATHOTEL</t>
  </si>
  <si>
    <t>VIKASWSP</t>
  </si>
  <si>
    <t>ICEMAKE</t>
  </si>
  <si>
    <t>TARMAT</t>
  </si>
  <si>
    <t>EASTSILK</t>
  </si>
  <si>
    <t>DELTAMAGNT</t>
  </si>
  <si>
    <t>RAJSREESUG</t>
  </si>
  <si>
    <t>TOKYOPLAST</t>
  </si>
  <si>
    <t>OMAXAUTO</t>
  </si>
  <si>
    <t>MUKTAARTS</t>
  </si>
  <si>
    <t>CENTEXT</t>
  </si>
  <si>
    <t>LOTUSEYE</t>
  </si>
  <si>
    <t>SIL</t>
  </si>
  <si>
    <t>INDBANK</t>
  </si>
  <si>
    <t>ALKALI</t>
  </si>
  <si>
    <t>ARCHIDPLY</t>
  </si>
  <si>
    <t>SUMEETINDS</t>
  </si>
  <si>
    <t>SHAHALLOYS</t>
  </si>
  <si>
    <t>MORARJEE</t>
  </si>
  <si>
    <t>NECCLTD</t>
  </si>
  <si>
    <t>MERCATOR</t>
  </si>
  <si>
    <t>AUSOMENT</t>
  </si>
  <si>
    <t>STEELCITY</t>
  </si>
  <si>
    <t>GODHA</t>
  </si>
  <si>
    <t>ROLLT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</si>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</sst>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Rs-449]#,##0.00"/>
  </numFmts>
  <fonts count="17">
    <font>
      <sz val="10.0"/>
      <color rgb="FF000000"/>
      <name val="Arial"/>
      <scheme val="minor"/>
    </font>
    <font>
      <b/>
      <sz val="26.0"/>
      <color rgb="FF999999"/>
      <name val="Caveat"/>
    </font>
    <font>
      <b/>
      <sz val="60.0"/>
      <color theme="1"/>
      <name val="EB Garamond"/>
    </font>
    <font/>
    <font>
      <b/>
      <sz val="20.0"/>
      <color theme="1"/>
      <name val="Arial"/>
    </font>
    <font>
      <b/>
      <sz val="20.0"/>
      <color rgb="FFFFFFFF"/>
      <name val="Caveat"/>
    </font>
    <font>
      <b/>
      <sz val="20.0"/>
      <color rgb="FF9900FF"/>
      <name val="Arial"/>
    </font>
    <font>
      <b/>
      <sz val="16.0"/>
      <color rgb="FFFFFFFF"/>
      <name val="Calibri"/>
    </font>
    <font>
      <b/>
      <sz val="14.0"/>
      <color rgb="FFB45F06"/>
      <name val="Lobster"/>
    </font>
    <font>
      <b/>
      <sz val="17.0"/>
      <color theme="1"/>
      <name val="Roboto Serif"/>
    </font>
    <font>
      <b/>
      <i/>
      <sz val="16.0"/>
      <color rgb="FF0000FF"/>
      <name val="Comfortaa"/>
    </font>
    <font>
      <b/>
      <sz val="16.0"/>
      <color theme="1"/>
      <name val="Comic Sans MS"/>
    </font>
    <font>
      <b/>
      <i/>
      <sz val="16.0"/>
      <color rgb="FFFFFFFF"/>
      <name val="Pacifico"/>
    </font>
    <font>
      <sz val="14.0"/>
      <color theme="1"/>
      <name val="Impact"/>
    </font>
    <font>
      <b/>
      <sz val="14.0"/>
      <color rgb="FFFFFFFF"/>
      <name val="Calibri"/>
    </font>
    <font>
      <sz val="14.0"/>
      <color rgb="FF000000"/>
      <name val="Arial"/>
    </font>
    <font>
      <color theme="1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F4C7C3"/>
        <bgColor rgb="FFF4C7C3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4C1130"/>
        <bgColor rgb="FF4C1130"/>
      </patternFill>
    </fill>
    <fill>
      <patternFill patternType="solid">
        <fgColor rgb="FFE69138"/>
        <bgColor rgb="FFE69138"/>
      </patternFill>
    </fill>
    <fill>
      <patternFill patternType="solid">
        <fgColor rgb="FFFCE8B2"/>
        <bgColor rgb="FFFCE8B2"/>
      </patternFill>
    </fill>
    <fill>
      <patternFill patternType="solid">
        <fgColor rgb="FF0000FF"/>
        <bgColor rgb="FF0000FF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</fills>
  <borders count="11">
    <border/>
    <border>
      <left/>
      <right/>
      <top/>
      <bottom/>
    </border>
    <border>
      <left style="thick">
        <color rgb="FF0000FF"/>
      </left>
      <top style="thick">
        <color rgb="FF0000FF"/>
      </top>
      <bottom style="thick">
        <color rgb="FF0000FF"/>
      </bottom>
    </border>
    <border>
      <top style="thick">
        <color rgb="FF0000FF"/>
      </top>
      <bottom style="thick">
        <color rgb="FF0000FF"/>
      </bottom>
    </border>
    <border>
      <right style="thick">
        <color rgb="FF0000FF"/>
      </right>
      <top style="thick">
        <color rgb="FF0000FF"/>
      </top>
      <bottom style="thick">
        <color rgb="FF0000FF"/>
      </bottom>
    </border>
    <border>
      <left style="double">
        <color rgb="FF9900FF"/>
      </left>
      <right style="double">
        <color rgb="FF9900FF"/>
      </right>
      <top style="double">
        <color rgb="FF9900FF"/>
      </top>
      <bottom style="double">
        <color rgb="FF9900FF"/>
      </bottom>
    </border>
    <border>
      <left style="double">
        <color rgb="FF9900FF"/>
      </left>
      <right style="double">
        <color rgb="FF9900FF"/>
      </right>
      <top/>
      <bottom style="double">
        <color rgb="FF9900FF"/>
      </bottom>
    </border>
    <border>
      <left style="double">
        <color rgb="FF9900FF"/>
      </left>
      <right style="double">
        <color rgb="FF9900FF"/>
      </right>
      <bottom style="double">
        <color rgb="FF9900FF"/>
      </bottom>
    </border>
    <border>
      <left style="medium">
        <color rgb="FF000000"/>
      </left>
      <right style="medium">
        <color rgb="FF000000"/>
      </right>
      <top/>
      <bottom/>
    </border>
    <border>
      <left style="medium">
        <color rgb="FF980000"/>
      </left>
      <right style="medium">
        <color rgb="FF980000"/>
      </right>
      <top style="medium">
        <color rgb="FF980000"/>
      </top>
      <bottom style="medium">
        <color rgb="FF98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5" fillId="4" fontId="4" numFmtId="0" xfId="0" applyBorder="1" applyFill="1" applyFont="1"/>
    <xf borderId="6" fillId="4" fontId="4" numFmtId="164" xfId="0" applyAlignment="1" applyBorder="1" applyFont="1" applyNumberFormat="1">
      <alignment horizontal="center"/>
    </xf>
    <xf borderId="6" fillId="4" fontId="4" numFmtId="0" xfId="0" applyAlignment="1" applyBorder="1" applyFont="1">
      <alignment horizontal="center"/>
    </xf>
    <xf borderId="6" fillId="5" fontId="4" numFmtId="0" xfId="0" applyAlignment="1" applyBorder="1" applyFill="1" applyFont="1">
      <alignment horizontal="center"/>
    </xf>
    <xf borderId="7" fillId="0" fontId="4" numFmtId="0" xfId="0" applyAlignment="1" applyBorder="1" applyFont="1">
      <alignment horizontal="center"/>
    </xf>
    <xf borderId="1" fillId="6" fontId="5" numFmtId="0" xfId="0" applyAlignment="1" applyBorder="1" applyFill="1" applyFont="1">
      <alignment horizontal="center" vertical="center"/>
    </xf>
    <xf borderId="8" fillId="7" fontId="6" numFmtId="0" xfId="0" applyAlignment="1" applyBorder="1" applyFill="1" applyFont="1">
      <alignment horizontal="center"/>
    </xf>
    <xf borderId="5" fillId="8" fontId="7" numFmtId="0" xfId="0" applyBorder="1" applyFill="1" applyFont="1"/>
    <xf borderId="5" fillId="9" fontId="8" numFmtId="164" xfId="0" applyAlignment="1" applyBorder="1" applyFill="1" applyFont="1" applyNumberFormat="1">
      <alignment horizontal="left"/>
    </xf>
    <xf borderId="5" fillId="9" fontId="8" numFmtId="0" xfId="0" applyAlignment="1" applyBorder="1" applyFont="1">
      <alignment horizontal="center"/>
    </xf>
    <xf borderId="5" fillId="0" fontId="9" numFmtId="0" xfId="0" applyAlignment="1" applyBorder="1" applyFont="1">
      <alignment horizontal="center"/>
    </xf>
    <xf borderId="5" fillId="10" fontId="10" numFmtId="0" xfId="0" applyAlignment="1" applyBorder="1" applyFill="1" applyFont="1">
      <alignment horizontal="left"/>
    </xf>
    <xf borderId="5" fillId="0" fontId="11" numFmtId="0" xfId="0" applyAlignment="1" applyBorder="1" applyFont="1">
      <alignment horizontal="center"/>
    </xf>
    <xf borderId="1" fillId="11" fontId="12" numFmtId="2" xfId="0" applyAlignment="1" applyBorder="1" applyFill="1" applyFont="1" applyNumberFormat="1">
      <alignment horizontal="center"/>
    </xf>
    <xf borderId="9" fillId="2" fontId="13" numFmtId="2" xfId="0" applyAlignment="1" applyBorder="1" applyFont="1" applyNumberFormat="1">
      <alignment horizontal="left"/>
    </xf>
    <xf borderId="9" fillId="2" fontId="13" numFmtId="0" xfId="0" applyAlignment="1" applyBorder="1" applyFont="1">
      <alignment horizontal="left"/>
    </xf>
    <xf borderId="10" fillId="8" fontId="14" numFmtId="0" xfId="0" applyAlignment="1" applyBorder="1" applyFont="1">
      <alignment shrinkToFit="0" wrapText="1"/>
    </xf>
    <xf borderId="0" fillId="0" fontId="15" numFmtId="0" xfId="0" applyFont="1"/>
    <xf borderId="0" fillId="0" fontId="16" numFmtId="0" xfId="0" applyAlignment="1" applyFont="1">
      <alignment readingOrder="0"/>
    </xf>
    <xf borderId="0" fillId="0" fontId="16" numFmtId="0" xfId="0" applyFont="1"/>
  </cellXfs>
  <cellStyles count="1">
    <cellStyle xfId="0" name="Normal" builtinId="0"/>
  </cellStyles>
  <dxfs count="5">
    <dxf>
      <font>
        <color rgb="FFFFFF00"/>
      </font>
      <fill>
        <patternFill patternType="solid">
          <fgColor rgb="FF38761D"/>
          <bgColor rgb="FF38761D"/>
        </patternFill>
      </fill>
      <border/>
    </dxf>
    <dxf>
      <font>
        <color rgb="FFFFFF00"/>
      </font>
      <fill>
        <patternFill patternType="solid">
          <fgColor rgb="FF990000"/>
          <bgColor rgb="FF990000"/>
        </patternFill>
      </fill>
      <border/>
    </dxf>
    <dxf>
      <font>
        <color rgb="FF00FF00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/>
  <cols>
    <col customWidth="1" min="1" max="1" width="35.0"/>
    <col customWidth="1" min="2" max="2" width="17.38"/>
    <col customWidth="1" min="3" max="4" width="12.63"/>
    <col customWidth="1" min="5" max="5" width="9.63"/>
    <col customWidth="1" min="6" max="6" width="37.38"/>
    <col customWidth="1" min="7" max="7" width="22.88"/>
    <col customWidth="1" min="8" max="8" width="42.38"/>
    <col customWidth="1" min="9" max="9" width="20.25"/>
    <col customWidth="1" min="10" max="11" width="19.0"/>
    <col customWidth="1" min="12" max="12" width="15.38"/>
  </cols>
  <sheetData>
    <row r="1" ht="69.75" customHeight="1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4"/>
    </row>
    <row r="2" ht="24.75" customHeight="1">
      <c r="A2" s="5" t="s">
        <v>2</v>
      </c>
      <c r="B2" s="6" t="s">
        <v>3</v>
      </c>
      <c r="C2" s="7" t="s">
        <v>4</v>
      </c>
      <c r="D2" s="7" t="s">
        <v>5</v>
      </c>
      <c r="E2" s="7" t="s">
        <v>6</v>
      </c>
      <c r="F2" s="8" t="s">
        <v>7</v>
      </c>
      <c r="G2" s="7" t="s">
        <v>8</v>
      </c>
      <c r="H2" s="9" t="s">
        <v>9</v>
      </c>
      <c r="I2" s="10" t="s">
        <v>10</v>
      </c>
      <c r="J2" s="11" t="s">
        <v>11</v>
      </c>
      <c r="K2" s="11"/>
      <c r="L2" s="11" t="s">
        <v>12</v>
      </c>
      <c r="M2" s="11" t="s">
        <v>13</v>
      </c>
      <c r="N2" s="11" t="s">
        <v>14</v>
      </c>
    </row>
    <row r="3" ht="24.75" customHeight="1">
      <c r="A3" s="12" t="s">
        <v>15</v>
      </c>
      <c r="B3" s="13">
        <f>IFERROR(__xludf.DUMMYFUNCTION("GOOGLEFINANCE(A3,""PRICE"")"),2586.1)</f>
        <v>2586.1</v>
      </c>
      <c r="C3" s="14">
        <f>IFERROR(__xludf.DUMMYFUNCTION("GOOGLEFINANCE(A3,""PRICEOPEN"")"),2595.0)</f>
        <v>2595</v>
      </c>
      <c r="D3" s="14">
        <f>IFERROR(__xludf.DUMMYFUNCTION("GOOGLEFINANCE(A3,""HIGH"")"),2612.9)</f>
        <v>2612.9</v>
      </c>
      <c r="E3" s="14">
        <f>IFERROR(__xludf.DUMMYFUNCTION("GOOGLEFINANCE(A3,""LOW"")"),2564.4)</f>
        <v>2564.4</v>
      </c>
      <c r="F3" s="15" t="str">
        <f t="shared" ref="F3:F22" si="1">IF(C3=D3,"SELL",IF(C3=E3,"BUY", ""))</f>
        <v/>
      </c>
      <c r="G3" s="16">
        <f>IFERROR(__xludf.DUMMYFUNCTION("GOOGLEFINANCE(A3,""CLOSEYEST"")"),2592.7)</f>
        <v>2592.7</v>
      </c>
      <c r="H3" s="17" t="str">
        <f t="shared" ref="H3:H22" si="2">IF(C3&gt;=(G3+(G3*1%)),"GAP UP",IF(C3&lt;=(G3-(G3*1%)),"GAP DOWN",""))</f>
        <v/>
      </c>
      <c r="I3" s="18">
        <f t="shared" ref="I3:I22" si="3">(D3+E3+G3)/3</f>
        <v>2590</v>
      </c>
      <c r="J3" s="19">
        <f t="shared" ref="J3:J22" si="4">(I3*2)-E3</f>
        <v>2615.6</v>
      </c>
      <c r="K3" s="19"/>
      <c r="L3" s="19">
        <f t="shared" ref="L3:L22" si="5">(I3*2)-D3</f>
        <v>2567.1</v>
      </c>
      <c r="M3" s="19">
        <f t="shared" ref="M3:M22" si="6">I3+(J3-L3)</f>
        <v>2638.5</v>
      </c>
      <c r="N3" s="19">
        <f t="shared" ref="N3:N22" si="7">I3-(J3-L3)</f>
        <v>2541.5</v>
      </c>
    </row>
    <row r="4" ht="24.75" customHeight="1">
      <c r="A4" s="12" t="s">
        <v>16</v>
      </c>
      <c r="B4" s="13">
        <f>IFERROR(__xludf.DUMMYFUNCTION("GOOGLEFINANCE(A4,""PRICE"")"),1419.9)</f>
        <v>1419.9</v>
      </c>
      <c r="C4" s="14">
        <f>IFERROR(__xludf.DUMMYFUNCTION("GOOGLEFINANCE(A4,""PRICEOPEN"")"),1413.0)</f>
        <v>1413</v>
      </c>
      <c r="D4" s="14">
        <f>IFERROR(__xludf.DUMMYFUNCTION("GOOGLEFINANCE(A4,""HIGH"")"),1431.0)</f>
        <v>1431</v>
      </c>
      <c r="E4" s="14">
        <f>IFERROR(__xludf.DUMMYFUNCTION("GOOGLEFINANCE(A4,""LOW"")"),1412.5)</f>
        <v>1412.5</v>
      </c>
      <c r="F4" s="15" t="str">
        <f t="shared" si="1"/>
        <v/>
      </c>
      <c r="G4" s="16">
        <f>IFERROR(__xludf.DUMMYFUNCTION("GOOGLEFINANCE(A4,""CLOSEYEST"")"),1422.7)</f>
        <v>1422.7</v>
      </c>
      <c r="H4" s="17" t="str">
        <f t="shared" si="2"/>
        <v/>
      </c>
      <c r="I4" s="18">
        <f t="shared" si="3"/>
        <v>1422.066667</v>
      </c>
      <c r="J4" s="19">
        <f t="shared" si="4"/>
        <v>1431.633333</v>
      </c>
      <c r="K4" s="19"/>
      <c r="L4" s="19">
        <f t="shared" si="5"/>
        <v>1413.133333</v>
      </c>
      <c r="M4" s="19">
        <f t="shared" si="6"/>
        <v>1440.566667</v>
      </c>
      <c r="N4" s="19">
        <f t="shared" si="7"/>
        <v>1403.566667</v>
      </c>
    </row>
    <row r="5" ht="24.75" customHeight="1">
      <c r="A5" s="12" t="s">
        <v>17</v>
      </c>
      <c r="B5" s="13">
        <f>IFERROR(__xludf.DUMMYFUNCTION("GOOGLEFINANCE(A5,""PRICE"")"),7450.0)</f>
        <v>7450</v>
      </c>
      <c r="C5" s="14">
        <f>IFERROR(__xludf.DUMMYFUNCTION("GOOGLEFINANCE(A5,""PRICEOPEN"")"),7441.0)</f>
        <v>7441</v>
      </c>
      <c r="D5" s="14">
        <f>IFERROR(__xludf.DUMMYFUNCTION("GOOGLEFINANCE(A5,""HIGH"")"),7484.0)</f>
        <v>7484</v>
      </c>
      <c r="E5" s="14">
        <f>IFERROR(__xludf.DUMMYFUNCTION("GOOGLEFINANCE(A5,""LOW"")"),7404.0)</f>
        <v>7404</v>
      </c>
      <c r="F5" s="15" t="str">
        <f t="shared" si="1"/>
        <v/>
      </c>
      <c r="G5" s="16">
        <f>IFERROR(__xludf.DUMMYFUNCTION("GOOGLEFINANCE(A5,""CLOSEYEST"")"),7441.0)</f>
        <v>7441</v>
      </c>
      <c r="H5" s="17" t="str">
        <f t="shared" si="2"/>
        <v/>
      </c>
      <c r="I5" s="18">
        <f t="shared" si="3"/>
        <v>7443</v>
      </c>
      <c r="J5" s="19">
        <f t="shared" si="4"/>
        <v>7482</v>
      </c>
      <c r="K5" s="19"/>
      <c r="L5" s="19">
        <f t="shared" si="5"/>
        <v>7402</v>
      </c>
      <c r="M5" s="19">
        <f t="shared" si="6"/>
        <v>7523</v>
      </c>
      <c r="N5" s="19">
        <f t="shared" si="7"/>
        <v>7363</v>
      </c>
    </row>
    <row r="6" ht="24.75" customHeight="1">
      <c r="A6" s="12" t="s">
        <v>18</v>
      </c>
      <c r="B6" s="13">
        <f>IFERROR(__xludf.DUMMYFUNCTION("GOOGLEFINANCE(A6,""PRICE"")"),2358.1)</f>
        <v>2358.1</v>
      </c>
      <c r="C6" s="14">
        <f>IFERROR(__xludf.DUMMYFUNCTION("GOOGLEFINANCE(A6,""PRICEOPEN"")"),2342.2)</f>
        <v>2342.2</v>
      </c>
      <c r="D6" s="14">
        <f>IFERROR(__xludf.DUMMYFUNCTION("GOOGLEFINANCE(A6,""HIGH"")"),2362.7)</f>
        <v>2362.7</v>
      </c>
      <c r="E6" s="14">
        <f>IFERROR(__xludf.DUMMYFUNCTION("GOOGLEFINANCE(A6,""LOW"")"),2336.1)</f>
        <v>2336.1</v>
      </c>
      <c r="F6" s="15" t="str">
        <f t="shared" si="1"/>
        <v/>
      </c>
      <c r="G6" s="16">
        <f>IFERROR(__xludf.DUMMYFUNCTION("GOOGLEFINANCE(A6,""CLOSEYEST"")"),2335.8)</f>
        <v>2335.8</v>
      </c>
      <c r="H6" s="17" t="str">
        <f t="shared" si="2"/>
        <v/>
      </c>
      <c r="I6" s="18">
        <f t="shared" si="3"/>
        <v>2344.866667</v>
      </c>
      <c r="J6" s="19">
        <f t="shared" si="4"/>
        <v>2353.633333</v>
      </c>
      <c r="K6" s="19"/>
      <c r="L6" s="19">
        <f t="shared" si="5"/>
        <v>2327.033333</v>
      </c>
      <c r="M6" s="19">
        <f t="shared" si="6"/>
        <v>2371.466667</v>
      </c>
      <c r="N6" s="19">
        <f t="shared" si="7"/>
        <v>2318.266667</v>
      </c>
    </row>
    <row r="7" ht="24.75" customHeight="1">
      <c r="A7" s="12" t="s">
        <v>19</v>
      </c>
      <c r="B7" s="13">
        <f>IFERROR(__xludf.DUMMYFUNCTION("GOOGLEFINANCE(A7,""PRICE"")"),1183.0)</f>
        <v>1183</v>
      </c>
      <c r="C7" s="14">
        <f>IFERROR(__xludf.DUMMYFUNCTION("GOOGLEFINANCE(A7,""PRICEOPEN"")"),1171.0)</f>
        <v>1171</v>
      </c>
      <c r="D7" s="14">
        <f>IFERROR(__xludf.DUMMYFUNCTION("GOOGLEFINANCE(A7,""HIGH"")"),1188.0)</f>
        <v>1188</v>
      </c>
      <c r="E7" s="14">
        <f>IFERROR(__xludf.DUMMYFUNCTION("GOOGLEFINANCE(A7,""LOW"")"),1169.5)</f>
        <v>1169.5</v>
      </c>
      <c r="F7" s="15" t="str">
        <f t="shared" si="1"/>
        <v/>
      </c>
      <c r="G7" s="16">
        <f>IFERROR(__xludf.DUMMYFUNCTION("GOOGLEFINANCE(A7,""CLOSEYEST"")"),1159.5)</f>
        <v>1159.5</v>
      </c>
      <c r="H7" s="17" t="str">
        <f t="shared" si="2"/>
        <v/>
      </c>
      <c r="I7" s="18">
        <f t="shared" si="3"/>
        <v>1172.333333</v>
      </c>
      <c r="J7" s="19">
        <f t="shared" si="4"/>
        <v>1175.166667</v>
      </c>
      <c r="K7" s="19"/>
      <c r="L7" s="19">
        <f t="shared" si="5"/>
        <v>1156.666667</v>
      </c>
      <c r="M7" s="19">
        <f t="shared" si="6"/>
        <v>1190.833333</v>
      </c>
      <c r="N7" s="19">
        <f t="shared" si="7"/>
        <v>1153.833333</v>
      </c>
    </row>
    <row r="8" ht="24.75" customHeight="1">
      <c r="A8" s="12" t="s">
        <v>20</v>
      </c>
      <c r="B8" s="13">
        <f>IFERROR(__xludf.DUMMYFUNCTION("GOOGLEFINANCE(A8,""PRICE"")"),8685.0)</f>
        <v>8685</v>
      </c>
      <c r="C8" s="14">
        <f>IFERROR(__xludf.DUMMYFUNCTION("GOOGLEFINANCE(A8,""PRICEOPEN"")"),8626.5)</f>
        <v>8626.5</v>
      </c>
      <c r="D8" s="14">
        <f>IFERROR(__xludf.DUMMYFUNCTION("GOOGLEFINANCE(A8,""HIGH"")"),8698.5)</f>
        <v>8698.5</v>
      </c>
      <c r="E8" s="14">
        <f>IFERROR(__xludf.DUMMYFUNCTION("GOOGLEFINANCE(A8,""LOW"")"),8491.5)</f>
        <v>8491.5</v>
      </c>
      <c r="F8" s="15" t="str">
        <f t="shared" si="1"/>
        <v/>
      </c>
      <c r="G8" s="16">
        <f>IFERROR(__xludf.DUMMYFUNCTION("GOOGLEFINANCE(A8,""CLOSEYEST"")"),8626.5)</f>
        <v>8626.5</v>
      </c>
      <c r="H8" s="17" t="str">
        <f t="shared" si="2"/>
        <v/>
      </c>
      <c r="I8" s="18">
        <f t="shared" si="3"/>
        <v>8605.5</v>
      </c>
      <c r="J8" s="19">
        <f t="shared" si="4"/>
        <v>8719.5</v>
      </c>
      <c r="K8" s="19"/>
      <c r="L8" s="19">
        <f t="shared" si="5"/>
        <v>8512.5</v>
      </c>
      <c r="M8" s="19">
        <f t="shared" si="6"/>
        <v>8812.5</v>
      </c>
      <c r="N8" s="19">
        <f t="shared" si="7"/>
        <v>8398.5</v>
      </c>
    </row>
    <row r="9" ht="24.75" customHeight="1">
      <c r="A9" s="12" t="s">
        <v>21</v>
      </c>
      <c r="B9" s="13">
        <f>IFERROR(__xludf.DUMMYFUNCTION("GOOGLEFINANCE(A9,""PRICE"")"),990.0)</f>
        <v>990</v>
      </c>
      <c r="C9" s="14">
        <f>IFERROR(__xludf.DUMMYFUNCTION("GOOGLEFINANCE(A9,""PRICEOPEN"")"),975.0)</f>
        <v>975</v>
      </c>
      <c r="D9" s="14">
        <f>IFERROR(__xludf.DUMMYFUNCTION("GOOGLEFINANCE(A9,""HIGH"")"),992.2)</f>
        <v>992.2</v>
      </c>
      <c r="E9" s="14">
        <f>IFERROR(__xludf.DUMMYFUNCTION("GOOGLEFINANCE(A9,""LOW"")"),972.0)</f>
        <v>972</v>
      </c>
      <c r="F9" s="15" t="str">
        <f t="shared" si="1"/>
        <v/>
      </c>
      <c r="G9" s="16">
        <f>IFERROR(__xludf.DUMMYFUNCTION("GOOGLEFINANCE(A9,""CLOSEYEST"")"),987.7)</f>
        <v>987.7</v>
      </c>
      <c r="H9" s="17" t="str">
        <f t="shared" si="2"/>
        <v>GAP DOWN</v>
      </c>
      <c r="I9" s="18">
        <f t="shared" si="3"/>
        <v>983.9666667</v>
      </c>
      <c r="J9" s="19">
        <f t="shared" si="4"/>
        <v>995.9333333</v>
      </c>
      <c r="K9" s="19"/>
      <c r="L9" s="19">
        <f t="shared" si="5"/>
        <v>975.7333333</v>
      </c>
      <c r="M9" s="19">
        <f t="shared" si="6"/>
        <v>1004.166667</v>
      </c>
      <c r="N9" s="19">
        <f t="shared" si="7"/>
        <v>963.7666667</v>
      </c>
    </row>
    <row r="10" ht="24.75" customHeight="1">
      <c r="A10" s="12" t="s">
        <v>22</v>
      </c>
      <c r="B10" s="13">
        <f>IFERROR(__xludf.DUMMYFUNCTION("GOOGLEFINANCE(A10,""PRICE"")"),1994.2)</f>
        <v>1994.2</v>
      </c>
      <c r="C10" s="14">
        <f>IFERROR(__xludf.DUMMYFUNCTION("GOOGLEFINANCE(A10,""PRICEOPEN"")"),2016.5)</f>
        <v>2016.5</v>
      </c>
      <c r="D10" s="14">
        <f>IFERROR(__xludf.DUMMYFUNCTION("GOOGLEFINANCE(A10,""HIGH"")"),2017.0)</f>
        <v>2017</v>
      </c>
      <c r="E10" s="14">
        <f>IFERROR(__xludf.DUMMYFUNCTION("GOOGLEFINANCE(A10,""LOW"")"),1968.0)</f>
        <v>1968</v>
      </c>
      <c r="F10" s="15" t="str">
        <f t="shared" si="1"/>
        <v/>
      </c>
      <c r="G10" s="16">
        <f>IFERROR(__xludf.DUMMYFUNCTION("GOOGLEFINANCE(A10,""CLOSEYEST"")"),2007.0)</f>
        <v>2007</v>
      </c>
      <c r="H10" s="17" t="str">
        <f t="shared" si="2"/>
        <v/>
      </c>
      <c r="I10" s="18">
        <f t="shared" si="3"/>
        <v>1997.333333</v>
      </c>
      <c r="J10" s="19">
        <f t="shared" si="4"/>
        <v>2026.666667</v>
      </c>
      <c r="K10" s="19"/>
      <c r="L10" s="19">
        <f t="shared" si="5"/>
        <v>1977.666667</v>
      </c>
      <c r="M10" s="19">
        <f t="shared" si="6"/>
        <v>2046.333333</v>
      </c>
      <c r="N10" s="19">
        <f t="shared" si="7"/>
        <v>1948.333333</v>
      </c>
    </row>
    <row r="11" ht="24.75" customHeight="1">
      <c r="A11" s="12" t="s">
        <v>23</v>
      </c>
      <c r="B11" s="13">
        <f>IFERROR(__xludf.DUMMYFUNCTION("GOOGLEFINANCE(A11,""PRICE"")"),342.0)</f>
        <v>342</v>
      </c>
      <c r="C11" s="14">
        <f>IFERROR(__xludf.DUMMYFUNCTION("GOOGLEFINANCE(A11,""PRICEOPEN"")"),344.0)</f>
        <v>344</v>
      </c>
      <c r="D11" s="14">
        <f>IFERROR(__xludf.DUMMYFUNCTION("GOOGLEFINANCE(A11,""HIGH"")"),344.9)</f>
        <v>344.9</v>
      </c>
      <c r="E11" s="14">
        <f>IFERROR(__xludf.DUMMYFUNCTION("GOOGLEFINANCE(A11,""LOW"")"),337.6)</f>
        <v>337.6</v>
      </c>
      <c r="F11" s="15" t="str">
        <f t="shared" si="1"/>
        <v/>
      </c>
      <c r="G11" s="16">
        <f>IFERROR(__xludf.DUMMYFUNCTION("GOOGLEFINANCE(A11,""CLOSEYEST"")"),339.7)</f>
        <v>339.7</v>
      </c>
      <c r="H11" s="17" t="str">
        <f t="shared" si="2"/>
        <v>GAP UP</v>
      </c>
      <c r="I11" s="18">
        <f t="shared" si="3"/>
        <v>340.7333333</v>
      </c>
      <c r="J11" s="19">
        <f t="shared" si="4"/>
        <v>343.8666667</v>
      </c>
      <c r="K11" s="19"/>
      <c r="L11" s="19">
        <f t="shared" si="5"/>
        <v>336.5666667</v>
      </c>
      <c r="M11" s="19">
        <f t="shared" si="6"/>
        <v>348.0333333</v>
      </c>
      <c r="N11" s="19">
        <f t="shared" si="7"/>
        <v>333.4333333</v>
      </c>
    </row>
    <row r="12" ht="24.75" customHeight="1">
      <c r="A12" s="12" t="s">
        <v>24</v>
      </c>
      <c r="B12" s="13">
        <f>IFERROR(__xludf.DUMMYFUNCTION("GOOGLEFINANCE(A12,""PRICE"")"),1896.9)</f>
        <v>1896.9</v>
      </c>
      <c r="C12" s="14">
        <f>IFERROR(__xludf.DUMMYFUNCTION("GOOGLEFINANCE(A12,""PRICEOPEN"")"),1851.2)</f>
        <v>1851.2</v>
      </c>
      <c r="D12" s="14">
        <f>IFERROR(__xludf.DUMMYFUNCTION("GOOGLEFINANCE(A12,""HIGH"")"),1900.3)</f>
        <v>1900.3</v>
      </c>
      <c r="E12" s="14">
        <f>IFERROR(__xludf.DUMMYFUNCTION("GOOGLEFINANCE(A12,""LOW"")"),1848.1)</f>
        <v>1848.1</v>
      </c>
      <c r="F12" s="15" t="str">
        <f t="shared" si="1"/>
        <v/>
      </c>
      <c r="G12" s="16">
        <f>IFERROR(__xludf.DUMMYFUNCTION("GOOGLEFINANCE(A12,""CLOSEYEST"")"),1867.6)</f>
        <v>1867.6</v>
      </c>
      <c r="H12" s="17" t="str">
        <f t="shared" si="2"/>
        <v/>
      </c>
      <c r="I12" s="18">
        <f t="shared" si="3"/>
        <v>1872</v>
      </c>
      <c r="J12" s="19">
        <f t="shared" si="4"/>
        <v>1895.9</v>
      </c>
      <c r="K12" s="19"/>
      <c r="L12" s="19">
        <f t="shared" si="5"/>
        <v>1843.7</v>
      </c>
      <c r="M12" s="19">
        <f t="shared" si="6"/>
        <v>1924.2</v>
      </c>
      <c r="N12" s="19">
        <f t="shared" si="7"/>
        <v>1819.8</v>
      </c>
    </row>
    <row r="13" ht="24.75" customHeight="1">
      <c r="A13" s="12" t="s">
        <v>25</v>
      </c>
      <c r="B13" s="13">
        <f>IFERROR(__xludf.DUMMYFUNCTION("GOOGLEFINANCE(A13,""PRICE"")"),5985.0)</f>
        <v>5985</v>
      </c>
      <c r="C13" s="14">
        <f>IFERROR(__xludf.DUMMYFUNCTION("GOOGLEFINANCE(A13,""PRICEOPEN"")"),5965.0)</f>
        <v>5965</v>
      </c>
      <c r="D13" s="14">
        <f>IFERROR(__xludf.DUMMYFUNCTION("GOOGLEFINANCE(A13,""HIGH"")"),6014.0)</f>
        <v>6014</v>
      </c>
      <c r="E13" s="14">
        <f>IFERROR(__xludf.DUMMYFUNCTION("GOOGLEFINANCE(A13,""LOW"")"),5931.5)</f>
        <v>5931.5</v>
      </c>
      <c r="F13" s="15" t="str">
        <f t="shared" si="1"/>
        <v/>
      </c>
      <c r="G13" s="16">
        <f>IFERROR(__xludf.DUMMYFUNCTION("GOOGLEFINANCE(A13,""CLOSEYEST"")"),5966.5)</f>
        <v>5966.5</v>
      </c>
      <c r="H13" s="17" t="str">
        <f t="shared" si="2"/>
        <v/>
      </c>
      <c r="I13" s="18">
        <f t="shared" si="3"/>
        <v>5970.666667</v>
      </c>
      <c r="J13" s="19">
        <f t="shared" si="4"/>
        <v>6009.833333</v>
      </c>
      <c r="K13" s="19"/>
      <c r="L13" s="19">
        <f t="shared" si="5"/>
        <v>5927.333333</v>
      </c>
      <c r="M13" s="19">
        <f t="shared" si="6"/>
        <v>6053.166667</v>
      </c>
      <c r="N13" s="19">
        <f t="shared" si="7"/>
        <v>5888.166667</v>
      </c>
    </row>
    <row r="14" ht="24.75" customHeight="1">
      <c r="A14" s="12" t="s">
        <v>26</v>
      </c>
      <c r="B14" s="13">
        <f>IFERROR(__xludf.DUMMYFUNCTION("GOOGLEFINANCE(A14,""PRICE"")"),1517.5)</f>
        <v>1517.5</v>
      </c>
      <c r="C14" s="14">
        <f>IFERROR(__xludf.DUMMYFUNCTION("GOOGLEFINANCE(A14,""PRICEOPEN"")"),1522.0)</f>
        <v>1522</v>
      </c>
      <c r="D14" s="14">
        <f>IFERROR(__xludf.DUMMYFUNCTION("GOOGLEFINANCE(A14,""HIGH"")"),1537.8)</f>
        <v>1537.8</v>
      </c>
      <c r="E14" s="14">
        <f>IFERROR(__xludf.DUMMYFUNCTION("GOOGLEFINANCE(A14,""LOW"")"),1509.5)</f>
        <v>1509.5</v>
      </c>
      <c r="F14" s="15" t="str">
        <f t="shared" si="1"/>
        <v/>
      </c>
      <c r="G14" s="16">
        <f>IFERROR(__xludf.DUMMYFUNCTION("GOOGLEFINANCE(A14,""CLOSEYEST"")"),1513.0)</f>
        <v>1513</v>
      </c>
      <c r="H14" s="17" t="str">
        <f t="shared" si="2"/>
        <v/>
      </c>
      <c r="I14" s="18">
        <f t="shared" si="3"/>
        <v>1520.1</v>
      </c>
      <c r="J14" s="19">
        <f t="shared" si="4"/>
        <v>1530.7</v>
      </c>
      <c r="K14" s="19"/>
      <c r="L14" s="19">
        <f t="shared" si="5"/>
        <v>1502.4</v>
      </c>
      <c r="M14" s="19">
        <f t="shared" si="6"/>
        <v>1548.4</v>
      </c>
      <c r="N14" s="19">
        <f t="shared" si="7"/>
        <v>1491.8</v>
      </c>
    </row>
    <row r="15" ht="24.75" customHeight="1">
      <c r="A15" s="12" t="s">
        <v>27</v>
      </c>
      <c r="B15" s="13">
        <f>IFERROR(__xludf.DUMMYFUNCTION("GOOGLEFINANCE(A15,""PRICE"")"),383.9)</f>
        <v>383.9</v>
      </c>
      <c r="C15" s="14">
        <f>IFERROR(__xludf.DUMMYFUNCTION("GOOGLEFINANCE(A15,""PRICEOPEN"")"),388.5)</f>
        <v>388.5</v>
      </c>
      <c r="D15" s="14">
        <f>IFERROR(__xludf.DUMMYFUNCTION("GOOGLEFINANCE(A15,""HIGH"")"),389.1)</f>
        <v>389.1</v>
      </c>
      <c r="E15" s="14">
        <f>IFERROR(__xludf.DUMMYFUNCTION("GOOGLEFINANCE(A15,""LOW"")"),381.5)</f>
        <v>381.5</v>
      </c>
      <c r="F15" s="15" t="str">
        <f t="shared" si="1"/>
        <v/>
      </c>
      <c r="G15" s="16">
        <f>IFERROR(__xludf.DUMMYFUNCTION("GOOGLEFINANCE(A15,""CLOSEYEST"")"),388.5)</f>
        <v>388.5</v>
      </c>
      <c r="H15" s="17" t="str">
        <f t="shared" si="2"/>
        <v/>
      </c>
      <c r="I15" s="18">
        <f t="shared" si="3"/>
        <v>386.3666667</v>
      </c>
      <c r="J15" s="19">
        <f t="shared" si="4"/>
        <v>391.2333333</v>
      </c>
      <c r="K15" s="19"/>
      <c r="L15" s="19">
        <f t="shared" si="5"/>
        <v>383.6333333</v>
      </c>
      <c r="M15" s="19">
        <f t="shared" si="6"/>
        <v>393.9666667</v>
      </c>
      <c r="N15" s="19">
        <f t="shared" si="7"/>
        <v>378.7666667</v>
      </c>
    </row>
    <row r="16" ht="24.75" customHeight="1">
      <c r="A16" s="12" t="s">
        <v>28</v>
      </c>
      <c r="B16" s="13">
        <f>IFERROR(__xludf.DUMMYFUNCTION("GOOGLEFINANCE(A16,""PRICE"")"),5851.5)</f>
        <v>5851.5</v>
      </c>
      <c r="C16" s="14">
        <f>IFERROR(__xludf.DUMMYFUNCTION("GOOGLEFINANCE(A16,""PRICEOPEN"")"),5759.5)</f>
        <v>5759.5</v>
      </c>
      <c r="D16" s="14">
        <f>IFERROR(__xludf.DUMMYFUNCTION("GOOGLEFINANCE(A16,""HIGH"")"),5932.0)</f>
        <v>5932</v>
      </c>
      <c r="E16" s="14">
        <f>IFERROR(__xludf.DUMMYFUNCTION("GOOGLEFINANCE(A16,""LOW"")"),5746.0)</f>
        <v>5746</v>
      </c>
      <c r="F16" s="15" t="str">
        <f t="shared" si="1"/>
        <v/>
      </c>
      <c r="G16" s="16">
        <f>IFERROR(__xludf.DUMMYFUNCTION("GOOGLEFINANCE(A16,""CLOSEYEST"")"),5710.0)</f>
        <v>5710</v>
      </c>
      <c r="H16" s="17" t="str">
        <f t="shared" si="2"/>
        <v/>
      </c>
      <c r="I16" s="18">
        <f t="shared" si="3"/>
        <v>5796</v>
      </c>
      <c r="J16" s="19">
        <f t="shared" si="4"/>
        <v>5846</v>
      </c>
      <c r="K16" s="19"/>
      <c r="L16" s="19">
        <f t="shared" si="5"/>
        <v>5660</v>
      </c>
      <c r="M16" s="19">
        <f t="shared" si="6"/>
        <v>5982</v>
      </c>
      <c r="N16" s="19">
        <f t="shared" si="7"/>
        <v>5610</v>
      </c>
    </row>
    <row r="17" ht="24.75" customHeight="1">
      <c r="A17" s="12" t="s">
        <v>29</v>
      </c>
      <c r="B17" s="13">
        <f>IFERROR(__xludf.DUMMYFUNCTION("GOOGLEFINANCE(A17,""PRICE"")"),1247.8)</f>
        <v>1247.8</v>
      </c>
      <c r="C17" s="14">
        <f>IFERROR(__xludf.DUMMYFUNCTION("GOOGLEFINANCE(A17,""PRICEOPEN"")"),1243.9)</f>
        <v>1243.9</v>
      </c>
      <c r="D17" s="14">
        <f>IFERROR(__xludf.DUMMYFUNCTION("GOOGLEFINANCE(A17,""HIGH"")"),1265.4)</f>
        <v>1265.4</v>
      </c>
      <c r="E17" s="14">
        <f>IFERROR(__xludf.DUMMYFUNCTION("GOOGLEFINANCE(A17,""LOW"")"),1240.0)</f>
        <v>1240</v>
      </c>
      <c r="F17" s="15" t="str">
        <f t="shared" si="1"/>
        <v/>
      </c>
      <c r="G17" s="16">
        <f>IFERROR(__xludf.DUMMYFUNCTION("GOOGLEFINANCE(A17,""CLOSEYEST"")"),1244.7)</f>
        <v>1244.7</v>
      </c>
      <c r="H17" s="17" t="str">
        <f t="shared" si="2"/>
        <v/>
      </c>
      <c r="I17" s="18">
        <f t="shared" si="3"/>
        <v>1250.033333</v>
      </c>
      <c r="J17" s="19">
        <f t="shared" si="4"/>
        <v>1260.066667</v>
      </c>
      <c r="K17" s="19"/>
      <c r="L17" s="19">
        <f t="shared" si="5"/>
        <v>1234.666667</v>
      </c>
      <c r="M17" s="19">
        <f t="shared" si="6"/>
        <v>1275.433333</v>
      </c>
      <c r="N17" s="19">
        <f t="shared" si="7"/>
        <v>1224.633333</v>
      </c>
    </row>
    <row r="18" ht="24.75" customHeight="1">
      <c r="A18" s="12" t="s">
        <v>30</v>
      </c>
      <c r="B18" s="13">
        <f>IFERROR(__xludf.DUMMYFUNCTION("GOOGLEFINANCE(A18,""PRICE"")"),6935.0)</f>
        <v>6935</v>
      </c>
      <c r="C18" s="14">
        <f>IFERROR(__xludf.DUMMYFUNCTION("GOOGLEFINANCE(A18,""PRICEOPEN"")"),7000.0)</f>
        <v>7000</v>
      </c>
      <c r="D18" s="14">
        <f>IFERROR(__xludf.DUMMYFUNCTION("GOOGLEFINANCE(A18,""HIGH"")"),7008.5)</f>
        <v>7008.5</v>
      </c>
      <c r="E18" s="14">
        <f>IFERROR(__xludf.DUMMYFUNCTION("GOOGLEFINANCE(A18,""LOW"")"),6850.0)</f>
        <v>6850</v>
      </c>
      <c r="F18" s="15" t="str">
        <f t="shared" si="1"/>
        <v/>
      </c>
      <c r="G18" s="16">
        <f>IFERROR(__xludf.DUMMYFUNCTION("GOOGLEFINANCE(A18,""CLOSEYEST"")"),7021.5)</f>
        <v>7021.5</v>
      </c>
      <c r="H18" s="17" t="str">
        <f t="shared" si="2"/>
        <v/>
      </c>
      <c r="I18" s="18">
        <f t="shared" si="3"/>
        <v>6960</v>
      </c>
      <c r="J18" s="19">
        <f t="shared" si="4"/>
        <v>7070</v>
      </c>
      <c r="K18" s="19"/>
      <c r="L18" s="19">
        <f t="shared" si="5"/>
        <v>6911.5</v>
      </c>
      <c r="M18" s="19">
        <f t="shared" si="6"/>
        <v>7118.5</v>
      </c>
      <c r="N18" s="19">
        <f t="shared" si="7"/>
        <v>6801.5</v>
      </c>
    </row>
    <row r="19" ht="24.75" customHeight="1">
      <c r="A19" s="12" t="s">
        <v>31</v>
      </c>
      <c r="B19" s="13">
        <f>IFERROR(__xludf.DUMMYFUNCTION("GOOGLEFINANCE(A19,""PRICE"")"),2799.3)</f>
        <v>2799.3</v>
      </c>
      <c r="C19" s="14">
        <f>IFERROR(__xludf.DUMMYFUNCTION("GOOGLEFINANCE(A19,""PRICEOPEN"")"),2800.0)</f>
        <v>2800</v>
      </c>
      <c r="D19" s="14">
        <f>IFERROR(__xludf.DUMMYFUNCTION("GOOGLEFINANCE(A19,""HIGH"")"),2806.8)</f>
        <v>2806.8</v>
      </c>
      <c r="E19" s="14">
        <f>IFERROR(__xludf.DUMMYFUNCTION("GOOGLEFINANCE(A19,""LOW"")"),2766.0)</f>
        <v>2766</v>
      </c>
      <c r="F19" s="15" t="str">
        <f t="shared" si="1"/>
        <v/>
      </c>
      <c r="G19" s="16">
        <f>IFERROR(__xludf.DUMMYFUNCTION("GOOGLEFINANCE(A19,""CLOSEYEST"")"),2789.7)</f>
        <v>2789.7</v>
      </c>
      <c r="H19" s="17" t="str">
        <f t="shared" si="2"/>
        <v/>
      </c>
      <c r="I19" s="18">
        <f t="shared" si="3"/>
        <v>2787.5</v>
      </c>
      <c r="J19" s="19">
        <f t="shared" si="4"/>
        <v>2809</v>
      </c>
      <c r="K19" s="19"/>
      <c r="L19" s="19">
        <f t="shared" si="5"/>
        <v>2768.2</v>
      </c>
      <c r="M19" s="19">
        <f t="shared" si="6"/>
        <v>2828.3</v>
      </c>
      <c r="N19" s="19">
        <f t="shared" si="7"/>
        <v>2746.7</v>
      </c>
    </row>
    <row r="20" ht="24.75" customHeight="1">
      <c r="A20" s="12" t="s">
        <v>32</v>
      </c>
      <c r="B20" s="13">
        <f>IFERROR(__xludf.DUMMYFUNCTION("GOOGLEFINANCE(A20,""PRICE"")"),1392.8)</f>
        <v>1392.8</v>
      </c>
      <c r="C20" s="14">
        <f>IFERROR(__xludf.DUMMYFUNCTION("GOOGLEFINANCE(A20,""PRICEOPEN"")"),1396.5)</f>
        <v>1396.5</v>
      </c>
      <c r="D20" s="14">
        <f>IFERROR(__xludf.DUMMYFUNCTION("GOOGLEFINANCE(A20,""HIGH"")"),1399.8)</f>
        <v>1399.8</v>
      </c>
      <c r="E20" s="14">
        <f>IFERROR(__xludf.DUMMYFUNCTION("GOOGLEFINANCE(A20,""LOW"")"),1380.4)</f>
        <v>1380.4</v>
      </c>
      <c r="F20" s="15" t="str">
        <f t="shared" si="1"/>
        <v/>
      </c>
      <c r="G20" s="16">
        <f>IFERROR(__xludf.DUMMYFUNCTION("GOOGLEFINANCE(A20,""CLOSEYEST"")"),1389.5)</f>
        <v>1389.5</v>
      </c>
      <c r="H20" s="17" t="str">
        <f t="shared" si="2"/>
        <v/>
      </c>
      <c r="I20" s="18">
        <f t="shared" si="3"/>
        <v>1389.9</v>
      </c>
      <c r="J20" s="19">
        <f t="shared" si="4"/>
        <v>1399.4</v>
      </c>
      <c r="K20" s="19"/>
      <c r="L20" s="19">
        <f t="shared" si="5"/>
        <v>1380</v>
      </c>
      <c r="M20" s="19">
        <f t="shared" si="6"/>
        <v>1409.3</v>
      </c>
      <c r="N20" s="19">
        <f t="shared" si="7"/>
        <v>1370.5</v>
      </c>
    </row>
    <row r="21" ht="24.75" customHeight="1">
      <c r="A21" s="12" t="s">
        <v>33</v>
      </c>
      <c r="B21" s="13">
        <f>IFERROR(__xludf.DUMMYFUNCTION("GOOGLEFINANCE(A21,""PRICE"")"),963.7)</f>
        <v>963.7</v>
      </c>
      <c r="C21" s="14">
        <f>IFERROR(__xludf.DUMMYFUNCTION("GOOGLEFINANCE(A21,""PRICEOPEN"")"),952.0)</f>
        <v>952</v>
      </c>
      <c r="D21" s="14">
        <f>IFERROR(__xludf.DUMMYFUNCTION("GOOGLEFINANCE(A21,""HIGH"")"),966.75)</f>
        <v>966.75</v>
      </c>
      <c r="E21" s="14">
        <f>IFERROR(__xludf.DUMMYFUNCTION("GOOGLEFINANCE(A21,""LOW"")"),952.0)</f>
        <v>952</v>
      </c>
      <c r="F21" s="15" t="str">
        <f t="shared" si="1"/>
        <v>BUY</v>
      </c>
      <c r="G21" s="16">
        <f>IFERROR(__xludf.DUMMYFUNCTION("GOOGLEFINANCE(A21,""CLOSEYEST"")"),965.25)</f>
        <v>965.25</v>
      </c>
      <c r="H21" s="17" t="str">
        <f t="shared" si="2"/>
        <v>GAP DOWN</v>
      </c>
      <c r="I21" s="18">
        <f t="shared" si="3"/>
        <v>961.3333333</v>
      </c>
      <c r="J21" s="19">
        <f t="shared" si="4"/>
        <v>970.6666667</v>
      </c>
      <c r="K21" s="19"/>
      <c r="L21" s="19">
        <f t="shared" si="5"/>
        <v>955.9166667</v>
      </c>
      <c r="M21" s="19">
        <f t="shared" si="6"/>
        <v>976.0833333</v>
      </c>
      <c r="N21" s="19">
        <f t="shared" si="7"/>
        <v>946.5833333</v>
      </c>
    </row>
    <row r="22" ht="24.75" customHeight="1">
      <c r="A22" s="12" t="s">
        <v>34</v>
      </c>
      <c r="B22" s="13">
        <f>IFERROR(__xludf.DUMMYFUNCTION("GOOGLEFINANCE(A22,""PRICE"")"),760.0)</f>
        <v>760</v>
      </c>
      <c r="C22" s="14">
        <f>IFERROR(__xludf.DUMMYFUNCTION("GOOGLEFINANCE(A22,""PRICEOPEN"")"),756.65)</f>
        <v>756.65</v>
      </c>
      <c r="D22" s="14">
        <f>IFERROR(__xludf.DUMMYFUNCTION("GOOGLEFINANCE(A22,""HIGH"")"),767.15)</f>
        <v>767.15</v>
      </c>
      <c r="E22" s="14">
        <f>IFERROR(__xludf.DUMMYFUNCTION("GOOGLEFINANCE(A22,""LOW"")"),754.95)</f>
        <v>754.95</v>
      </c>
      <c r="F22" s="15" t="str">
        <f t="shared" si="1"/>
        <v/>
      </c>
      <c r="G22" s="16">
        <f>IFERROR(__xludf.DUMMYFUNCTION("GOOGLEFINANCE(A22,""CLOSEYEST"")"),764.0)</f>
        <v>764</v>
      </c>
      <c r="H22" s="17" t="str">
        <f t="shared" si="2"/>
        <v/>
      </c>
      <c r="I22" s="18">
        <f t="shared" si="3"/>
        <v>762.0333333</v>
      </c>
      <c r="J22" s="19">
        <f t="shared" si="4"/>
        <v>769.1166667</v>
      </c>
      <c r="K22" s="19"/>
      <c r="L22" s="19">
        <f t="shared" si="5"/>
        <v>756.9166667</v>
      </c>
      <c r="M22" s="19">
        <f t="shared" si="6"/>
        <v>774.2333333</v>
      </c>
      <c r="N22" s="19">
        <f t="shared" si="7"/>
        <v>749.8333333</v>
      </c>
    </row>
    <row r="23" ht="24.75" customHeight="1">
      <c r="A23" s="12"/>
      <c r="B23" s="13"/>
      <c r="C23" s="14"/>
      <c r="D23" s="14"/>
      <c r="E23" s="14"/>
      <c r="F23" s="15"/>
      <c r="G23" s="16"/>
      <c r="H23" s="17"/>
      <c r="I23" s="18"/>
      <c r="J23" s="19"/>
      <c r="K23" s="19"/>
      <c r="L23" s="19"/>
      <c r="M23" s="20"/>
      <c r="N23" s="20"/>
    </row>
    <row r="24" ht="24.75" customHeight="1">
      <c r="A24" s="12" t="s">
        <v>35</v>
      </c>
      <c r="B24" s="13">
        <f>IFERROR(__xludf.DUMMYFUNCTION("GOOGLEFINANCE(A24,""PRICE"")"),5545.5)</f>
        <v>5545.5</v>
      </c>
      <c r="C24" s="14">
        <f>IFERROR(__xludf.DUMMYFUNCTION("GOOGLEFINANCE(A24,""PRICEOPEN"")"),5465.0)</f>
        <v>5465</v>
      </c>
      <c r="D24" s="14">
        <f>IFERROR(__xludf.DUMMYFUNCTION("GOOGLEFINANCE(A24,""HIGH"")"),5584.0)</f>
        <v>5584</v>
      </c>
      <c r="E24" s="14">
        <f>IFERROR(__xludf.DUMMYFUNCTION("GOOGLEFINANCE(A24,""LOW"")"),5370.5)</f>
        <v>5370.5</v>
      </c>
      <c r="F24" s="15" t="str">
        <f t="shared" ref="F24:F1592" si="8">IF(C24=D24,"SELL",IF(C24=E24,"BUY", ""))</f>
        <v/>
      </c>
      <c r="G24" s="16">
        <f>IFERROR(__xludf.DUMMYFUNCTION("GOOGLEFINANCE(A24,""CLOSEYEST"")"),5432.5)</f>
        <v>5432.5</v>
      </c>
      <c r="H24" s="17" t="str">
        <f>IF(C24&gt;=(G24+(G24*1%)),"GAP UP",IF(C24&lt;=(G24-(G24*1%)),"GAP DOWN",""))</f>
        <v/>
      </c>
      <c r="I24" s="18">
        <f t="shared" ref="I24:I1592" si="9">(D24+E24+G24)/3</f>
        <v>5462.333333</v>
      </c>
      <c r="J24" s="19">
        <f t="shared" ref="J24:J1592" si="10">(I24*2)-E24</f>
        <v>5554.166667</v>
      </c>
      <c r="K24" s="19"/>
      <c r="L24" s="19">
        <f t="shared" ref="L24:L1592" si="11">(I24*2)-D24</f>
        <v>5340.666667</v>
      </c>
      <c r="M24" s="19">
        <f t="shared" ref="M24:M1592" si="12">I24+(J24-L24)</f>
        <v>5675.833333</v>
      </c>
      <c r="N24" s="19">
        <f t="shared" ref="N24:N1592" si="13">I24-(J24-L24)</f>
        <v>5248.833333</v>
      </c>
    </row>
    <row r="25" ht="24.75" customHeight="1">
      <c r="A25" s="12" t="s">
        <v>36</v>
      </c>
      <c r="B25" s="13">
        <f>IFERROR(__xludf.DUMMYFUNCTION("GOOGLEFINANCE(A25,""PRICE"")"),780.0)</f>
        <v>780</v>
      </c>
      <c r="C25" s="14">
        <f>IFERROR(__xludf.DUMMYFUNCTION("GOOGLEFINANCE(A25,""PRICEOPEN"")"),766.0)</f>
        <v>766</v>
      </c>
      <c r="D25" s="14">
        <f>IFERROR(__xludf.DUMMYFUNCTION("GOOGLEFINANCE(A25,""HIGH"")"),790.6)</f>
        <v>790.6</v>
      </c>
      <c r="E25" s="14">
        <f>IFERROR(__xludf.DUMMYFUNCTION("GOOGLEFINANCE(A25,""LOW"")"),764.1)</f>
        <v>764.1</v>
      </c>
      <c r="F25" s="15" t="str">
        <f t="shared" si="8"/>
        <v/>
      </c>
      <c r="G25" s="16">
        <f>IFERROR(__xludf.DUMMYFUNCTION("GOOGLEFINANCE(A25,""CLOSEYEST"")"),765.95)</f>
        <v>765.95</v>
      </c>
      <c r="H25" s="17" t="s">
        <v>37</v>
      </c>
      <c r="I25" s="18">
        <f t="shared" si="9"/>
        <v>773.55</v>
      </c>
      <c r="J25" s="19">
        <f t="shared" si="10"/>
        <v>783</v>
      </c>
      <c r="K25" s="19"/>
      <c r="L25" s="19">
        <f t="shared" si="11"/>
        <v>756.5</v>
      </c>
      <c r="M25" s="19">
        <f t="shared" si="12"/>
        <v>800.05</v>
      </c>
      <c r="N25" s="19">
        <f t="shared" si="13"/>
        <v>747.05</v>
      </c>
    </row>
    <row r="26" ht="24.75" customHeight="1">
      <c r="A26" s="12" t="s">
        <v>38</v>
      </c>
      <c r="B26" s="13">
        <f>IFERROR(__xludf.DUMMYFUNCTION("GOOGLEFINANCE(A26,""PRICE"")"),2539.0)</f>
        <v>2539</v>
      </c>
      <c r="C26" s="14">
        <f>IFERROR(__xludf.DUMMYFUNCTION("GOOGLEFINANCE(A26,""PRICEOPEN"")"),2536.2)</f>
        <v>2536.2</v>
      </c>
      <c r="D26" s="14">
        <f>IFERROR(__xludf.DUMMYFUNCTION("GOOGLEFINANCE(A26,""HIGH"")"),2548.6)</f>
        <v>2548.6</v>
      </c>
      <c r="E26" s="14">
        <f>IFERROR(__xludf.DUMMYFUNCTION("GOOGLEFINANCE(A26,""LOW"")"),2508.3)</f>
        <v>2508.3</v>
      </c>
      <c r="F26" s="15" t="str">
        <f t="shared" si="8"/>
        <v/>
      </c>
      <c r="G26" s="16">
        <f>IFERROR(__xludf.DUMMYFUNCTION("GOOGLEFINANCE(A26,""CLOSEYEST"")"),2536.2)</f>
        <v>2536.2</v>
      </c>
      <c r="H26" s="17" t="str">
        <f t="shared" ref="H26:H1592" si="14">IF(C26&gt;=(G26+(G26*1%)),"GAP UP",IF(C26&lt;=(G26-(G26*1%)),"GAP DOWN",""))</f>
        <v/>
      </c>
      <c r="I26" s="18">
        <f t="shared" si="9"/>
        <v>2531.033333</v>
      </c>
      <c r="J26" s="19">
        <f t="shared" si="10"/>
        <v>2553.766667</v>
      </c>
      <c r="K26" s="19"/>
      <c r="L26" s="19">
        <f t="shared" si="11"/>
        <v>2513.466667</v>
      </c>
      <c r="M26" s="19">
        <f t="shared" si="12"/>
        <v>2571.333333</v>
      </c>
      <c r="N26" s="19">
        <f t="shared" si="13"/>
        <v>2490.733333</v>
      </c>
    </row>
    <row r="27" ht="24.75" customHeight="1">
      <c r="A27" s="12" t="s">
        <v>39</v>
      </c>
      <c r="B27" s="13" t="str">
        <f>IFERROR(__xludf.DUMMYFUNCTION("GOOGLEFINANCE(A27,""PRICE"")"),"#N/A")</f>
        <v>#N/A</v>
      </c>
      <c r="C27" s="14" t="str">
        <f>IFERROR(__xludf.DUMMYFUNCTION("GOOGLEFINANCE(A27,""PRICEOPEN"")"),"#N/A")</f>
        <v>#N/A</v>
      </c>
      <c r="D27" s="14" t="str">
        <f>IFERROR(__xludf.DUMMYFUNCTION("GOOGLEFINANCE(A27,""HIGH"")"),"#N/A")</f>
        <v>#N/A</v>
      </c>
      <c r="E27" s="14" t="str">
        <f>IFERROR(__xludf.DUMMYFUNCTION("GOOGLEFINANCE(A27,""LOW"")"),"#N/A")</f>
        <v>#N/A</v>
      </c>
      <c r="F27" s="15" t="str">
        <f t="shared" si="8"/>
        <v>#N/A</v>
      </c>
      <c r="G27" s="16" t="str">
        <f>IFERROR(__xludf.DUMMYFUNCTION("GOOGLEFINANCE(A27,""CLOSEYEST"")"),"#N/A")</f>
        <v>#N/A</v>
      </c>
      <c r="H27" s="17" t="str">
        <f t="shared" si="14"/>
        <v>#N/A</v>
      </c>
      <c r="I27" s="18" t="str">
        <f t="shared" si="9"/>
        <v>#N/A</v>
      </c>
      <c r="J27" s="19" t="str">
        <f t="shared" si="10"/>
        <v>#N/A</v>
      </c>
      <c r="K27" s="19"/>
      <c r="L27" s="19" t="str">
        <f t="shared" si="11"/>
        <v>#N/A</v>
      </c>
      <c r="M27" s="20" t="str">
        <f t="shared" si="12"/>
        <v>#N/A</v>
      </c>
      <c r="N27" s="20" t="str">
        <f t="shared" si="13"/>
        <v>#N/A</v>
      </c>
    </row>
    <row r="28" ht="24.75" customHeight="1">
      <c r="A28" s="12" t="s">
        <v>40</v>
      </c>
      <c r="B28" s="13">
        <f>IFERROR(__xludf.DUMMYFUNCTION("GOOGLEFINANCE(A28,""PRICE"")"),1365.0)</f>
        <v>1365</v>
      </c>
      <c r="C28" s="14">
        <f>IFERROR(__xludf.DUMMYFUNCTION("GOOGLEFINANCE(A28,""PRICEOPEN"")"),1371.9)</f>
        <v>1371.9</v>
      </c>
      <c r="D28" s="14">
        <f>IFERROR(__xludf.DUMMYFUNCTION("GOOGLEFINANCE(A28,""HIGH"")"),1371.9)</f>
        <v>1371.9</v>
      </c>
      <c r="E28" s="14">
        <f>IFERROR(__xludf.DUMMYFUNCTION("GOOGLEFINANCE(A28,""LOW"")"),1361.3)</f>
        <v>1361.3</v>
      </c>
      <c r="F28" s="15" t="str">
        <f t="shared" si="8"/>
        <v>SELL</v>
      </c>
      <c r="G28" s="16">
        <f>IFERROR(__xludf.DUMMYFUNCTION("GOOGLEFINANCE(A28,""CLOSEYEST"")"),1372.0)</f>
        <v>1372</v>
      </c>
      <c r="H28" s="17" t="str">
        <f t="shared" si="14"/>
        <v/>
      </c>
      <c r="I28" s="18">
        <f t="shared" si="9"/>
        <v>1368.4</v>
      </c>
      <c r="J28" s="19">
        <f t="shared" si="10"/>
        <v>1375.5</v>
      </c>
      <c r="K28" s="19"/>
      <c r="L28" s="19">
        <f t="shared" si="11"/>
        <v>1364.9</v>
      </c>
      <c r="M28" s="19">
        <f t="shared" si="12"/>
        <v>1379</v>
      </c>
      <c r="N28" s="19">
        <f t="shared" si="13"/>
        <v>1357.8</v>
      </c>
    </row>
    <row r="29" ht="24.75" customHeight="1">
      <c r="A29" s="12" t="s">
        <v>41</v>
      </c>
      <c r="B29" s="13" t="str">
        <f>IFERROR(__xludf.DUMMYFUNCTION("GOOGLEFINANCE(A29,""PRICE"")"),"#N/A")</f>
        <v>#N/A</v>
      </c>
      <c r="C29" s="14" t="str">
        <f>IFERROR(__xludf.DUMMYFUNCTION("GOOGLEFINANCE(A29,""PRICEOPEN"")"),"#N/A")</f>
        <v>#N/A</v>
      </c>
      <c r="D29" s="14" t="str">
        <f>IFERROR(__xludf.DUMMYFUNCTION("GOOGLEFINANCE(A29,""HIGH"")"),"#N/A")</f>
        <v>#N/A</v>
      </c>
      <c r="E29" s="14" t="str">
        <f>IFERROR(__xludf.DUMMYFUNCTION("GOOGLEFINANCE(A29,""LOW"")"),"#N/A")</f>
        <v>#N/A</v>
      </c>
      <c r="F29" s="15" t="str">
        <f t="shared" si="8"/>
        <v>#N/A</v>
      </c>
      <c r="G29" s="16" t="str">
        <f>IFERROR(__xludf.DUMMYFUNCTION("GOOGLEFINANCE(A29,""CLOSEYEST"")"),"#N/A")</f>
        <v>#N/A</v>
      </c>
      <c r="H29" s="17" t="str">
        <f t="shared" si="14"/>
        <v>#N/A</v>
      </c>
      <c r="I29" s="18" t="str">
        <f t="shared" si="9"/>
        <v>#N/A</v>
      </c>
      <c r="J29" s="19" t="str">
        <f t="shared" si="10"/>
        <v>#N/A</v>
      </c>
      <c r="K29" s="19"/>
      <c r="L29" s="19" t="str">
        <f t="shared" si="11"/>
        <v>#N/A</v>
      </c>
      <c r="M29" s="20" t="str">
        <f t="shared" si="12"/>
        <v>#N/A</v>
      </c>
      <c r="N29" s="20" t="str">
        <f t="shared" si="13"/>
        <v>#N/A</v>
      </c>
    </row>
    <row r="30" ht="24.75" customHeight="1">
      <c r="A30" s="12" t="s">
        <v>42</v>
      </c>
      <c r="B30" s="13">
        <f>IFERROR(__xludf.DUMMYFUNCTION("GOOGLEFINANCE(A30,""PRICE"")"),748.0)</f>
        <v>748</v>
      </c>
      <c r="C30" s="14">
        <f>IFERROR(__xludf.DUMMYFUNCTION("GOOGLEFINANCE(A30,""PRICEOPEN"")"),743.2)</f>
        <v>743.2</v>
      </c>
      <c r="D30" s="14">
        <f>IFERROR(__xludf.DUMMYFUNCTION("GOOGLEFINANCE(A30,""HIGH"")"),758.95)</f>
        <v>758.95</v>
      </c>
      <c r="E30" s="14">
        <f>IFERROR(__xludf.DUMMYFUNCTION("GOOGLEFINANCE(A30,""LOW"")"),741.75)</f>
        <v>741.75</v>
      </c>
      <c r="F30" s="15" t="str">
        <f t="shared" si="8"/>
        <v/>
      </c>
      <c r="G30" s="16">
        <f>IFERROR(__xludf.DUMMYFUNCTION("GOOGLEFINANCE(A30,""CLOSEYEST"")"),743.15)</f>
        <v>743.15</v>
      </c>
      <c r="H30" s="17" t="str">
        <f t="shared" si="14"/>
        <v/>
      </c>
      <c r="I30" s="18">
        <f t="shared" si="9"/>
        <v>747.95</v>
      </c>
      <c r="J30" s="19">
        <f t="shared" si="10"/>
        <v>754.15</v>
      </c>
      <c r="K30" s="19"/>
      <c r="L30" s="19">
        <f t="shared" si="11"/>
        <v>736.95</v>
      </c>
      <c r="M30" s="19">
        <f t="shared" si="12"/>
        <v>765.15</v>
      </c>
      <c r="N30" s="19">
        <f t="shared" si="13"/>
        <v>730.75</v>
      </c>
    </row>
    <row r="31" ht="24.75" customHeight="1">
      <c r="A31" s="12" t="s">
        <v>43</v>
      </c>
      <c r="B31" s="13">
        <f>IFERROR(__xludf.DUMMYFUNCTION("GOOGLEFINANCE(A31,""PRICE"")"),16.23)</f>
        <v>16.23</v>
      </c>
      <c r="C31" s="14">
        <f>IFERROR(__xludf.DUMMYFUNCTION("GOOGLEFINANCE(A31,""PRICEOPEN"")"),16.24)</f>
        <v>16.24</v>
      </c>
      <c r="D31" s="14">
        <f>IFERROR(__xludf.DUMMYFUNCTION("GOOGLEFINANCE(A31,""HIGH"")"),16.25)</f>
        <v>16.25</v>
      </c>
      <c r="E31" s="14">
        <f>IFERROR(__xludf.DUMMYFUNCTION("GOOGLEFINANCE(A31,""LOW"")"),16.07)</f>
        <v>16.07</v>
      </c>
      <c r="F31" s="15" t="str">
        <f t="shared" si="8"/>
        <v/>
      </c>
      <c r="G31" s="16">
        <f>IFERROR(__xludf.DUMMYFUNCTION("GOOGLEFINANCE(A31,""CLOSEYEST"")"),16.15)</f>
        <v>16.15</v>
      </c>
      <c r="H31" s="17" t="str">
        <f t="shared" si="14"/>
        <v/>
      </c>
      <c r="I31" s="18">
        <f t="shared" si="9"/>
        <v>16.15666667</v>
      </c>
      <c r="J31" s="19">
        <f t="shared" si="10"/>
        <v>16.24333333</v>
      </c>
      <c r="K31" s="19"/>
      <c r="L31" s="19">
        <f t="shared" si="11"/>
        <v>16.06333333</v>
      </c>
      <c r="M31" s="19">
        <f t="shared" si="12"/>
        <v>16.33666667</v>
      </c>
      <c r="N31" s="19">
        <f t="shared" si="13"/>
        <v>15.97666667</v>
      </c>
    </row>
    <row r="32" ht="24.75" customHeight="1">
      <c r="A32" s="12" t="s">
        <v>44</v>
      </c>
      <c r="B32" s="13">
        <f>IFERROR(__xludf.DUMMYFUNCTION("GOOGLEFINANCE(A32,""PRICE"")"),1160.8)</f>
        <v>1160.8</v>
      </c>
      <c r="C32" s="14">
        <f>IFERROR(__xludf.DUMMYFUNCTION("GOOGLEFINANCE(A32,""PRICEOPEN"")"),1146.1)</f>
        <v>1146.1</v>
      </c>
      <c r="D32" s="14">
        <f>IFERROR(__xludf.DUMMYFUNCTION("GOOGLEFINANCE(A32,""HIGH"")"),1175.8)</f>
        <v>1175.8</v>
      </c>
      <c r="E32" s="14">
        <f>IFERROR(__xludf.DUMMYFUNCTION("GOOGLEFINANCE(A32,""LOW"")"),1145.9)</f>
        <v>1145.9</v>
      </c>
      <c r="F32" s="15" t="str">
        <f t="shared" si="8"/>
        <v/>
      </c>
      <c r="G32" s="16">
        <f>IFERROR(__xludf.DUMMYFUNCTION("GOOGLEFINANCE(A32,""CLOSEYEST"")"),1146.1)</f>
        <v>1146.1</v>
      </c>
      <c r="H32" s="17" t="str">
        <f t="shared" si="14"/>
        <v/>
      </c>
      <c r="I32" s="18">
        <f t="shared" si="9"/>
        <v>1155.933333</v>
      </c>
      <c r="J32" s="19">
        <f t="shared" si="10"/>
        <v>1165.966667</v>
      </c>
      <c r="K32" s="19"/>
      <c r="L32" s="19">
        <f t="shared" si="11"/>
        <v>1136.066667</v>
      </c>
      <c r="M32" s="19">
        <f t="shared" si="12"/>
        <v>1185.833333</v>
      </c>
      <c r="N32" s="19">
        <f t="shared" si="13"/>
        <v>1126.033333</v>
      </c>
    </row>
    <row r="33" ht="24.75" customHeight="1">
      <c r="A33" s="12" t="s">
        <v>45</v>
      </c>
      <c r="B33" s="13">
        <f>IFERROR(__xludf.DUMMYFUNCTION("GOOGLEFINANCE(A33,""PRICE"")"),2108.0)</f>
        <v>2108</v>
      </c>
      <c r="C33" s="14">
        <f>IFERROR(__xludf.DUMMYFUNCTION("GOOGLEFINANCE(A33,""PRICEOPEN"")"),2063.3)</f>
        <v>2063.3</v>
      </c>
      <c r="D33" s="14">
        <f>IFERROR(__xludf.DUMMYFUNCTION("GOOGLEFINANCE(A33,""HIGH"")"),2108.0)</f>
        <v>2108</v>
      </c>
      <c r="E33" s="14">
        <f>IFERROR(__xludf.DUMMYFUNCTION("GOOGLEFINANCE(A33,""LOW"")"),2062.0)</f>
        <v>2062</v>
      </c>
      <c r="F33" s="15" t="str">
        <f t="shared" si="8"/>
        <v/>
      </c>
      <c r="G33" s="16">
        <f>IFERROR(__xludf.DUMMYFUNCTION("GOOGLEFINANCE(A33,""CLOSEYEST"")"),2063.3)</f>
        <v>2063.3</v>
      </c>
      <c r="H33" s="17" t="str">
        <f t="shared" si="14"/>
        <v/>
      </c>
      <c r="I33" s="18">
        <f t="shared" si="9"/>
        <v>2077.766667</v>
      </c>
      <c r="J33" s="19">
        <f t="shared" si="10"/>
        <v>2093.533333</v>
      </c>
      <c r="K33" s="19"/>
      <c r="L33" s="19">
        <f t="shared" si="11"/>
        <v>2047.533333</v>
      </c>
      <c r="M33" s="19">
        <f t="shared" si="12"/>
        <v>2123.766667</v>
      </c>
      <c r="N33" s="19">
        <f t="shared" si="13"/>
        <v>2031.766667</v>
      </c>
    </row>
    <row r="34" ht="24.75" customHeight="1">
      <c r="A34" s="12" t="s">
        <v>46</v>
      </c>
      <c r="B34" s="13">
        <f>IFERROR(__xludf.DUMMYFUNCTION("GOOGLEFINANCE(A34,""PRICE"")"),3742.9)</f>
        <v>3742.9</v>
      </c>
      <c r="C34" s="14">
        <f>IFERROR(__xludf.DUMMYFUNCTION("GOOGLEFINANCE(A34,""PRICEOPEN"")"),3690.0)</f>
        <v>3690</v>
      </c>
      <c r="D34" s="14">
        <f>IFERROR(__xludf.DUMMYFUNCTION("GOOGLEFINANCE(A34,""HIGH"")"),3746.0)</f>
        <v>3746</v>
      </c>
      <c r="E34" s="14">
        <f>IFERROR(__xludf.DUMMYFUNCTION("GOOGLEFINANCE(A34,""LOW"")"),3666.3)</f>
        <v>3666.3</v>
      </c>
      <c r="F34" s="15" t="str">
        <f t="shared" si="8"/>
        <v/>
      </c>
      <c r="G34" s="16">
        <f>IFERROR(__xludf.DUMMYFUNCTION("GOOGLEFINANCE(A34,""CLOSEYEST"")"),3670.3)</f>
        <v>3670.3</v>
      </c>
      <c r="H34" s="17" t="str">
        <f t="shared" si="14"/>
        <v/>
      </c>
      <c r="I34" s="18">
        <f t="shared" si="9"/>
        <v>3694.2</v>
      </c>
      <c r="J34" s="19">
        <f t="shared" si="10"/>
        <v>3722.1</v>
      </c>
      <c r="K34" s="19"/>
      <c r="L34" s="19">
        <f t="shared" si="11"/>
        <v>3642.4</v>
      </c>
      <c r="M34" s="19">
        <f t="shared" si="12"/>
        <v>3773.9</v>
      </c>
      <c r="N34" s="19">
        <f t="shared" si="13"/>
        <v>3614.5</v>
      </c>
    </row>
    <row r="35" ht="24.75" customHeight="1">
      <c r="A35" s="12" t="s">
        <v>47</v>
      </c>
      <c r="B35" s="13">
        <f>IFERROR(__xludf.DUMMYFUNCTION("GOOGLEFINANCE(A35,""PRICE"")"),3460.0)</f>
        <v>3460</v>
      </c>
      <c r="C35" s="14">
        <f>IFERROR(__xludf.DUMMYFUNCTION("GOOGLEFINANCE(A35,""PRICEOPEN"")"),3462.1)</f>
        <v>3462.1</v>
      </c>
      <c r="D35" s="14">
        <f>IFERROR(__xludf.DUMMYFUNCTION("GOOGLEFINANCE(A35,""HIGH"")"),3492.4)</f>
        <v>3492.4</v>
      </c>
      <c r="E35" s="14">
        <f>IFERROR(__xludf.DUMMYFUNCTION("GOOGLEFINANCE(A35,""LOW"")"),3404.2)</f>
        <v>3404.2</v>
      </c>
      <c r="F35" s="15" t="str">
        <f t="shared" si="8"/>
        <v/>
      </c>
      <c r="G35" s="16">
        <f>IFERROR(__xludf.DUMMYFUNCTION("GOOGLEFINANCE(A35,""CLOSEYEST"")"),3463.4)</f>
        <v>3463.4</v>
      </c>
      <c r="H35" s="17" t="str">
        <f t="shared" si="14"/>
        <v/>
      </c>
      <c r="I35" s="18">
        <f t="shared" si="9"/>
        <v>3453.333333</v>
      </c>
      <c r="J35" s="19">
        <f t="shared" si="10"/>
        <v>3502.466667</v>
      </c>
      <c r="K35" s="19"/>
      <c r="L35" s="19">
        <f t="shared" si="11"/>
        <v>3414.266667</v>
      </c>
      <c r="M35" s="19">
        <f t="shared" si="12"/>
        <v>3541.533333</v>
      </c>
      <c r="N35" s="19">
        <f t="shared" si="13"/>
        <v>3365.133333</v>
      </c>
    </row>
    <row r="36" ht="24.75" customHeight="1">
      <c r="A36" s="12" t="s">
        <v>48</v>
      </c>
      <c r="B36" s="13">
        <f>IFERROR(__xludf.DUMMYFUNCTION("GOOGLEFINANCE(A36,""PRICE"")"),15808.0)</f>
        <v>15808</v>
      </c>
      <c r="C36" s="14">
        <f>IFERROR(__xludf.DUMMYFUNCTION("GOOGLEFINANCE(A36,""PRICEOPEN"")"),15949.0)</f>
        <v>15949</v>
      </c>
      <c r="D36" s="14">
        <f>IFERROR(__xludf.DUMMYFUNCTION("GOOGLEFINANCE(A36,""HIGH"")"),16025.0)</f>
        <v>16025</v>
      </c>
      <c r="E36" s="14">
        <f>IFERROR(__xludf.DUMMYFUNCTION("GOOGLEFINANCE(A36,""LOW"")"),15736.0)</f>
        <v>15736</v>
      </c>
      <c r="F36" s="15" t="str">
        <f t="shared" si="8"/>
        <v/>
      </c>
      <c r="G36" s="16">
        <f>IFERROR(__xludf.DUMMYFUNCTION("GOOGLEFINANCE(A36,""CLOSEYEST"")"),15965.0)</f>
        <v>15965</v>
      </c>
      <c r="H36" s="17" t="str">
        <f t="shared" si="14"/>
        <v/>
      </c>
      <c r="I36" s="18">
        <f t="shared" si="9"/>
        <v>15908.66667</v>
      </c>
      <c r="J36" s="19">
        <f t="shared" si="10"/>
        <v>16081.33333</v>
      </c>
      <c r="K36" s="19"/>
      <c r="L36" s="19">
        <f t="shared" si="11"/>
        <v>15792.33333</v>
      </c>
      <c r="M36" s="19">
        <f t="shared" si="12"/>
        <v>16197.66667</v>
      </c>
      <c r="N36" s="19">
        <f t="shared" si="13"/>
        <v>15619.66667</v>
      </c>
    </row>
    <row r="37" ht="24.75" customHeight="1">
      <c r="A37" s="12" t="s">
        <v>49</v>
      </c>
      <c r="B37" s="13">
        <f>IFERROR(__xludf.DUMMYFUNCTION("GOOGLEFINANCE(A37,""PRICE"")"),341.8)</f>
        <v>341.8</v>
      </c>
      <c r="C37" s="14">
        <f>IFERROR(__xludf.DUMMYFUNCTION("GOOGLEFINANCE(A37,""PRICEOPEN"")"),340.25)</f>
        <v>340.25</v>
      </c>
      <c r="D37" s="14">
        <f>IFERROR(__xludf.DUMMYFUNCTION("GOOGLEFINANCE(A37,""HIGH"")"),343.5)</f>
        <v>343.5</v>
      </c>
      <c r="E37" s="14">
        <f>IFERROR(__xludf.DUMMYFUNCTION("GOOGLEFINANCE(A37,""LOW"")"),338.75)</f>
        <v>338.75</v>
      </c>
      <c r="F37" s="15" t="str">
        <f t="shared" si="8"/>
        <v/>
      </c>
      <c r="G37" s="16">
        <f>IFERROR(__xludf.DUMMYFUNCTION("GOOGLEFINANCE(A37,""CLOSEYEST"")"),340.25)</f>
        <v>340.25</v>
      </c>
      <c r="H37" s="17" t="str">
        <f t="shared" si="14"/>
        <v/>
      </c>
      <c r="I37" s="18">
        <f t="shared" si="9"/>
        <v>340.8333333</v>
      </c>
      <c r="J37" s="19">
        <f t="shared" si="10"/>
        <v>342.9166667</v>
      </c>
      <c r="K37" s="19"/>
      <c r="L37" s="19">
        <f t="shared" si="11"/>
        <v>338.1666667</v>
      </c>
      <c r="M37" s="19">
        <f t="shared" si="12"/>
        <v>345.5833333</v>
      </c>
      <c r="N37" s="19">
        <f t="shared" si="13"/>
        <v>336.0833333</v>
      </c>
    </row>
    <row r="38" ht="24.75" customHeight="1">
      <c r="A38" s="12" t="s">
        <v>50</v>
      </c>
      <c r="B38" s="13">
        <f>IFERROR(__xludf.DUMMYFUNCTION("GOOGLEFINANCE(A38,""PRICE"")"),1170.0)</f>
        <v>1170</v>
      </c>
      <c r="C38" s="14">
        <f>IFERROR(__xludf.DUMMYFUNCTION("GOOGLEFINANCE(A38,""PRICEOPEN"")"),1160.0)</f>
        <v>1160</v>
      </c>
      <c r="D38" s="14">
        <f>IFERROR(__xludf.DUMMYFUNCTION("GOOGLEFINANCE(A38,""HIGH"")"),1171.3)</f>
        <v>1171.3</v>
      </c>
      <c r="E38" s="14">
        <f>IFERROR(__xludf.DUMMYFUNCTION("GOOGLEFINANCE(A38,""LOW"")"),1154.4)</f>
        <v>1154.4</v>
      </c>
      <c r="F38" s="15" t="str">
        <f t="shared" si="8"/>
        <v/>
      </c>
      <c r="G38" s="16">
        <f>IFERROR(__xludf.DUMMYFUNCTION("GOOGLEFINANCE(A38,""CLOSEYEST"")"),1166.4)</f>
        <v>1166.4</v>
      </c>
      <c r="H38" s="17" t="str">
        <f t="shared" si="14"/>
        <v/>
      </c>
      <c r="I38" s="18">
        <f t="shared" si="9"/>
        <v>1164.033333</v>
      </c>
      <c r="J38" s="19">
        <f t="shared" si="10"/>
        <v>1173.666667</v>
      </c>
      <c r="K38" s="19"/>
      <c r="L38" s="19">
        <f t="shared" si="11"/>
        <v>1156.766667</v>
      </c>
      <c r="M38" s="19">
        <f t="shared" si="12"/>
        <v>1180.933333</v>
      </c>
      <c r="N38" s="19">
        <f t="shared" si="13"/>
        <v>1147.133333</v>
      </c>
    </row>
    <row r="39" ht="24.75" customHeight="1">
      <c r="A39" s="12" t="s">
        <v>51</v>
      </c>
      <c r="B39" s="13">
        <f>IFERROR(__xludf.DUMMYFUNCTION("GOOGLEFINANCE(A39,""PRICE"")"),243.78)</f>
        <v>243.78</v>
      </c>
      <c r="C39" s="14">
        <f>IFERROR(__xludf.DUMMYFUNCTION("GOOGLEFINANCE(A39,""PRICEOPEN"")"),242.5)</f>
        <v>242.5</v>
      </c>
      <c r="D39" s="14">
        <f>IFERROR(__xludf.DUMMYFUNCTION("GOOGLEFINANCE(A39,""HIGH"")"),244.2)</f>
        <v>244.2</v>
      </c>
      <c r="E39" s="14">
        <f>IFERROR(__xludf.DUMMYFUNCTION("GOOGLEFINANCE(A39,""LOW"")"),239.7)</f>
        <v>239.7</v>
      </c>
      <c r="F39" s="15" t="str">
        <f t="shared" si="8"/>
        <v/>
      </c>
      <c r="G39" s="16">
        <f>IFERROR(__xludf.DUMMYFUNCTION("GOOGLEFINANCE(A39,""CLOSEYEST"")"),243.04)</f>
        <v>243.04</v>
      </c>
      <c r="H39" s="17" t="str">
        <f t="shared" si="14"/>
        <v/>
      </c>
      <c r="I39" s="18">
        <f t="shared" si="9"/>
        <v>242.3133333</v>
      </c>
      <c r="J39" s="19">
        <f t="shared" si="10"/>
        <v>244.9266667</v>
      </c>
      <c r="K39" s="19"/>
      <c r="L39" s="19">
        <f t="shared" si="11"/>
        <v>240.4266667</v>
      </c>
      <c r="M39" s="19">
        <f t="shared" si="12"/>
        <v>246.8133333</v>
      </c>
      <c r="N39" s="19">
        <f t="shared" si="13"/>
        <v>237.8133333</v>
      </c>
    </row>
    <row r="40" ht="24.75" customHeight="1">
      <c r="A40" s="12" t="s">
        <v>52</v>
      </c>
      <c r="B40" s="13">
        <f>IFERROR(__xludf.DUMMYFUNCTION("GOOGLEFINANCE(A40,""PRICE"")"),288.65)</f>
        <v>288.65</v>
      </c>
      <c r="C40" s="14">
        <f>IFERROR(__xludf.DUMMYFUNCTION("GOOGLEFINANCE(A40,""PRICEOPEN"")"),283.35)</f>
        <v>283.35</v>
      </c>
      <c r="D40" s="14">
        <f>IFERROR(__xludf.DUMMYFUNCTION("GOOGLEFINANCE(A40,""HIGH"")"),290.0)</f>
        <v>290</v>
      </c>
      <c r="E40" s="14">
        <f>IFERROR(__xludf.DUMMYFUNCTION("GOOGLEFINANCE(A40,""LOW"")"),281.05)</f>
        <v>281.05</v>
      </c>
      <c r="F40" s="15" t="str">
        <f t="shared" si="8"/>
        <v/>
      </c>
      <c r="G40" s="16">
        <f>IFERROR(__xludf.DUMMYFUNCTION("GOOGLEFINANCE(A40,""CLOSEYEST"")"),280.65)</f>
        <v>280.65</v>
      </c>
      <c r="H40" s="17" t="str">
        <f t="shared" si="14"/>
        <v/>
      </c>
      <c r="I40" s="18">
        <f t="shared" si="9"/>
        <v>283.9</v>
      </c>
      <c r="J40" s="19">
        <f t="shared" si="10"/>
        <v>286.75</v>
      </c>
      <c r="K40" s="19"/>
      <c r="L40" s="19">
        <f t="shared" si="11"/>
        <v>277.8</v>
      </c>
      <c r="M40" s="19">
        <f t="shared" si="12"/>
        <v>292.85</v>
      </c>
      <c r="N40" s="19">
        <f t="shared" si="13"/>
        <v>274.95</v>
      </c>
    </row>
    <row r="41" ht="24.75" customHeight="1">
      <c r="A41" s="12" t="s">
        <v>53</v>
      </c>
      <c r="B41" s="13">
        <f>IFERROR(__xludf.DUMMYFUNCTION("GOOGLEFINANCE(A41,""PRICE"")"),1363.3)</f>
        <v>1363.3</v>
      </c>
      <c r="C41" s="14">
        <f>IFERROR(__xludf.DUMMYFUNCTION("GOOGLEFINANCE(A41,""PRICEOPEN"")"),1363.2)</f>
        <v>1363.2</v>
      </c>
      <c r="D41" s="14">
        <f>IFERROR(__xludf.DUMMYFUNCTION("GOOGLEFINANCE(A41,""HIGH"")"),1371.6)</f>
        <v>1371.6</v>
      </c>
      <c r="E41" s="14">
        <f>IFERROR(__xludf.DUMMYFUNCTION("GOOGLEFINANCE(A41,""LOW"")"),1356.9)</f>
        <v>1356.9</v>
      </c>
      <c r="F41" s="15" t="str">
        <f t="shared" si="8"/>
        <v/>
      </c>
      <c r="G41" s="16">
        <f>IFERROR(__xludf.DUMMYFUNCTION("GOOGLEFINANCE(A41,""CLOSEYEST"")"),1368.7)</f>
        <v>1368.7</v>
      </c>
      <c r="H41" s="17" t="str">
        <f t="shared" si="14"/>
        <v/>
      </c>
      <c r="I41" s="18">
        <f t="shared" si="9"/>
        <v>1365.733333</v>
      </c>
      <c r="J41" s="19">
        <f t="shared" si="10"/>
        <v>1374.566667</v>
      </c>
      <c r="K41" s="19"/>
      <c r="L41" s="19">
        <f t="shared" si="11"/>
        <v>1359.866667</v>
      </c>
      <c r="M41" s="19">
        <f t="shared" si="12"/>
        <v>1380.433333</v>
      </c>
      <c r="N41" s="19">
        <f t="shared" si="13"/>
        <v>1351.033333</v>
      </c>
    </row>
    <row r="42" ht="24.75" customHeight="1">
      <c r="A42" s="12" t="s">
        <v>54</v>
      </c>
      <c r="B42" s="13">
        <f>IFERROR(__xludf.DUMMYFUNCTION("GOOGLEFINANCE(A42,""PRICE"")"),1787.0)</f>
        <v>1787</v>
      </c>
      <c r="C42" s="14">
        <f>IFERROR(__xludf.DUMMYFUNCTION("GOOGLEFINANCE(A42,""PRICEOPEN"")"),1801.1)</f>
        <v>1801.1</v>
      </c>
      <c r="D42" s="14">
        <f>IFERROR(__xludf.DUMMYFUNCTION("GOOGLEFINANCE(A42,""HIGH"")"),1803.2)</f>
        <v>1803.2</v>
      </c>
      <c r="E42" s="14">
        <f>IFERROR(__xludf.DUMMYFUNCTION("GOOGLEFINANCE(A42,""LOW"")"),1766.2)</f>
        <v>1766.2</v>
      </c>
      <c r="F42" s="15" t="str">
        <f t="shared" si="8"/>
        <v/>
      </c>
      <c r="G42" s="16">
        <f>IFERROR(__xludf.DUMMYFUNCTION("GOOGLEFINANCE(A42,""CLOSEYEST"")"),1801.1)</f>
        <v>1801.1</v>
      </c>
      <c r="H42" s="17" t="str">
        <f t="shared" si="14"/>
        <v/>
      </c>
      <c r="I42" s="18">
        <f t="shared" si="9"/>
        <v>1790.166667</v>
      </c>
      <c r="J42" s="19">
        <f t="shared" si="10"/>
        <v>1814.133333</v>
      </c>
      <c r="K42" s="19"/>
      <c r="L42" s="19">
        <f t="shared" si="11"/>
        <v>1777.133333</v>
      </c>
      <c r="M42" s="19">
        <f t="shared" si="12"/>
        <v>1827.166667</v>
      </c>
      <c r="N42" s="19">
        <f t="shared" si="13"/>
        <v>1753.166667</v>
      </c>
    </row>
    <row r="43" ht="24.75" customHeight="1">
      <c r="A43" s="12" t="s">
        <v>55</v>
      </c>
      <c r="B43" s="13">
        <f>IFERROR(__xludf.DUMMYFUNCTION("GOOGLEFINANCE(A43,""PRICE"")"),867.7)</f>
        <v>867.7</v>
      </c>
      <c r="C43" s="14">
        <f>IFERROR(__xludf.DUMMYFUNCTION("GOOGLEFINANCE(A43,""PRICEOPEN"")"),865.15)</f>
        <v>865.15</v>
      </c>
      <c r="D43" s="14">
        <f>IFERROR(__xludf.DUMMYFUNCTION("GOOGLEFINANCE(A43,""HIGH"")"),873.0)</f>
        <v>873</v>
      </c>
      <c r="E43" s="14">
        <f>IFERROR(__xludf.DUMMYFUNCTION("GOOGLEFINANCE(A43,""LOW"")"),863.8)</f>
        <v>863.8</v>
      </c>
      <c r="F43" s="15" t="str">
        <f t="shared" si="8"/>
        <v/>
      </c>
      <c r="G43" s="16">
        <f>IFERROR(__xludf.DUMMYFUNCTION("GOOGLEFINANCE(A43,""CLOSEYEST"")"),864.1)</f>
        <v>864.1</v>
      </c>
      <c r="H43" s="17" t="str">
        <f t="shared" si="14"/>
        <v/>
      </c>
      <c r="I43" s="18">
        <f t="shared" si="9"/>
        <v>866.9666667</v>
      </c>
      <c r="J43" s="19">
        <f t="shared" si="10"/>
        <v>870.1333333</v>
      </c>
      <c r="K43" s="19"/>
      <c r="L43" s="19">
        <f t="shared" si="11"/>
        <v>860.9333333</v>
      </c>
      <c r="M43" s="19">
        <f t="shared" si="12"/>
        <v>876.1666667</v>
      </c>
      <c r="N43" s="19">
        <f t="shared" si="13"/>
        <v>857.7666667</v>
      </c>
    </row>
    <row r="44" ht="24.75" customHeight="1">
      <c r="A44" s="12" t="s">
        <v>56</v>
      </c>
      <c r="B44" s="13">
        <f>IFERROR(__xludf.DUMMYFUNCTION("GOOGLEFINANCE(A44,""PRICE"")"),1632.0)</f>
        <v>1632</v>
      </c>
      <c r="C44" s="14">
        <f>IFERROR(__xludf.DUMMYFUNCTION("GOOGLEFINANCE(A44,""PRICEOPEN"")"),1600.0)</f>
        <v>1600</v>
      </c>
      <c r="D44" s="14">
        <f>IFERROR(__xludf.DUMMYFUNCTION("GOOGLEFINANCE(A44,""HIGH"")"),1645.5)</f>
        <v>1645.5</v>
      </c>
      <c r="E44" s="14">
        <f>IFERROR(__xludf.DUMMYFUNCTION("GOOGLEFINANCE(A44,""LOW"")"),1600.0)</f>
        <v>1600</v>
      </c>
      <c r="F44" s="15" t="str">
        <f t="shared" si="8"/>
        <v>BUY</v>
      </c>
      <c r="G44" s="16">
        <f>IFERROR(__xludf.DUMMYFUNCTION("GOOGLEFINANCE(A44,""CLOSEYEST"")"),1636.2)</f>
        <v>1636.2</v>
      </c>
      <c r="H44" s="17" t="str">
        <f t="shared" si="14"/>
        <v>GAP DOWN</v>
      </c>
      <c r="I44" s="18">
        <f t="shared" si="9"/>
        <v>1627.233333</v>
      </c>
      <c r="J44" s="19">
        <f t="shared" si="10"/>
        <v>1654.466667</v>
      </c>
      <c r="K44" s="19"/>
      <c r="L44" s="19">
        <f t="shared" si="11"/>
        <v>1608.966667</v>
      </c>
      <c r="M44" s="19">
        <f t="shared" si="12"/>
        <v>1672.733333</v>
      </c>
      <c r="N44" s="19">
        <f t="shared" si="13"/>
        <v>1581.733333</v>
      </c>
    </row>
    <row r="45" ht="24.75" customHeight="1">
      <c r="A45" s="12" t="s">
        <v>57</v>
      </c>
      <c r="B45" s="13">
        <f>IFERROR(__xludf.DUMMYFUNCTION("GOOGLEFINANCE(A45,""PRICE"")"),35.67)</f>
        <v>35.67</v>
      </c>
      <c r="C45" s="14">
        <f>IFERROR(__xludf.DUMMYFUNCTION("GOOGLEFINANCE(A45,""PRICEOPEN"")"),34.95)</f>
        <v>34.95</v>
      </c>
      <c r="D45" s="14">
        <f>IFERROR(__xludf.DUMMYFUNCTION("GOOGLEFINANCE(A45,""HIGH"")"),35.63)</f>
        <v>35.63</v>
      </c>
      <c r="E45" s="14">
        <f>IFERROR(__xludf.DUMMYFUNCTION("GOOGLEFINANCE(A45,""LOW"")"),34.95)</f>
        <v>34.95</v>
      </c>
      <c r="F45" s="15" t="str">
        <f t="shared" si="8"/>
        <v>BUY</v>
      </c>
      <c r="G45" s="16">
        <f>IFERROR(__xludf.DUMMYFUNCTION("GOOGLEFINANCE(A45,""CLOSEYEST"")"),34.95)</f>
        <v>34.95</v>
      </c>
      <c r="H45" s="17" t="str">
        <f t="shared" si="14"/>
        <v/>
      </c>
      <c r="I45" s="18">
        <f t="shared" si="9"/>
        <v>35.17666667</v>
      </c>
      <c r="J45" s="19">
        <f t="shared" si="10"/>
        <v>35.40333333</v>
      </c>
      <c r="K45" s="19"/>
      <c r="L45" s="19">
        <f t="shared" si="11"/>
        <v>34.72333333</v>
      </c>
      <c r="M45" s="19">
        <f t="shared" si="12"/>
        <v>35.85666667</v>
      </c>
      <c r="N45" s="19">
        <f t="shared" si="13"/>
        <v>34.49666667</v>
      </c>
    </row>
    <row r="46" ht="24.75" customHeight="1">
      <c r="A46" s="12" t="s">
        <v>58</v>
      </c>
      <c r="B46" s="13">
        <f>IFERROR(__xludf.DUMMYFUNCTION("GOOGLEFINANCE(A46,""PRICE"")"),1138.5)</f>
        <v>1138.5</v>
      </c>
      <c r="C46" s="14">
        <f>IFERROR(__xludf.DUMMYFUNCTION("GOOGLEFINANCE(A46,""PRICEOPEN"")"),1146.0)</f>
        <v>1146</v>
      </c>
      <c r="D46" s="14">
        <f>IFERROR(__xludf.DUMMYFUNCTION("GOOGLEFINANCE(A46,""HIGH"")"),1150.0)</f>
        <v>1150</v>
      </c>
      <c r="E46" s="14">
        <f>IFERROR(__xludf.DUMMYFUNCTION("GOOGLEFINANCE(A46,""LOW"")"),1129.1)</f>
        <v>1129.1</v>
      </c>
      <c r="F46" s="15" t="str">
        <f t="shared" si="8"/>
        <v/>
      </c>
      <c r="G46" s="16">
        <f>IFERROR(__xludf.DUMMYFUNCTION("GOOGLEFINANCE(A46,""CLOSEYEST"")"),1144.8)</f>
        <v>1144.8</v>
      </c>
      <c r="H46" s="17" t="str">
        <f t="shared" si="14"/>
        <v/>
      </c>
      <c r="I46" s="18">
        <f t="shared" si="9"/>
        <v>1141.3</v>
      </c>
      <c r="J46" s="19">
        <f t="shared" si="10"/>
        <v>1153.5</v>
      </c>
      <c r="K46" s="19"/>
      <c r="L46" s="19">
        <f t="shared" si="11"/>
        <v>1132.6</v>
      </c>
      <c r="M46" s="19">
        <f t="shared" si="12"/>
        <v>1162.2</v>
      </c>
      <c r="N46" s="19">
        <f t="shared" si="13"/>
        <v>1120.4</v>
      </c>
    </row>
    <row r="47" ht="24.75" customHeight="1">
      <c r="A47" s="12" t="s">
        <v>59</v>
      </c>
      <c r="B47" s="13">
        <f>IFERROR(__xludf.DUMMYFUNCTION("GOOGLEFINANCE(A47,""PRICE"")"),715.85)</f>
        <v>715.85</v>
      </c>
      <c r="C47" s="14">
        <f>IFERROR(__xludf.DUMMYFUNCTION("GOOGLEFINANCE(A47,""PRICEOPEN"")"),718.5)</f>
        <v>718.5</v>
      </c>
      <c r="D47" s="14">
        <f>IFERROR(__xludf.DUMMYFUNCTION("GOOGLEFINANCE(A47,""HIGH"")"),739.7)</f>
        <v>739.7</v>
      </c>
      <c r="E47" s="14">
        <f>IFERROR(__xludf.DUMMYFUNCTION("GOOGLEFINANCE(A47,""LOW"")"),715.0)</f>
        <v>715</v>
      </c>
      <c r="F47" s="15" t="str">
        <f t="shared" si="8"/>
        <v/>
      </c>
      <c r="G47" s="16">
        <f>IFERROR(__xludf.DUMMYFUNCTION("GOOGLEFINANCE(A47,""CLOSEYEST"")"),718.35)</f>
        <v>718.35</v>
      </c>
      <c r="H47" s="17" t="str">
        <f t="shared" si="14"/>
        <v/>
      </c>
      <c r="I47" s="18">
        <f t="shared" si="9"/>
        <v>724.35</v>
      </c>
      <c r="J47" s="19">
        <f t="shared" si="10"/>
        <v>733.7</v>
      </c>
      <c r="K47" s="19"/>
      <c r="L47" s="19">
        <f t="shared" si="11"/>
        <v>709</v>
      </c>
      <c r="M47" s="19">
        <f t="shared" si="12"/>
        <v>749.05</v>
      </c>
      <c r="N47" s="19">
        <f t="shared" si="13"/>
        <v>699.65</v>
      </c>
    </row>
    <row r="48" ht="24.75" customHeight="1">
      <c r="A48" s="12" t="s">
        <v>60</v>
      </c>
      <c r="B48" s="13">
        <f>IFERROR(__xludf.DUMMYFUNCTION("GOOGLEFINANCE(A48,""PRICE"")"),173.29)</f>
        <v>173.29</v>
      </c>
      <c r="C48" s="14">
        <f>IFERROR(__xludf.DUMMYFUNCTION("GOOGLEFINANCE(A48,""PRICEOPEN"")"),168.12)</f>
        <v>168.12</v>
      </c>
      <c r="D48" s="14">
        <f>IFERROR(__xludf.DUMMYFUNCTION("GOOGLEFINANCE(A48,""HIGH"")"),174.74)</f>
        <v>174.74</v>
      </c>
      <c r="E48" s="14">
        <f>IFERROR(__xludf.DUMMYFUNCTION("GOOGLEFINANCE(A48,""LOW"")"),168.12)</f>
        <v>168.12</v>
      </c>
      <c r="F48" s="15" t="str">
        <f t="shared" si="8"/>
        <v>BUY</v>
      </c>
      <c r="G48" s="16">
        <f>IFERROR(__xludf.DUMMYFUNCTION("GOOGLEFINANCE(A48,""CLOSEYEST"")"),167.51)</f>
        <v>167.51</v>
      </c>
      <c r="H48" s="17" t="str">
        <f t="shared" si="14"/>
        <v/>
      </c>
      <c r="I48" s="18">
        <f t="shared" si="9"/>
        <v>170.1233333</v>
      </c>
      <c r="J48" s="19">
        <f t="shared" si="10"/>
        <v>172.1266667</v>
      </c>
      <c r="K48" s="19"/>
      <c r="L48" s="19">
        <f t="shared" si="11"/>
        <v>165.5066667</v>
      </c>
      <c r="M48" s="19">
        <f t="shared" si="12"/>
        <v>176.7433333</v>
      </c>
      <c r="N48" s="19">
        <f t="shared" si="13"/>
        <v>163.5033333</v>
      </c>
    </row>
    <row r="49" ht="24.75" customHeight="1">
      <c r="A49" s="12" t="s">
        <v>61</v>
      </c>
      <c r="B49" s="13">
        <f>IFERROR(__xludf.DUMMYFUNCTION("GOOGLEFINANCE(A49,""PRICE"")"),1398.0)</f>
        <v>1398</v>
      </c>
      <c r="C49" s="14">
        <f>IFERROR(__xludf.DUMMYFUNCTION("GOOGLEFINANCE(A49,""PRICEOPEN"")"),1423.0)</f>
        <v>1423</v>
      </c>
      <c r="D49" s="14">
        <f>IFERROR(__xludf.DUMMYFUNCTION("GOOGLEFINANCE(A49,""HIGH"")"),1423.8)</f>
        <v>1423.8</v>
      </c>
      <c r="E49" s="14">
        <f>IFERROR(__xludf.DUMMYFUNCTION("GOOGLEFINANCE(A49,""LOW"")"),1397.3)</f>
        <v>1397.3</v>
      </c>
      <c r="F49" s="15" t="str">
        <f t="shared" si="8"/>
        <v/>
      </c>
      <c r="G49" s="16">
        <f>IFERROR(__xludf.DUMMYFUNCTION("GOOGLEFINANCE(A49,""CLOSEYEST"")"),1416.0)</f>
        <v>1416</v>
      </c>
      <c r="H49" s="17" t="str">
        <f t="shared" si="14"/>
        <v/>
      </c>
      <c r="I49" s="18">
        <f t="shared" si="9"/>
        <v>1412.366667</v>
      </c>
      <c r="J49" s="19">
        <f t="shared" si="10"/>
        <v>1427.433333</v>
      </c>
      <c r="K49" s="19"/>
      <c r="L49" s="19">
        <f t="shared" si="11"/>
        <v>1400.933333</v>
      </c>
      <c r="M49" s="19">
        <f t="shared" si="12"/>
        <v>1438.866667</v>
      </c>
      <c r="N49" s="19">
        <f t="shared" si="13"/>
        <v>1385.866667</v>
      </c>
    </row>
    <row r="50" ht="24.75" customHeight="1">
      <c r="A50" s="12" t="s">
        <v>62</v>
      </c>
      <c r="B50" s="13">
        <f>IFERROR(__xludf.DUMMYFUNCTION("GOOGLEFINANCE(A50,""PRICE"")"),12018.0)</f>
        <v>12018</v>
      </c>
      <c r="C50" s="14">
        <f>IFERROR(__xludf.DUMMYFUNCTION("GOOGLEFINANCE(A50,""PRICEOPEN"")"),12095.0)</f>
        <v>12095</v>
      </c>
      <c r="D50" s="14">
        <f>IFERROR(__xludf.DUMMYFUNCTION("GOOGLEFINANCE(A50,""HIGH"")"),12139.0)</f>
        <v>12139</v>
      </c>
      <c r="E50" s="14">
        <f>IFERROR(__xludf.DUMMYFUNCTION("GOOGLEFINANCE(A50,""LOW"")"),11982.0)</f>
        <v>11982</v>
      </c>
      <c r="F50" s="15" t="str">
        <f t="shared" si="8"/>
        <v/>
      </c>
      <c r="G50" s="16">
        <f>IFERROR(__xludf.DUMMYFUNCTION("GOOGLEFINANCE(A50,""CLOSEYEST"")"),12095.0)</f>
        <v>12095</v>
      </c>
      <c r="H50" s="17" t="str">
        <f t="shared" si="14"/>
        <v/>
      </c>
      <c r="I50" s="18">
        <f t="shared" si="9"/>
        <v>12072</v>
      </c>
      <c r="J50" s="19">
        <f t="shared" si="10"/>
        <v>12162</v>
      </c>
      <c r="K50" s="19"/>
      <c r="L50" s="19">
        <f t="shared" si="11"/>
        <v>12005</v>
      </c>
      <c r="M50" s="19">
        <f t="shared" si="12"/>
        <v>12229</v>
      </c>
      <c r="N50" s="19">
        <f t="shared" si="13"/>
        <v>11915</v>
      </c>
    </row>
    <row r="51" ht="24.75" customHeight="1">
      <c r="A51" s="12" t="s">
        <v>63</v>
      </c>
      <c r="B51" s="13">
        <f>IFERROR(__xludf.DUMMYFUNCTION("GOOGLEFINANCE(A51,""PRICE"")"),241.2)</f>
        <v>241.2</v>
      </c>
      <c r="C51" s="14">
        <f>IFERROR(__xludf.DUMMYFUNCTION("GOOGLEFINANCE(A51,""PRICEOPEN"")"),240.98)</f>
        <v>240.98</v>
      </c>
      <c r="D51" s="14">
        <f>IFERROR(__xludf.DUMMYFUNCTION("GOOGLEFINANCE(A51,""HIGH"")"),241.4)</f>
        <v>241.4</v>
      </c>
      <c r="E51" s="14">
        <f>IFERROR(__xludf.DUMMYFUNCTION("GOOGLEFINANCE(A51,""LOW"")"),238.06)</f>
        <v>238.06</v>
      </c>
      <c r="F51" s="15" t="str">
        <f t="shared" si="8"/>
        <v/>
      </c>
      <c r="G51" s="16">
        <f>IFERROR(__xludf.DUMMYFUNCTION("GOOGLEFINANCE(A51,""CLOSEYEST"")"),241.07)</f>
        <v>241.07</v>
      </c>
      <c r="H51" s="17" t="str">
        <f t="shared" si="14"/>
        <v/>
      </c>
      <c r="I51" s="18">
        <f t="shared" si="9"/>
        <v>240.1766667</v>
      </c>
      <c r="J51" s="19">
        <f t="shared" si="10"/>
        <v>242.2933333</v>
      </c>
      <c r="K51" s="19"/>
      <c r="L51" s="19">
        <f t="shared" si="11"/>
        <v>238.9533333</v>
      </c>
      <c r="M51" s="19">
        <f t="shared" si="12"/>
        <v>243.5166667</v>
      </c>
      <c r="N51" s="19">
        <f t="shared" si="13"/>
        <v>236.8366667</v>
      </c>
    </row>
    <row r="52" ht="24.75" customHeight="1">
      <c r="A52" s="12" t="s">
        <v>64</v>
      </c>
      <c r="B52" s="13">
        <f>IFERROR(__xludf.DUMMYFUNCTION("GOOGLEFINANCE(A52,""PRICE"")"),114.15)</f>
        <v>114.15</v>
      </c>
      <c r="C52" s="14">
        <f>IFERROR(__xludf.DUMMYFUNCTION("GOOGLEFINANCE(A52,""PRICEOPEN"")"),114.49)</f>
        <v>114.49</v>
      </c>
      <c r="D52" s="14">
        <f>IFERROR(__xludf.DUMMYFUNCTION("GOOGLEFINANCE(A52,""HIGH"")"),115.07)</f>
        <v>115.07</v>
      </c>
      <c r="E52" s="14">
        <f>IFERROR(__xludf.DUMMYFUNCTION("GOOGLEFINANCE(A52,""LOW"")"),112.63)</f>
        <v>112.63</v>
      </c>
      <c r="F52" s="15" t="str">
        <f t="shared" si="8"/>
        <v/>
      </c>
      <c r="G52" s="16">
        <f>IFERROR(__xludf.DUMMYFUNCTION("GOOGLEFINANCE(A52,""CLOSEYEST"")"),114.21)</f>
        <v>114.21</v>
      </c>
      <c r="H52" s="17" t="str">
        <f t="shared" si="14"/>
        <v/>
      </c>
      <c r="I52" s="18">
        <f t="shared" si="9"/>
        <v>113.97</v>
      </c>
      <c r="J52" s="19">
        <f t="shared" si="10"/>
        <v>115.31</v>
      </c>
      <c r="K52" s="19"/>
      <c r="L52" s="19">
        <f t="shared" si="11"/>
        <v>112.87</v>
      </c>
      <c r="M52" s="19">
        <f t="shared" si="12"/>
        <v>116.41</v>
      </c>
      <c r="N52" s="19">
        <f t="shared" si="13"/>
        <v>111.53</v>
      </c>
    </row>
    <row r="53" ht="24.75" customHeight="1">
      <c r="A53" s="21" t="s">
        <v>65</v>
      </c>
      <c r="B53" s="13" t="str">
        <f>IFERROR(__xludf.DUMMYFUNCTION("GOOGLEFINANCE(A53,""PRICE"")"),"#N/A")</f>
        <v>#N/A</v>
      </c>
      <c r="C53" s="14" t="str">
        <f>IFERROR(__xludf.DUMMYFUNCTION("GOOGLEFINANCE(A53,""PRICEOPEN"")"),"#N/A")</f>
        <v>#N/A</v>
      </c>
      <c r="D53" s="14" t="str">
        <f>IFERROR(__xludf.DUMMYFUNCTION("GOOGLEFINANCE(A53,""HIGH"")"),"#N/A")</f>
        <v>#N/A</v>
      </c>
      <c r="E53" s="14" t="str">
        <f>IFERROR(__xludf.DUMMYFUNCTION("GOOGLEFINANCE(A53,""LOW"")"),"#N/A")</f>
        <v>#N/A</v>
      </c>
      <c r="F53" s="15" t="str">
        <f t="shared" si="8"/>
        <v>#N/A</v>
      </c>
      <c r="G53" s="16" t="str">
        <f>IFERROR(__xludf.DUMMYFUNCTION("GOOGLEFINANCE(A53,""CLOSEYEST"")"),"#N/A")</f>
        <v>#N/A</v>
      </c>
      <c r="H53" s="17" t="str">
        <f t="shared" si="14"/>
        <v>#N/A</v>
      </c>
      <c r="I53" s="18" t="str">
        <f t="shared" si="9"/>
        <v>#N/A</v>
      </c>
      <c r="J53" s="19" t="str">
        <f t="shared" si="10"/>
        <v>#N/A</v>
      </c>
      <c r="K53" s="19"/>
      <c r="L53" s="19" t="str">
        <f t="shared" si="11"/>
        <v>#N/A</v>
      </c>
      <c r="M53" s="19" t="str">
        <f t="shared" si="12"/>
        <v>#N/A</v>
      </c>
      <c r="N53" s="19" t="str">
        <f t="shared" si="13"/>
        <v>#N/A</v>
      </c>
    </row>
    <row r="54" ht="24.75" customHeight="1">
      <c r="A54" s="21" t="s">
        <v>53</v>
      </c>
      <c r="B54" s="13">
        <f>IFERROR(__xludf.DUMMYFUNCTION("GOOGLEFINANCE(A54,""PRICE"")"),1363.3)</f>
        <v>1363.3</v>
      </c>
      <c r="C54" s="14">
        <f>IFERROR(__xludf.DUMMYFUNCTION("GOOGLEFINANCE(A54,""PRICEOPEN"")"),1363.2)</f>
        <v>1363.2</v>
      </c>
      <c r="D54" s="14">
        <f>IFERROR(__xludf.DUMMYFUNCTION("GOOGLEFINANCE(A54,""HIGH"")"),1371.6)</f>
        <v>1371.6</v>
      </c>
      <c r="E54" s="14">
        <f>IFERROR(__xludf.DUMMYFUNCTION("GOOGLEFINANCE(A54,""LOW"")"),1356.9)</f>
        <v>1356.9</v>
      </c>
      <c r="F54" s="15" t="str">
        <f t="shared" si="8"/>
        <v/>
      </c>
      <c r="G54" s="16">
        <f>IFERROR(__xludf.DUMMYFUNCTION("GOOGLEFINANCE(A54,""CLOSEYEST"")"),1368.7)</f>
        <v>1368.7</v>
      </c>
      <c r="H54" s="17" t="str">
        <f t="shared" si="14"/>
        <v/>
      </c>
      <c r="I54" s="18">
        <f t="shared" si="9"/>
        <v>1365.733333</v>
      </c>
      <c r="J54" s="19">
        <f t="shared" si="10"/>
        <v>1374.566667</v>
      </c>
      <c r="K54" s="19"/>
      <c r="L54" s="19">
        <f t="shared" si="11"/>
        <v>1359.866667</v>
      </c>
      <c r="M54" s="19">
        <f t="shared" si="12"/>
        <v>1380.433333</v>
      </c>
      <c r="N54" s="19">
        <f t="shared" si="13"/>
        <v>1351.033333</v>
      </c>
    </row>
    <row r="55" ht="24.75" customHeight="1">
      <c r="A55" s="21" t="s">
        <v>57</v>
      </c>
      <c r="B55" s="13">
        <f>IFERROR(__xludf.DUMMYFUNCTION("GOOGLEFINANCE(A55,""PRICE"")"),35.67)</f>
        <v>35.67</v>
      </c>
      <c r="C55" s="14">
        <f>IFERROR(__xludf.DUMMYFUNCTION("GOOGLEFINANCE(A55,""PRICEOPEN"")"),34.95)</f>
        <v>34.95</v>
      </c>
      <c r="D55" s="14">
        <f>IFERROR(__xludf.DUMMYFUNCTION("GOOGLEFINANCE(A55,""HIGH"")"),35.63)</f>
        <v>35.63</v>
      </c>
      <c r="E55" s="14">
        <f>IFERROR(__xludf.DUMMYFUNCTION("GOOGLEFINANCE(A55,""LOW"")"),34.95)</f>
        <v>34.95</v>
      </c>
      <c r="F55" s="15" t="str">
        <f t="shared" si="8"/>
        <v>BUY</v>
      </c>
      <c r="G55" s="16">
        <f>IFERROR(__xludf.DUMMYFUNCTION("GOOGLEFINANCE(A55,""CLOSEYEST"")"),34.95)</f>
        <v>34.95</v>
      </c>
      <c r="H55" s="17" t="str">
        <f t="shared" si="14"/>
        <v/>
      </c>
      <c r="I55" s="18">
        <f t="shared" si="9"/>
        <v>35.17666667</v>
      </c>
      <c r="J55" s="19">
        <f t="shared" si="10"/>
        <v>35.40333333</v>
      </c>
      <c r="K55" s="19"/>
      <c r="L55" s="19">
        <f t="shared" si="11"/>
        <v>34.72333333</v>
      </c>
      <c r="M55" s="19">
        <f t="shared" si="12"/>
        <v>35.85666667</v>
      </c>
      <c r="N55" s="19">
        <f t="shared" si="13"/>
        <v>34.49666667</v>
      </c>
    </row>
    <row r="56" ht="24.75" customHeight="1">
      <c r="A56" s="21" t="s">
        <v>33</v>
      </c>
      <c r="B56" s="13">
        <f>IFERROR(__xludf.DUMMYFUNCTION("GOOGLEFINANCE(A56,""PRICE"")"),963.7)</f>
        <v>963.7</v>
      </c>
      <c r="C56" s="14">
        <f>IFERROR(__xludf.DUMMYFUNCTION("GOOGLEFINANCE(A56,""PRICEOPEN"")"),952.0)</f>
        <v>952</v>
      </c>
      <c r="D56" s="14">
        <f>IFERROR(__xludf.DUMMYFUNCTION("GOOGLEFINANCE(A56,""HIGH"")"),966.75)</f>
        <v>966.75</v>
      </c>
      <c r="E56" s="14">
        <f>IFERROR(__xludf.DUMMYFUNCTION("GOOGLEFINANCE(A56,""LOW"")"),952.0)</f>
        <v>952</v>
      </c>
      <c r="F56" s="15" t="str">
        <f t="shared" si="8"/>
        <v>BUY</v>
      </c>
      <c r="G56" s="16">
        <f>IFERROR(__xludf.DUMMYFUNCTION("GOOGLEFINANCE(A56,""CLOSEYEST"")"),965.25)</f>
        <v>965.25</v>
      </c>
      <c r="H56" s="17" t="str">
        <f t="shared" si="14"/>
        <v>GAP DOWN</v>
      </c>
      <c r="I56" s="18">
        <f t="shared" si="9"/>
        <v>961.3333333</v>
      </c>
      <c r="J56" s="19">
        <f t="shared" si="10"/>
        <v>970.6666667</v>
      </c>
      <c r="K56" s="19"/>
      <c r="L56" s="19">
        <f t="shared" si="11"/>
        <v>955.9166667</v>
      </c>
      <c r="M56" s="19">
        <f t="shared" si="12"/>
        <v>976.0833333</v>
      </c>
      <c r="N56" s="19">
        <f t="shared" si="13"/>
        <v>946.5833333</v>
      </c>
    </row>
    <row r="57" ht="24.75" customHeight="1">
      <c r="A57" s="21" t="s">
        <v>43</v>
      </c>
      <c r="B57" s="13">
        <f>IFERROR(__xludf.DUMMYFUNCTION("GOOGLEFINANCE(A57,""PRICE"")"),16.23)</f>
        <v>16.23</v>
      </c>
      <c r="C57" s="14">
        <f>IFERROR(__xludf.DUMMYFUNCTION("GOOGLEFINANCE(A57,""PRICEOPEN"")"),16.24)</f>
        <v>16.24</v>
      </c>
      <c r="D57" s="14">
        <f>IFERROR(__xludf.DUMMYFUNCTION("GOOGLEFINANCE(A57,""HIGH"")"),16.25)</f>
        <v>16.25</v>
      </c>
      <c r="E57" s="14">
        <f>IFERROR(__xludf.DUMMYFUNCTION("GOOGLEFINANCE(A57,""LOW"")"),16.07)</f>
        <v>16.07</v>
      </c>
      <c r="F57" s="15" t="str">
        <f t="shared" si="8"/>
        <v/>
      </c>
      <c r="G57" s="16">
        <f>IFERROR(__xludf.DUMMYFUNCTION("GOOGLEFINANCE(A57,""CLOSEYEST"")"),16.15)</f>
        <v>16.15</v>
      </c>
      <c r="H57" s="17" t="str">
        <f t="shared" si="14"/>
        <v/>
      </c>
      <c r="I57" s="18">
        <f t="shared" si="9"/>
        <v>16.15666667</v>
      </c>
      <c r="J57" s="19">
        <f t="shared" si="10"/>
        <v>16.24333333</v>
      </c>
      <c r="K57" s="19"/>
      <c r="L57" s="19">
        <f t="shared" si="11"/>
        <v>16.06333333</v>
      </c>
      <c r="M57" s="19">
        <f t="shared" si="12"/>
        <v>16.33666667</v>
      </c>
      <c r="N57" s="19">
        <f t="shared" si="13"/>
        <v>15.97666667</v>
      </c>
    </row>
    <row r="58" ht="24.75" customHeight="1">
      <c r="A58" s="21" t="s">
        <v>40</v>
      </c>
      <c r="B58" s="13">
        <f>IFERROR(__xludf.DUMMYFUNCTION("GOOGLEFINANCE(A58,""PRICE"")"),1365.0)</f>
        <v>1365</v>
      </c>
      <c r="C58" s="14">
        <f>IFERROR(__xludf.DUMMYFUNCTION("GOOGLEFINANCE(A58,""PRICEOPEN"")"),1371.9)</f>
        <v>1371.9</v>
      </c>
      <c r="D58" s="14">
        <f>IFERROR(__xludf.DUMMYFUNCTION("GOOGLEFINANCE(A58,""HIGH"")"),1371.9)</f>
        <v>1371.9</v>
      </c>
      <c r="E58" s="14">
        <f>IFERROR(__xludf.DUMMYFUNCTION("GOOGLEFINANCE(A58,""LOW"")"),1361.3)</f>
        <v>1361.3</v>
      </c>
      <c r="F58" s="15" t="str">
        <f t="shared" si="8"/>
        <v>SELL</v>
      </c>
      <c r="G58" s="16">
        <f>IFERROR(__xludf.DUMMYFUNCTION("GOOGLEFINANCE(A58,""CLOSEYEST"")"),1372.0)</f>
        <v>1372</v>
      </c>
      <c r="H58" s="17" t="str">
        <f t="shared" si="14"/>
        <v/>
      </c>
      <c r="I58" s="18">
        <f t="shared" si="9"/>
        <v>1368.4</v>
      </c>
      <c r="J58" s="19">
        <f t="shared" si="10"/>
        <v>1375.5</v>
      </c>
      <c r="K58" s="19"/>
      <c r="L58" s="19">
        <f t="shared" si="11"/>
        <v>1364.9</v>
      </c>
      <c r="M58" s="19">
        <f t="shared" si="12"/>
        <v>1379</v>
      </c>
      <c r="N58" s="19">
        <f t="shared" si="13"/>
        <v>1357.8</v>
      </c>
    </row>
    <row r="59" ht="24.75" customHeight="1">
      <c r="A59" s="21" t="s">
        <v>38</v>
      </c>
      <c r="B59" s="13">
        <f>IFERROR(__xludf.DUMMYFUNCTION("GOOGLEFINANCE(A59,""PRICE"")"),2539.0)</f>
        <v>2539</v>
      </c>
      <c r="C59" s="14">
        <f>IFERROR(__xludf.DUMMYFUNCTION("GOOGLEFINANCE(A59,""PRICEOPEN"")"),2536.2)</f>
        <v>2536.2</v>
      </c>
      <c r="D59" s="14">
        <f>IFERROR(__xludf.DUMMYFUNCTION("GOOGLEFINANCE(A59,""HIGH"")"),2548.6)</f>
        <v>2548.6</v>
      </c>
      <c r="E59" s="14">
        <f>IFERROR(__xludf.DUMMYFUNCTION("GOOGLEFINANCE(A59,""LOW"")"),2508.3)</f>
        <v>2508.3</v>
      </c>
      <c r="F59" s="15" t="str">
        <f t="shared" si="8"/>
        <v/>
      </c>
      <c r="G59" s="16">
        <f>IFERROR(__xludf.DUMMYFUNCTION("GOOGLEFINANCE(A59,""CLOSEYEST"")"),2536.2)</f>
        <v>2536.2</v>
      </c>
      <c r="H59" s="17" t="str">
        <f t="shared" si="14"/>
        <v/>
      </c>
      <c r="I59" s="18">
        <f t="shared" si="9"/>
        <v>2531.033333</v>
      </c>
      <c r="J59" s="19">
        <f t="shared" si="10"/>
        <v>2553.766667</v>
      </c>
      <c r="K59" s="19"/>
      <c r="L59" s="19">
        <f t="shared" si="11"/>
        <v>2513.466667</v>
      </c>
      <c r="M59" s="19">
        <f t="shared" si="12"/>
        <v>2571.333333</v>
      </c>
      <c r="N59" s="19">
        <f t="shared" si="13"/>
        <v>2490.733333</v>
      </c>
    </row>
    <row r="60" ht="24.75" customHeight="1">
      <c r="A60" s="21" t="s">
        <v>39</v>
      </c>
      <c r="B60" s="13" t="str">
        <f>IFERROR(__xludf.DUMMYFUNCTION("GOOGLEFINANCE(A60,""PRICE"")"),"#N/A")</f>
        <v>#N/A</v>
      </c>
      <c r="C60" s="14" t="str">
        <f>IFERROR(__xludf.DUMMYFUNCTION("GOOGLEFINANCE(A60,""PRICEOPEN"")"),"#N/A")</f>
        <v>#N/A</v>
      </c>
      <c r="D60" s="14" t="str">
        <f>IFERROR(__xludf.DUMMYFUNCTION("GOOGLEFINANCE(A60,""HIGH"")"),"#N/A")</f>
        <v>#N/A</v>
      </c>
      <c r="E60" s="14" t="str">
        <f>IFERROR(__xludf.DUMMYFUNCTION("GOOGLEFINANCE(A60,""LOW"")"),"#N/A")</f>
        <v>#N/A</v>
      </c>
      <c r="F60" s="15" t="str">
        <f t="shared" si="8"/>
        <v>#N/A</v>
      </c>
      <c r="G60" s="16" t="str">
        <f>IFERROR(__xludf.DUMMYFUNCTION("GOOGLEFINANCE(A60,""CLOSEYEST"")"),"#N/A")</f>
        <v>#N/A</v>
      </c>
      <c r="H60" s="17" t="str">
        <f t="shared" si="14"/>
        <v>#N/A</v>
      </c>
      <c r="I60" s="18" t="str">
        <f t="shared" si="9"/>
        <v>#N/A</v>
      </c>
      <c r="J60" s="19" t="str">
        <f t="shared" si="10"/>
        <v>#N/A</v>
      </c>
      <c r="K60" s="19"/>
      <c r="L60" s="19" t="str">
        <f t="shared" si="11"/>
        <v>#N/A</v>
      </c>
      <c r="M60" s="19" t="str">
        <f t="shared" si="12"/>
        <v>#N/A</v>
      </c>
      <c r="N60" s="19" t="str">
        <f t="shared" si="13"/>
        <v>#N/A</v>
      </c>
    </row>
    <row r="61" ht="24.75" customHeight="1">
      <c r="A61" s="21" t="s">
        <v>21</v>
      </c>
      <c r="B61" s="13">
        <f>IFERROR(__xludf.DUMMYFUNCTION("GOOGLEFINANCE(A61,""PRICE"")"),990.0)</f>
        <v>990</v>
      </c>
      <c r="C61" s="14">
        <f>IFERROR(__xludf.DUMMYFUNCTION("GOOGLEFINANCE(A61,""PRICEOPEN"")"),975.0)</f>
        <v>975</v>
      </c>
      <c r="D61" s="14">
        <f>IFERROR(__xludf.DUMMYFUNCTION("GOOGLEFINANCE(A61,""HIGH"")"),992.2)</f>
        <v>992.2</v>
      </c>
      <c r="E61" s="14">
        <f>IFERROR(__xludf.DUMMYFUNCTION("GOOGLEFINANCE(A61,""LOW"")"),972.0)</f>
        <v>972</v>
      </c>
      <c r="F61" s="15" t="str">
        <f t="shared" si="8"/>
        <v/>
      </c>
      <c r="G61" s="16">
        <f>IFERROR(__xludf.DUMMYFUNCTION("GOOGLEFINANCE(A61,""CLOSEYEST"")"),987.7)</f>
        <v>987.7</v>
      </c>
      <c r="H61" s="17" t="str">
        <f t="shared" si="14"/>
        <v>GAP DOWN</v>
      </c>
      <c r="I61" s="18">
        <f t="shared" si="9"/>
        <v>983.9666667</v>
      </c>
      <c r="J61" s="19">
        <f t="shared" si="10"/>
        <v>995.9333333</v>
      </c>
      <c r="K61" s="19"/>
      <c r="L61" s="19">
        <f t="shared" si="11"/>
        <v>975.7333333</v>
      </c>
      <c r="M61" s="19">
        <f t="shared" si="12"/>
        <v>1004.166667</v>
      </c>
      <c r="N61" s="19">
        <f t="shared" si="13"/>
        <v>963.7666667</v>
      </c>
    </row>
    <row r="62" ht="24.75" customHeight="1">
      <c r="A62" s="21" t="s">
        <v>55</v>
      </c>
      <c r="B62" s="13">
        <f>IFERROR(__xludf.DUMMYFUNCTION("GOOGLEFINANCE(A62,""PRICE"")"),867.7)</f>
        <v>867.7</v>
      </c>
      <c r="C62" s="14">
        <f>IFERROR(__xludf.DUMMYFUNCTION("GOOGLEFINANCE(A62,""PRICEOPEN"")"),865.15)</f>
        <v>865.15</v>
      </c>
      <c r="D62" s="14">
        <f>IFERROR(__xludf.DUMMYFUNCTION("GOOGLEFINANCE(A62,""HIGH"")"),873.0)</f>
        <v>873</v>
      </c>
      <c r="E62" s="14">
        <f>IFERROR(__xludf.DUMMYFUNCTION("GOOGLEFINANCE(A62,""LOW"")"),863.8)</f>
        <v>863.8</v>
      </c>
      <c r="F62" s="15" t="str">
        <f t="shared" si="8"/>
        <v/>
      </c>
      <c r="G62" s="16">
        <f>IFERROR(__xludf.DUMMYFUNCTION("GOOGLEFINANCE(A62,""CLOSEYEST"")"),864.1)</f>
        <v>864.1</v>
      </c>
      <c r="H62" s="17" t="str">
        <f t="shared" si="14"/>
        <v/>
      </c>
      <c r="I62" s="18">
        <f t="shared" si="9"/>
        <v>866.9666667</v>
      </c>
      <c r="J62" s="19">
        <f t="shared" si="10"/>
        <v>870.1333333</v>
      </c>
      <c r="K62" s="19"/>
      <c r="L62" s="19">
        <f t="shared" si="11"/>
        <v>860.9333333</v>
      </c>
      <c r="M62" s="19">
        <f t="shared" si="12"/>
        <v>876.1666667</v>
      </c>
      <c r="N62" s="19">
        <f t="shared" si="13"/>
        <v>857.7666667</v>
      </c>
    </row>
    <row r="63" ht="24.75" customHeight="1">
      <c r="A63" s="21" t="s">
        <v>24</v>
      </c>
      <c r="B63" s="13">
        <f>IFERROR(__xludf.DUMMYFUNCTION("GOOGLEFINANCE(A63,""PRICE"")"),1896.9)</f>
        <v>1896.9</v>
      </c>
      <c r="C63" s="14">
        <f>IFERROR(__xludf.DUMMYFUNCTION("GOOGLEFINANCE(A63,""PRICEOPEN"")"),1851.2)</f>
        <v>1851.2</v>
      </c>
      <c r="D63" s="14">
        <f>IFERROR(__xludf.DUMMYFUNCTION("GOOGLEFINANCE(A63,""HIGH"")"),1900.3)</f>
        <v>1900.3</v>
      </c>
      <c r="E63" s="14">
        <f>IFERROR(__xludf.DUMMYFUNCTION("GOOGLEFINANCE(A63,""LOW"")"),1848.1)</f>
        <v>1848.1</v>
      </c>
      <c r="F63" s="15" t="str">
        <f t="shared" si="8"/>
        <v/>
      </c>
      <c r="G63" s="16">
        <f>IFERROR(__xludf.DUMMYFUNCTION("GOOGLEFINANCE(A63,""CLOSEYEST"")"),1867.6)</f>
        <v>1867.6</v>
      </c>
      <c r="H63" s="17" t="str">
        <f t="shared" si="14"/>
        <v/>
      </c>
      <c r="I63" s="18">
        <f t="shared" si="9"/>
        <v>1872</v>
      </c>
      <c r="J63" s="19">
        <f t="shared" si="10"/>
        <v>1895.9</v>
      </c>
      <c r="K63" s="19"/>
      <c r="L63" s="19">
        <f t="shared" si="11"/>
        <v>1843.7</v>
      </c>
      <c r="M63" s="19">
        <f t="shared" si="12"/>
        <v>1924.2</v>
      </c>
      <c r="N63" s="19">
        <f t="shared" si="13"/>
        <v>1819.8</v>
      </c>
    </row>
    <row r="64" ht="24.75" customHeight="1">
      <c r="A64" s="21" t="s">
        <v>45</v>
      </c>
      <c r="B64" s="13">
        <f>IFERROR(__xludf.DUMMYFUNCTION("GOOGLEFINANCE(A64,""PRICE"")"),2108.0)</f>
        <v>2108</v>
      </c>
      <c r="C64" s="14">
        <f>IFERROR(__xludf.DUMMYFUNCTION("GOOGLEFINANCE(A64,""PRICEOPEN"")"),2063.3)</f>
        <v>2063.3</v>
      </c>
      <c r="D64" s="14">
        <f>IFERROR(__xludf.DUMMYFUNCTION("GOOGLEFINANCE(A64,""HIGH"")"),2108.0)</f>
        <v>2108</v>
      </c>
      <c r="E64" s="14">
        <f>IFERROR(__xludf.DUMMYFUNCTION("GOOGLEFINANCE(A64,""LOW"")"),2062.0)</f>
        <v>2062</v>
      </c>
      <c r="F64" s="15" t="str">
        <f t="shared" si="8"/>
        <v/>
      </c>
      <c r="G64" s="16">
        <f>IFERROR(__xludf.DUMMYFUNCTION("GOOGLEFINANCE(A64,""CLOSEYEST"")"),2063.3)</f>
        <v>2063.3</v>
      </c>
      <c r="H64" s="17" t="str">
        <f t="shared" si="14"/>
        <v/>
      </c>
      <c r="I64" s="18">
        <f t="shared" si="9"/>
        <v>2077.766667</v>
      </c>
      <c r="J64" s="19">
        <f t="shared" si="10"/>
        <v>2093.533333</v>
      </c>
      <c r="K64" s="19"/>
      <c r="L64" s="19">
        <f t="shared" si="11"/>
        <v>2047.533333</v>
      </c>
      <c r="M64" s="19">
        <f t="shared" si="12"/>
        <v>2123.766667</v>
      </c>
      <c r="N64" s="19">
        <f t="shared" si="13"/>
        <v>2031.766667</v>
      </c>
    </row>
    <row r="65" ht="24.75" customHeight="1">
      <c r="A65" s="21" t="s">
        <v>63</v>
      </c>
      <c r="B65" s="13">
        <f>IFERROR(__xludf.DUMMYFUNCTION("GOOGLEFINANCE(A65,""PRICE"")"),241.2)</f>
        <v>241.2</v>
      </c>
      <c r="C65" s="14">
        <f>IFERROR(__xludf.DUMMYFUNCTION("GOOGLEFINANCE(A65,""PRICEOPEN"")"),240.98)</f>
        <v>240.98</v>
      </c>
      <c r="D65" s="14">
        <f>IFERROR(__xludf.DUMMYFUNCTION("GOOGLEFINANCE(A65,""HIGH"")"),241.4)</f>
        <v>241.4</v>
      </c>
      <c r="E65" s="14">
        <f>IFERROR(__xludf.DUMMYFUNCTION("GOOGLEFINANCE(A65,""LOW"")"),238.06)</f>
        <v>238.06</v>
      </c>
      <c r="F65" s="15" t="str">
        <f t="shared" si="8"/>
        <v/>
      </c>
      <c r="G65" s="16">
        <f>IFERROR(__xludf.DUMMYFUNCTION("GOOGLEFINANCE(A65,""CLOSEYEST"")"),241.07)</f>
        <v>241.07</v>
      </c>
      <c r="H65" s="17" t="str">
        <f t="shared" si="14"/>
        <v/>
      </c>
      <c r="I65" s="18">
        <f t="shared" si="9"/>
        <v>240.1766667</v>
      </c>
      <c r="J65" s="19">
        <f t="shared" si="10"/>
        <v>242.2933333</v>
      </c>
      <c r="K65" s="19"/>
      <c r="L65" s="19">
        <f t="shared" si="11"/>
        <v>238.9533333</v>
      </c>
      <c r="M65" s="19">
        <f t="shared" si="12"/>
        <v>243.5166667</v>
      </c>
      <c r="N65" s="19">
        <f t="shared" si="13"/>
        <v>236.8366667</v>
      </c>
    </row>
    <row r="66" ht="24.75" customHeight="1">
      <c r="A66" s="21" t="s">
        <v>32</v>
      </c>
      <c r="B66" s="13">
        <f>IFERROR(__xludf.DUMMYFUNCTION("GOOGLEFINANCE(A66,""PRICE"")"),1392.8)</f>
        <v>1392.8</v>
      </c>
      <c r="C66" s="14">
        <f>IFERROR(__xludf.DUMMYFUNCTION("GOOGLEFINANCE(A66,""PRICEOPEN"")"),1396.5)</f>
        <v>1396.5</v>
      </c>
      <c r="D66" s="14">
        <f>IFERROR(__xludf.DUMMYFUNCTION("GOOGLEFINANCE(A66,""HIGH"")"),1399.8)</f>
        <v>1399.8</v>
      </c>
      <c r="E66" s="14">
        <f>IFERROR(__xludf.DUMMYFUNCTION("GOOGLEFINANCE(A66,""LOW"")"),1380.4)</f>
        <v>1380.4</v>
      </c>
      <c r="F66" s="15" t="str">
        <f t="shared" si="8"/>
        <v/>
      </c>
      <c r="G66" s="16">
        <f>IFERROR(__xludf.DUMMYFUNCTION("GOOGLEFINANCE(A66,""CLOSEYEST"")"),1389.5)</f>
        <v>1389.5</v>
      </c>
      <c r="H66" s="17" t="str">
        <f t="shared" si="14"/>
        <v/>
      </c>
      <c r="I66" s="18">
        <f t="shared" si="9"/>
        <v>1389.9</v>
      </c>
      <c r="J66" s="19">
        <f t="shared" si="10"/>
        <v>1399.4</v>
      </c>
      <c r="K66" s="19"/>
      <c r="L66" s="19">
        <f t="shared" si="11"/>
        <v>1380</v>
      </c>
      <c r="M66" s="19">
        <f t="shared" si="12"/>
        <v>1409.3</v>
      </c>
      <c r="N66" s="19">
        <f t="shared" si="13"/>
        <v>1370.5</v>
      </c>
    </row>
    <row r="67" ht="24.75" customHeight="1">
      <c r="A67" s="21" t="s">
        <v>18</v>
      </c>
      <c r="B67" s="13">
        <f>IFERROR(__xludf.DUMMYFUNCTION("GOOGLEFINANCE(A67,""PRICE"")"),2358.1)</f>
        <v>2358.1</v>
      </c>
      <c r="C67" s="14">
        <f>IFERROR(__xludf.DUMMYFUNCTION("GOOGLEFINANCE(A67,""PRICEOPEN"")"),2342.2)</f>
        <v>2342.2</v>
      </c>
      <c r="D67" s="14">
        <f>IFERROR(__xludf.DUMMYFUNCTION("GOOGLEFINANCE(A67,""HIGH"")"),2362.7)</f>
        <v>2362.7</v>
      </c>
      <c r="E67" s="14">
        <f>IFERROR(__xludf.DUMMYFUNCTION("GOOGLEFINANCE(A67,""LOW"")"),2336.1)</f>
        <v>2336.1</v>
      </c>
      <c r="F67" s="15" t="str">
        <f t="shared" si="8"/>
        <v/>
      </c>
      <c r="G67" s="16">
        <f>IFERROR(__xludf.DUMMYFUNCTION("GOOGLEFINANCE(A67,""CLOSEYEST"")"),2335.8)</f>
        <v>2335.8</v>
      </c>
      <c r="H67" s="17" t="str">
        <f t="shared" si="14"/>
        <v/>
      </c>
      <c r="I67" s="18">
        <f t="shared" si="9"/>
        <v>2344.866667</v>
      </c>
      <c r="J67" s="19">
        <f t="shared" si="10"/>
        <v>2353.633333</v>
      </c>
      <c r="K67" s="19"/>
      <c r="L67" s="19">
        <f t="shared" si="11"/>
        <v>2327.033333</v>
      </c>
      <c r="M67" s="19">
        <f t="shared" si="12"/>
        <v>2371.466667</v>
      </c>
      <c r="N67" s="19">
        <f t="shared" si="13"/>
        <v>2318.266667</v>
      </c>
    </row>
    <row r="68" ht="24.75" customHeight="1">
      <c r="A68" s="21" t="s">
        <v>22</v>
      </c>
      <c r="B68" s="13">
        <f>IFERROR(__xludf.DUMMYFUNCTION("GOOGLEFINANCE(A68,""PRICE"")"),1994.2)</f>
        <v>1994.2</v>
      </c>
      <c r="C68" s="14">
        <f>IFERROR(__xludf.DUMMYFUNCTION("GOOGLEFINANCE(A68,""PRICEOPEN"")"),2016.5)</f>
        <v>2016.5</v>
      </c>
      <c r="D68" s="14">
        <f>IFERROR(__xludf.DUMMYFUNCTION("GOOGLEFINANCE(A68,""HIGH"")"),2017.0)</f>
        <v>2017</v>
      </c>
      <c r="E68" s="14">
        <f>IFERROR(__xludf.DUMMYFUNCTION("GOOGLEFINANCE(A68,""LOW"")"),1968.0)</f>
        <v>1968</v>
      </c>
      <c r="F68" s="15" t="str">
        <f t="shared" si="8"/>
        <v/>
      </c>
      <c r="G68" s="16">
        <f>IFERROR(__xludf.DUMMYFUNCTION("GOOGLEFINANCE(A68,""CLOSEYEST"")"),2007.0)</f>
        <v>2007</v>
      </c>
      <c r="H68" s="17" t="str">
        <f t="shared" si="14"/>
        <v/>
      </c>
      <c r="I68" s="18">
        <f t="shared" si="9"/>
        <v>1997.333333</v>
      </c>
      <c r="J68" s="19">
        <f t="shared" si="10"/>
        <v>2026.666667</v>
      </c>
      <c r="K68" s="19"/>
      <c r="L68" s="19">
        <f t="shared" si="11"/>
        <v>1977.666667</v>
      </c>
      <c r="M68" s="19">
        <f t="shared" si="12"/>
        <v>2046.333333</v>
      </c>
      <c r="N68" s="19">
        <f t="shared" si="13"/>
        <v>1948.333333</v>
      </c>
    </row>
    <row r="69" ht="24.75" customHeight="1">
      <c r="A69" s="21" t="s">
        <v>66</v>
      </c>
      <c r="B69" s="13">
        <f>IFERROR(__xludf.DUMMYFUNCTION("GOOGLEFINANCE(A69,""PRICE"")"),4420.0)</f>
        <v>4420</v>
      </c>
      <c r="C69" s="14">
        <f>IFERROR(__xludf.DUMMYFUNCTION("GOOGLEFINANCE(A69,""PRICEOPEN"")"),4445.0)</f>
        <v>4445</v>
      </c>
      <c r="D69" s="14">
        <f>IFERROR(__xludf.DUMMYFUNCTION("GOOGLEFINANCE(A69,""HIGH"")"),4445.0)</f>
        <v>4445</v>
      </c>
      <c r="E69" s="14">
        <f>IFERROR(__xludf.DUMMYFUNCTION("GOOGLEFINANCE(A69,""LOW"")"),4387.1)</f>
        <v>4387.1</v>
      </c>
      <c r="F69" s="15" t="str">
        <f t="shared" si="8"/>
        <v>SELL</v>
      </c>
      <c r="G69" s="16">
        <f>IFERROR(__xludf.DUMMYFUNCTION("GOOGLEFINANCE(A69,""CLOSEYEST"")"),4449.9)</f>
        <v>4449.9</v>
      </c>
      <c r="H69" s="17" t="str">
        <f t="shared" si="14"/>
        <v/>
      </c>
      <c r="I69" s="18">
        <f t="shared" si="9"/>
        <v>4427.333333</v>
      </c>
      <c r="J69" s="19">
        <f t="shared" si="10"/>
        <v>4467.566667</v>
      </c>
      <c r="K69" s="19"/>
      <c r="L69" s="19">
        <f t="shared" si="11"/>
        <v>4409.666667</v>
      </c>
      <c r="M69" s="19">
        <f t="shared" si="12"/>
        <v>4485.233333</v>
      </c>
      <c r="N69" s="19">
        <f t="shared" si="13"/>
        <v>4369.433333</v>
      </c>
    </row>
    <row r="70" ht="24.75" customHeight="1">
      <c r="A70" s="21" t="s">
        <v>46</v>
      </c>
      <c r="B70" s="13">
        <f>IFERROR(__xludf.DUMMYFUNCTION("GOOGLEFINANCE(A70,""PRICE"")"),3742.9)</f>
        <v>3742.9</v>
      </c>
      <c r="C70" s="14">
        <f>IFERROR(__xludf.DUMMYFUNCTION("GOOGLEFINANCE(A70,""PRICEOPEN"")"),3690.0)</f>
        <v>3690</v>
      </c>
      <c r="D70" s="14">
        <f>IFERROR(__xludf.DUMMYFUNCTION("GOOGLEFINANCE(A70,""HIGH"")"),3746.0)</f>
        <v>3746</v>
      </c>
      <c r="E70" s="14">
        <f>IFERROR(__xludf.DUMMYFUNCTION("GOOGLEFINANCE(A70,""LOW"")"),3666.3)</f>
        <v>3666.3</v>
      </c>
      <c r="F70" s="15" t="str">
        <f t="shared" si="8"/>
        <v/>
      </c>
      <c r="G70" s="16">
        <f>IFERROR(__xludf.DUMMYFUNCTION("GOOGLEFINANCE(A70,""CLOSEYEST"")"),3670.3)</f>
        <v>3670.3</v>
      </c>
      <c r="H70" s="17" t="str">
        <f t="shared" si="14"/>
        <v/>
      </c>
      <c r="I70" s="18">
        <f t="shared" si="9"/>
        <v>3694.2</v>
      </c>
      <c r="J70" s="19">
        <f t="shared" si="10"/>
        <v>3722.1</v>
      </c>
      <c r="K70" s="19"/>
      <c r="L70" s="19">
        <f t="shared" si="11"/>
        <v>3642.4</v>
      </c>
      <c r="M70" s="19">
        <f t="shared" si="12"/>
        <v>3773.9</v>
      </c>
      <c r="N70" s="19">
        <f t="shared" si="13"/>
        <v>3614.5</v>
      </c>
    </row>
    <row r="71" ht="24.75" customHeight="1">
      <c r="A71" s="21" t="s">
        <v>41</v>
      </c>
      <c r="B71" s="13" t="str">
        <f>IFERROR(__xludf.DUMMYFUNCTION("GOOGLEFINANCE(A71,""PRICE"")"),"#N/A")</f>
        <v>#N/A</v>
      </c>
      <c r="C71" s="14" t="str">
        <f>IFERROR(__xludf.DUMMYFUNCTION("GOOGLEFINANCE(A71,""PRICEOPEN"")"),"#N/A")</f>
        <v>#N/A</v>
      </c>
      <c r="D71" s="14" t="str">
        <f>IFERROR(__xludf.DUMMYFUNCTION("GOOGLEFINANCE(A71,""HIGH"")"),"#N/A")</f>
        <v>#N/A</v>
      </c>
      <c r="E71" s="14" t="str">
        <f>IFERROR(__xludf.DUMMYFUNCTION("GOOGLEFINANCE(A71,""LOW"")"),"#N/A")</f>
        <v>#N/A</v>
      </c>
      <c r="F71" s="15" t="str">
        <f t="shared" si="8"/>
        <v>#N/A</v>
      </c>
      <c r="G71" s="16" t="str">
        <f>IFERROR(__xludf.DUMMYFUNCTION("GOOGLEFINANCE(A71,""CLOSEYEST"")"),"#N/A")</f>
        <v>#N/A</v>
      </c>
      <c r="H71" s="17" t="str">
        <f t="shared" si="14"/>
        <v>#N/A</v>
      </c>
      <c r="I71" s="18" t="str">
        <f t="shared" si="9"/>
        <v>#N/A</v>
      </c>
      <c r="J71" s="19" t="str">
        <f t="shared" si="10"/>
        <v>#N/A</v>
      </c>
      <c r="K71" s="19"/>
      <c r="L71" s="19" t="str">
        <f t="shared" si="11"/>
        <v>#N/A</v>
      </c>
      <c r="M71" s="19" t="str">
        <f t="shared" si="12"/>
        <v>#N/A</v>
      </c>
      <c r="N71" s="19" t="str">
        <f t="shared" si="13"/>
        <v>#N/A</v>
      </c>
    </row>
    <row r="72" ht="24.75" customHeight="1">
      <c r="A72" s="21" t="s">
        <v>67</v>
      </c>
      <c r="B72" s="13">
        <f>IFERROR(__xludf.DUMMYFUNCTION("GOOGLEFINANCE(A72,""PRICE"")"),1072.5)</f>
        <v>1072.5</v>
      </c>
      <c r="C72" s="14">
        <f>IFERROR(__xludf.DUMMYFUNCTION("GOOGLEFINANCE(A72,""PRICEOPEN"")"),1068.6)</f>
        <v>1068.6</v>
      </c>
      <c r="D72" s="14">
        <f>IFERROR(__xludf.DUMMYFUNCTION("GOOGLEFINANCE(A72,""HIGH"")"),1078.8)</f>
        <v>1078.8</v>
      </c>
      <c r="E72" s="14">
        <f>IFERROR(__xludf.DUMMYFUNCTION("GOOGLEFINANCE(A72,""LOW"")"),1054.3)</f>
        <v>1054.3</v>
      </c>
      <c r="F72" s="15" t="str">
        <f t="shared" si="8"/>
        <v/>
      </c>
      <c r="G72" s="16">
        <f>IFERROR(__xludf.DUMMYFUNCTION("GOOGLEFINANCE(A72,""CLOSEYEST"")"),1064.7)</f>
        <v>1064.7</v>
      </c>
      <c r="H72" s="17" t="str">
        <f t="shared" si="14"/>
        <v/>
      </c>
      <c r="I72" s="18">
        <f t="shared" si="9"/>
        <v>1065.933333</v>
      </c>
      <c r="J72" s="19">
        <f t="shared" si="10"/>
        <v>1077.566667</v>
      </c>
      <c r="K72" s="19"/>
      <c r="L72" s="19">
        <f t="shared" si="11"/>
        <v>1053.066667</v>
      </c>
      <c r="M72" s="19">
        <f t="shared" si="12"/>
        <v>1090.433333</v>
      </c>
      <c r="N72" s="19">
        <f t="shared" si="13"/>
        <v>1041.433333</v>
      </c>
    </row>
    <row r="73" ht="24.75" customHeight="1">
      <c r="A73" s="21" t="s">
        <v>48</v>
      </c>
      <c r="B73" s="13">
        <f>IFERROR(__xludf.DUMMYFUNCTION("GOOGLEFINANCE(A73,""PRICE"")"),15808.0)</f>
        <v>15808</v>
      </c>
      <c r="C73" s="14">
        <f>IFERROR(__xludf.DUMMYFUNCTION("GOOGLEFINANCE(A73,""PRICEOPEN"")"),15949.0)</f>
        <v>15949</v>
      </c>
      <c r="D73" s="14">
        <f>IFERROR(__xludf.DUMMYFUNCTION("GOOGLEFINANCE(A73,""HIGH"")"),16025.0)</f>
        <v>16025</v>
      </c>
      <c r="E73" s="14">
        <f>IFERROR(__xludf.DUMMYFUNCTION("GOOGLEFINANCE(A73,""LOW"")"),15736.0)</f>
        <v>15736</v>
      </c>
      <c r="F73" s="15" t="str">
        <f t="shared" si="8"/>
        <v/>
      </c>
      <c r="G73" s="16">
        <f>IFERROR(__xludf.DUMMYFUNCTION("GOOGLEFINANCE(A73,""CLOSEYEST"")"),15965.0)</f>
        <v>15965</v>
      </c>
      <c r="H73" s="17" t="str">
        <f t="shared" si="14"/>
        <v/>
      </c>
      <c r="I73" s="18">
        <f t="shared" si="9"/>
        <v>15908.66667</v>
      </c>
      <c r="J73" s="19">
        <f t="shared" si="10"/>
        <v>16081.33333</v>
      </c>
      <c r="K73" s="19"/>
      <c r="L73" s="19">
        <f t="shared" si="11"/>
        <v>15792.33333</v>
      </c>
      <c r="M73" s="19">
        <f t="shared" si="12"/>
        <v>16197.66667</v>
      </c>
      <c r="N73" s="19">
        <f t="shared" si="13"/>
        <v>15619.66667</v>
      </c>
    </row>
    <row r="74" ht="24.75" customHeight="1">
      <c r="A74" s="21" t="s">
        <v>68</v>
      </c>
      <c r="B74" s="13">
        <f>IFERROR(__xludf.DUMMYFUNCTION("GOOGLEFINANCE(A74,""PRICE"")"),6.32)</f>
        <v>6.32</v>
      </c>
      <c r="C74" s="14">
        <f>IFERROR(__xludf.DUMMYFUNCTION("GOOGLEFINANCE(A74,""PRICEOPEN"")"),6.32)</f>
        <v>6.32</v>
      </c>
      <c r="D74" s="14">
        <f>IFERROR(__xludf.DUMMYFUNCTION("GOOGLEFINANCE(A74,""HIGH"")"),6.32)</f>
        <v>6.32</v>
      </c>
      <c r="E74" s="14">
        <f>IFERROR(__xludf.DUMMYFUNCTION("GOOGLEFINANCE(A74,""LOW"")"),6.24)</f>
        <v>6.24</v>
      </c>
      <c r="F74" s="15" t="str">
        <f t="shared" si="8"/>
        <v>SELL</v>
      </c>
      <c r="G74" s="16">
        <f>IFERROR(__xludf.DUMMYFUNCTION("GOOGLEFINANCE(A74,""CLOSEYEST"")"),6.32)</f>
        <v>6.32</v>
      </c>
      <c r="H74" s="17" t="str">
        <f t="shared" si="14"/>
        <v/>
      </c>
      <c r="I74" s="18">
        <f t="shared" si="9"/>
        <v>6.293333333</v>
      </c>
      <c r="J74" s="19">
        <f t="shared" si="10"/>
        <v>6.346666667</v>
      </c>
      <c r="K74" s="19"/>
      <c r="L74" s="19">
        <f t="shared" si="11"/>
        <v>6.266666667</v>
      </c>
      <c r="M74" s="19">
        <f t="shared" si="12"/>
        <v>6.373333333</v>
      </c>
      <c r="N74" s="19">
        <f t="shared" si="13"/>
        <v>6.213333333</v>
      </c>
    </row>
    <row r="75" ht="24.75" customHeight="1">
      <c r="A75" s="21" t="s">
        <v>19</v>
      </c>
      <c r="B75" s="13">
        <f>IFERROR(__xludf.DUMMYFUNCTION("GOOGLEFINANCE(A75,""PRICE"")"),1183.0)</f>
        <v>1183</v>
      </c>
      <c r="C75" s="14">
        <f>IFERROR(__xludf.DUMMYFUNCTION("GOOGLEFINANCE(A75,""PRICEOPEN"")"),1171.0)</f>
        <v>1171</v>
      </c>
      <c r="D75" s="14">
        <f>IFERROR(__xludf.DUMMYFUNCTION("GOOGLEFINANCE(A75,""HIGH"")"),1188.0)</f>
        <v>1188</v>
      </c>
      <c r="E75" s="14">
        <f>IFERROR(__xludf.DUMMYFUNCTION("GOOGLEFINANCE(A75,""LOW"")"),1169.5)</f>
        <v>1169.5</v>
      </c>
      <c r="F75" s="15" t="str">
        <f t="shared" si="8"/>
        <v/>
      </c>
      <c r="G75" s="16">
        <f>IFERROR(__xludf.DUMMYFUNCTION("GOOGLEFINANCE(A75,""CLOSEYEST"")"),1159.5)</f>
        <v>1159.5</v>
      </c>
      <c r="H75" s="17" t="str">
        <f t="shared" si="14"/>
        <v/>
      </c>
      <c r="I75" s="18">
        <f t="shared" si="9"/>
        <v>1172.333333</v>
      </c>
      <c r="J75" s="19">
        <f t="shared" si="10"/>
        <v>1175.166667</v>
      </c>
      <c r="K75" s="19"/>
      <c r="L75" s="19">
        <f t="shared" si="11"/>
        <v>1156.666667</v>
      </c>
      <c r="M75" s="19">
        <f t="shared" si="12"/>
        <v>1190.833333</v>
      </c>
      <c r="N75" s="19">
        <f t="shared" si="13"/>
        <v>1153.833333</v>
      </c>
    </row>
    <row r="76" ht="24.75" customHeight="1">
      <c r="A76" s="21" t="s">
        <v>62</v>
      </c>
      <c r="B76" s="13">
        <f>IFERROR(__xludf.DUMMYFUNCTION("GOOGLEFINANCE(A76,""PRICE"")"),12018.0)</f>
        <v>12018</v>
      </c>
      <c r="C76" s="14">
        <f>IFERROR(__xludf.DUMMYFUNCTION("GOOGLEFINANCE(A76,""PRICEOPEN"")"),12095.0)</f>
        <v>12095</v>
      </c>
      <c r="D76" s="14">
        <f>IFERROR(__xludf.DUMMYFUNCTION("GOOGLEFINANCE(A76,""HIGH"")"),12139.0)</f>
        <v>12139</v>
      </c>
      <c r="E76" s="14">
        <f>IFERROR(__xludf.DUMMYFUNCTION("GOOGLEFINANCE(A76,""LOW"")"),11982.0)</f>
        <v>11982</v>
      </c>
      <c r="F76" s="15" t="str">
        <f t="shared" si="8"/>
        <v/>
      </c>
      <c r="G76" s="16">
        <f>IFERROR(__xludf.DUMMYFUNCTION("GOOGLEFINANCE(A76,""CLOSEYEST"")"),12095.0)</f>
        <v>12095</v>
      </c>
      <c r="H76" s="17" t="str">
        <f t="shared" si="14"/>
        <v/>
      </c>
      <c r="I76" s="18">
        <f t="shared" si="9"/>
        <v>12072</v>
      </c>
      <c r="J76" s="19">
        <f t="shared" si="10"/>
        <v>12162</v>
      </c>
      <c r="K76" s="19"/>
      <c r="L76" s="19">
        <f t="shared" si="11"/>
        <v>12005</v>
      </c>
      <c r="M76" s="19">
        <f t="shared" si="12"/>
        <v>12229</v>
      </c>
      <c r="N76" s="19">
        <f t="shared" si="13"/>
        <v>11915</v>
      </c>
    </row>
    <row r="77" ht="24.75" customHeight="1">
      <c r="A77" s="21" t="s">
        <v>69</v>
      </c>
      <c r="B77" s="13" t="str">
        <f>IFERROR(__xludf.DUMMYFUNCTION("GOOGLEFINANCE(A77,""PRICE"")"),"#N/A")</f>
        <v>#N/A</v>
      </c>
      <c r="C77" s="14" t="str">
        <f>IFERROR(__xludf.DUMMYFUNCTION("GOOGLEFINANCE(A77,""PRICEOPEN"")"),"#N/A")</f>
        <v>#N/A</v>
      </c>
      <c r="D77" s="14" t="str">
        <f>IFERROR(__xludf.DUMMYFUNCTION("GOOGLEFINANCE(A77,""HIGH"")"),"#N/A")</f>
        <v>#N/A</v>
      </c>
      <c r="E77" s="14" t="str">
        <f>IFERROR(__xludf.DUMMYFUNCTION("GOOGLEFINANCE(A77,""LOW"")"),"#N/A")</f>
        <v>#N/A</v>
      </c>
      <c r="F77" s="15" t="str">
        <f t="shared" si="8"/>
        <v>#N/A</v>
      </c>
      <c r="G77" s="16" t="str">
        <f>IFERROR(__xludf.DUMMYFUNCTION("GOOGLEFINANCE(A77,""CLOSEYEST"")"),"#N/A")</f>
        <v>#N/A</v>
      </c>
      <c r="H77" s="17" t="str">
        <f t="shared" si="14"/>
        <v>#N/A</v>
      </c>
      <c r="I77" s="18" t="str">
        <f t="shared" si="9"/>
        <v>#N/A</v>
      </c>
      <c r="J77" s="19" t="str">
        <f t="shared" si="10"/>
        <v>#N/A</v>
      </c>
      <c r="K77" s="19"/>
      <c r="L77" s="19" t="str">
        <f t="shared" si="11"/>
        <v>#N/A</v>
      </c>
      <c r="M77" s="19" t="str">
        <f t="shared" si="12"/>
        <v>#N/A</v>
      </c>
      <c r="N77" s="19" t="str">
        <f t="shared" si="13"/>
        <v>#N/A</v>
      </c>
    </row>
    <row r="78" ht="24.75" customHeight="1">
      <c r="A78" s="21" t="s">
        <v>51</v>
      </c>
      <c r="B78" s="13">
        <f>IFERROR(__xludf.DUMMYFUNCTION("GOOGLEFINANCE(A78,""PRICE"")"),243.78)</f>
        <v>243.78</v>
      </c>
      <c r="C78" s="14">
        <f>IFERROR(__xludf.DUMMYFUNCTION("GOOGLEFINANCE(A78,""PRICEOPEN"")"),242.5)</f>
        <v>242.5</v>
      </c>
      <c r="D78" s="14">
        <f>IFERROR(__xludf.DUMMYFUNCTION("GOOGLEFINANCE(A78,""HIGH"")"),244.2)</f>
        <v>244.2</v>
      </c>
      <c r="E78" s="14">
        <f>IFERROR(__xludf.DUMMYFUNCTION("GOOGLEFINANCE(A78,""LOW"")"),239.7)</f>
        <v>239.7</v>
      </c>
      <c r="F78" s="15" t="str">
        <f t="shared" si="8"/>
        <v/>
      </c>
      <c r="G78" s="16">
        <f>IFERROR(__xludf.DUMMYFUNCTION("GOOGLEFINANCE(A78,""CLOSEYEST"")"),243.04)</f>
        <v>243.04</v>
      </c>
      <c r="H78" s="17" t="str">
        <f t="shared" si="14"/>
        <v/>
      </c>
      <c r="I78" s="18">
        <f t="shared" si="9"/>
        <v>242.3133333</v>
      </c>
      <c r="J78" s="19">
        <f t="shared" si="10"/>
        <v>244.9266667</v>
      </c>
      <c r="K78" s="19"/>
      <c r="L78" s="19">
        <f t="shared" si="11"/>
        <v>240.4266667</v>
      </c>
      <c r="M78" s="19">
        <f t="shared" si="12"/>
        <v>246.8133333</v>
      </c>
      <c r="N78" s="19">
        <f t="shared" si="13"/>
        <v>237.8133333</v>
      </c>
    </row>
    <row r="79" ht="24.75" customHeight="1">
      <c r="A79" s="21" t="s">
        <v>15</v>
      </c>
      <c r="B79" s="13">
        <f>IFERROR(__xludf.DUMMYFUNCTION("GOOGLEFINANCE(A79,""PRICE"")"),2586.1)</f>
        <v>2586.1</v>
      </c>
      <c r="C79" s="14">
        <f>IFERROR(__xludf.DUMMYFUNCTION("GOOGLEFINANCE(A79,""PRICEOPEN"")"),2595.0)</f>
        <v>2595</v>
      </c>
      <c r="D79" s="14">
        <f>IFERROR(__xludf.DUMMYFUNCTION("GOOGLEFINANCE(A79,""HIGH"")"),2612.9)</f>
        <v>2612.9</v>
      </c>
      <c r="E79" s="14">
        <f>IFERROR(__xludf.DUMMYFUNCTION("GOOGLEFINANCE(A79,""LOW"")"),2564.4)</f>
        <v>2564.4</v>
      </c>
      <c r="F79" s="15" t="str">
        <f t="shared" si="8"/>
        <v/>
      </c>
      <c r="G79" s="16">
        <f>IFERROR(__xludf.DUMMYFUNCTION("GOOGLEFINANCE(A79,""CLOSEYEST"")"),2592.7)</f>
        <v>2592.7</v>
      </c>
      <c r="H79" s="17" t="str">
        <f t="shared" si="14"/>
        <v/>
      </c>
      <c r="I79" s="18">
        <f t="shared" si="9"/>
        <v>2590</v>
      </c>
      <c r="J79" s="19">
        <f t="shared" si="10"/>
        <v>2615.6</v>
      </c>
      <c r="K79" s="19"/>
      <c r="L79" s="19">
        <f t="shared" si="11"/>
        <v>2567.1</v>
      </c>
      <c r="M79" s="19">
        <f t="shared" si="12"/>
        <v>2638.5</v>
      </c>
      <c r="N79" s="19">
        <f t="shared" si="13"/>
        <v>2541.5</v>
      </c>
    </row>
    <row r="80" ht="24.75" customHeight="1">
      <c r="A80" s="21" t="s">
        <v>56</v>
      </c>
      <c r="B80" s="13">
        <f>IFERROR(__xludf.DUMMYFUNCTION("GOOGLEFINANCE(A80,""PRICE"")"),1632.0)</f>
        <v>1632</v>
      </c>
      <c r="C80" s="14">
        <f>IFERROR(__xludf.DUMMYFUNCTION("GOOGLEFINANCE(A80,""PRICEOPEN"")"),1600.0)</f>
        <v>1600</v>
      </c>
      <c r="D80" s="14">
        <f>IFERROR(__xludf.DUMMYFUNCTION("GOOGLEFINANCE(A80,""HIGH"")"),1645.5)</f>
        <v>1645.5</v>
      </c>
      <c r="E80" s="14">
        <f>IFERROR(__xludf.DUMMYFUNCTION("GOOGLEFINANCE(A80,""LOW"")"),1600.0)</f>
        <v>1600</v>
      </c>
      <c r="F80" s="15" t="str">
        <f t="shared" si="8"/>
        <v>BUY</v>
      </c>
      <c r="G80" s="16">
        <f>IFERROR(__xludf.DUMMYFUNCTION("GOOGLEFINANCE(A80,""CLOSEYEST"")"),1636.2)</f>
        <v>1636.2</v>
      </c>
      <c r="H80" s="17" t="str">
        <f t="shared" si="14"/>
        <v>GAP DOWN</v>
      </c>
      <c r="I80" s="18">
        <f t="shared" si="9"/>
        <v>1627.233333</v>
      </c>
      <c r="J80" s="19">
        <f t="shared" si="10"/>
        <v>1654.466667</v>
      </c>
      <c r="K80" s="19"/>
      <c r="L80" s="19">
        <f t="shared" si="11"/>
        <v>1608.966667</v>
      </c>
      <c r="M80" s="19">
        <f t="shared" si="12"/>
        <v>1672.733333</v>
      </c>
      <c r="N80" s="19">
        <f t="shared" si="13"/>
        <v>1581.733333</v>
      </c>
    </row>
    <row r="81" ht="24.75" customHeight="1">
      <c r="A81" s="21" t="s">
        <v>70</v>
      </c>
      <c r="B81" s="13">
        <f>IFERROR(__xludf.DUMMYFUNCTION("GOOGLEFINANCE(A81,""PRICE"")"),23.17)</f>
        <v>23.17</v>
      </c>
      <c r="C81" s="14">
        <f>IFERROR(__xludf.DUMMYFUNCTION("GOOGLEFINANCE(A81,""PRICEOPEN"")"),23.17)</f>
        <v>23.17</v>
      </c>
      <c r="D81" s="14">
        <f>IFERROR(__xludf.DUMMYFUNCTION("GOOGLEFINANCE(A81,""HIGH"")"),23.17)</f>
        <v>23.17</v>
      </c>
      <c r="E81" s="14">
        <f>IFERROR(__xludf.DUMMYFUNCTION("GOOGLEFINANCE(A81,""LOW"")"),23.17)</f>
        <v>23.17</v>
      </c>
      <c r="F81" s="15" t="str">
        <f t="shared" si="8"/>
        <v>SELL</v>
      </c>
      <c r="G81" s="16">
        <f>IFERROR(__xludf.DUMMYFUNCTION("GOOGLEFINANCE(A81,""CLOSEYEST"")"),25.44)</f>
        <v>25.44</v>
      </c>
      <c r="H81" s="17" t="str">
        <f t="shared" si="14"/>
        <v>GAP DOWN</v>
      </c>
      <c r="I81" s="18">
        <f t="shared" si="9"/>
        <v>23.92666667</v>
      </c>
      <c r="J81" s="19">
        <f t="shared" si="10"/>
        <v>24.68333333</v>
      </c>
      <c r="K81" s="19"/>
      <c r="L81" s="19">
        <f t="shared" si="11"/>
        <v>24.68333333</v>
      </c>
      <c r="M81" s="19">
        <f t="shared" si="12"/>
        <v>23.92666667</v>
      </c>
      <c r="N81" s="19">
        <f t="shared" si="13"/>
        <v>23.92666667</v>
      </c>
    </row>
    <row r="82" ht="24.75" customHeight="1">
      <c r="A82" s="21" t="s">
        <v>50</v>
      </c>
      <c r="B82" s="13">
        <f>IFERROR(__xludf.DUMMYFUNCTION("GOOGLEFINANCE(A82,""PRICE"")"),1170.0)</f>
        <v>1170</v>
      </c>
      <c r="C82" s="14">
        <f>IFERROR(__xludf.DUMMYFUNCTION("GOOGLEFINANCE(A82,""PRICEOPEN"")"),1160.0)</f>
        <v>1160</v>
      </c>
      <c r="D82" s="14">
        <f>IFERROR(__xludf.DUMMYFUNCTION("GOOGLEFINANCE(A82,""HIGH"")"),1171.3)</f>
        <v>1171.3</v>
      </c>
      <c r="E82" s="14">
        <f>IFERROR(__xludf.DUMMYFUNCTION("GOOGLEFINANCE(A82,""LOW"")"),1154.4)</f>
        <v>1154.4</v>
      </c>
      <c r="F82" s="15" t="str">
        <f t="shared" si="8"/>
        <v/>
      </c>
      <c r="G82" s="16">
        <f>IFERROR(__xludf.DUMMYFUNCTION("GOOGLEFINANCE(A82,""CLOSEYEST"")"),1166.4)</f>
        <v>1166.4</v>
      </c>
      <c r="H82" s="17" t="str">
        <f t="shared" si="14"/>
        <v/>
      </c>
      <c r="I82" s="18">
        <f t="shared" si="9"/>
        <v>1164.033333</v>
      </c>
      <c r="J82" s="19">
        <f t="shared" si="10"/>
        <v>1173.666667</v>
      </c>
      <c r="K82" s="19"/>
      <c r="L82" s="19">
        <f t="shared" si="11"/>
        <v>1156.766667</v>
      </c>
      <c r="M82" s="19">
        <f t="shared" si="12"/>
        <v>1180.933333</v>
      </c>
      <c r="N82" s="19">
        <f t="shared" si="13"/>
        <v>1147.133333</v>
      </c>
    </row>
    <row r="83" ht="24.75" customHeight="1">
      <c r="A83" s="21" t="s">
        <v>59</v>
      </c>
      <c r="B83" s="13">
        <f>IFERROR(__xludf.DUMMYFUNCTION("GOOGLEFINANCE(A83,""PRICE"")"),715.85)</f>
        <v>715.85</v>
      </c>
      <c r="C83" s="14">
        <f>IFERROR(__xludf.DUMMYFUNCTION("GOOGLEFINANCE(A83,""PRICEOPEN"")"),718.5)</f>
        <v>718.5</v>
      </c>
      <c r="D83" s="14">
        <f>IFERROR(__xludf.DUMMYFUNCTION("GOOGLEFINANCE(A83,""HIGH"")"),739.7)</f>
        <v>739.7</v>
      </c>
      <c r="E83" s="14">
        <f>IFERROR(__xludf.DUMMYFUNCTION("GOOGLEFINANCE(A83,""LOW"")"),715.0)</f>
        <v>715</v>
      </c>
      <c r="F83" s="15" t="str">
        <f t="shared" si="8"/>
        <v/>
      </c>
      <c r="G83" s="16">
        <f>IFERROR(__xludf.DUMMYFUNCTION("GOOGLEFINANCE(A83,""CLOSEYEST"")"),718.35)</f>
        <v>718.35</v>
      </c>
      <c r="H83" s="17" t="str">
        <f t="shared" si="14"/>
        <v/>
      </c>
      <c r="I83" s="18">
        <f t="shared" si="9"/>
        <v>724.35</v>
      </c>
      <c r="J83" s="19">
        <f t="shared" si="10"/>
        <v>733.7</v>
      </c>
      <c r="K83" s="19"/>
      <c r="L83" s="19">
        <f t="shared" si="11"/>
        <v>709</v>
      </c>
      <c r="M83" s="19">
        <f t="shared" si="12"/>
        <v>749.05</v>
      </c>
      <c r="N83" s="19">
        <f t="shared" si="13"/>
        <v>699.65</v>
      </c>
    </row>
    <row r="84" ht="24.75" customHeight="1">
      <c r="A84" s="21" t="s">
        <v>71</v>
      </c>
      <c r="B84" s="13" t="str">
        <f>IFERROR(__xludf.DUMMYFUNCTION("GOOGLEFINANCE(A84,""PRICE"")"),"#N/A")</f>
        <v>#N/A</v>
      </c>
      <c r="C84" s="14" t="str">
        <f>IFERROR(__xludf.DUMMYFUNCTION("GOOGLEFINANCE(A84,""PRICEOPEN"")"),"#N/A")</f>
        <v>#N/A</v>
      </c>
      <c r="D84" s="14" t="str">
        <f>IFERROR(__xludf.DUMMYFUNCTION("GOOGLEFINANCE(A84,""HIGH"")"),"#N/A")</f>
        <v>#N/A</v>
      </c>
      <c r="E84" s="14" t="str">
        <f>IFERROR(__xludf.DUMMYFUNCTION("GOOGLEFINANCE(A84,""LOW"")"),"#N/A")</f>
        <v>#N/A</v>
      </c>
      <c r="F84" s="15" t="str">
        <f t="shared" si="8"/>
        <v>#N/A</v>
      </c>
      <c r="G84" s="16" t="str">
        <f>IFERROR(__xludf.DUMMYFUNCTION("GOOGLEFINANCE(A84,""CLOSEYEST"")"),"#N/A")</f>
        <v>#N/A</v>
      </c>
      <c r="H84" s="17" t="str">
        <f t="shared" si="14"/>
        <v>#N/A</v>
      </c>
      <c r="I84" s="18" t="str">
        <f t="shared" si="9"/>
        <v>#N/A</v>
      </c>
      <c r="J84" s="19" t="str">
        <f t="shared" si="10"/>
        <v>#N/A</v>
      </c>
      <c r="K84" s="19"/>
      <c r="L84" s="19" t="str">
        <f t="shared" si="11"/>
        <v>#N/A</v>
      </c>
      <c r="M84" s="19" t="str">
        <f t="shared" si="12"/>
        <v>#N/A</v>
      </c>
      <c r="N84" s="19" t="str">
        <f t="shared" si="13"/>
        <v>#N/A</v>
      </c>
    </row>
    <row r="85" ht="24.75" customHeight="1">
      <c r="A85" s="21" t="s">
        <v>61</v>
      </c>
      <c r="B85" s="13">
        <f>IFERROR(__xludf.DUMMYFUNCTION("GOOGLEFINANCE(A85,""PRICE"")"),1398.0)</f>
        <v>1398</v>
      </c>
      <c r="C85" s="14">
        <f>IFERROR(__xludf.DUMMYFUNCTION("GOOGLEFINANCE(A85,""PRICEOPEN"")"),1423.0)</f>
        <v>1423</v>
      </c>
      <c r="D85" s="14">
        <f>IFERROR(__xludf.DUMMYFUNCTION("GOOGLEFINANCE(A85,""HIGH"")"),1423.8)</f>
        <v>1423.8</v>
      </c>
      <c r="E85" s="14">
        <f>IFERROR(__xludf.DUMMYFUNCTION("GOOGLEFINANCE(A85,""LOW"")"),1397.3)</f>
        <v>1397.3</v>
      </c>
      <c r="F85" s="15" t="str">
        <f t="shared" si="8"/>
        <v/>
      </c>
      <c r="G85" s="16">
        <f>IFERROR(__xludf.DUMMYFUNCTION("GOOGLEFINANCE(A85,""CLOSEYEST"")"),1416.0)</f>
        <v>1416</v>
      </c>
      <c r="H85" s="17" t="str">
        <f t="shared" si="14"/>
        <v/>
      </c>
      <c r="I85" s="18">
        <f t="shared" si="9"/>
        <v>1412.366667</v>
      </c>
      <c r="J85" s="19">
        <f t="shared" si="10"/>
        <v>1427.433333</v>
      </c>
      <c r="K85" s="19"/>
      <c r="L85" s="19">
        <f t="shared" si="11"/>
        <v>1400.933333</v>
      </c>
      <c r="M85" s="19">
        <f t="shared" si="12"/>
        <v>1438.866667</v>
      </c>
      <c r="N85" s="19">
        <f t="shared" si="13"/>
        <v>1385.866667</v>
      </c>
    </row>
    <row r="86" ht="24.75" customHeight="1">
      <c r="A86" s="21" t="s">
        <v>44</v>
      </c>
      <c r="B86" s="13">
        <f>IFERROR(__xludf.DUMMYFUNCTION("GOOGLEFINANCE(A86,""PRICE"")"),1160.8)</f>
        <v>1160.8</v>
      </c>
      <c r="C86" s="14">
        <f>IFERROR(__xludf.DUMMYFUNCTION("GOOGLEFINANCE(A86,""PRICEOPEN"")"),1146.1)</f>
        <v>1146.1</v>
      </c>
      <c r="D86" s="14">
        <f>IFERROR(__xludf.DUMMYFUNCTION("GOOGLEFINANCE(A86,""HIGH"")"),1175.8)</f>
        <v>1175.8</v>
      </c>
      <c r="E86" s="14">
        <f>IFERROR(__xludf.DUMMYFUNCTION("GOOGLEFINANCE(A86,""LOW"")"),1145.9)</f>
        <v>1145.9</v>
      </c>
      <c r="F86" s="15" t="str">
        <f t="shared" si="8"/>
        <v/>
      </c>
      <c r="G86" s="16">
        <f>IFERROR(__xludf.DUMMYFUNCTION("GOOGLEFINANCE(A86,""CLOSEYEST"")"),1146.1)</f>
        <v>1146.1</v>
      </c>
      <c r="H86" s="17" t="str">
        <f t="shared" si="14"/>
        <v/>
      </c>
      <c r="I86" s="18">
        <f t="shared" si="9"/>
        <v>1155.933333</v>
      </c>
      <c r="J86" s="19">
        <f t="shared" si="10"/>
        <v>1165.966667</v>
      </c>
      <c r="K86" s="19"/>
      <c r="L86" s="19">
        <f t="shared" si="11"/>
        <v>1136.066667</v>
      </c>
      <c r="M86" s="19">
        <f t="shared" si="12"/>
        <v>1185.833333</v>
      </c>
      <c r="N86" s="19">
        <f t="shared" si="13"/>
        <v>1126.033333</v>
      </c>
    </row>
    <row r="87" ht="24.75" customHeight="1">
      <c r="A87" s="21" t="s">
        <v>16</v>
      </c>
      <c r="B87" s="13">
        <f>IFERROR(__xludf.DUMMYFUNCTION("GOOGLEFINANCE(A87,""PRICE"")"),1419.9)</f>
        <v>1419.9</v>
      </c>
      <c r="C87" s="14">
        <f>IFERROR(__xludf.DUMMYFUNCTION("GOOGLEFINANCE(A87,""PRICEOPEN"")"),1413.0)</f>
        <v>1413</v>
      </c>
      <c r="D87" s="14">
        <f>IFERROR(__xludf.DUMMYFUNCTION("GOOGLEFINANCE(A87,""HIGH"")"),1431.0)</f>
        <v>1431</v>
      </c>
      <c r="E87" s="14">
        <f>IFERROR(__xludf.DUMMYFUNCTION("GOOGLEFINANCE(A87,""LOW"")"),1412.5)</f>
        <v>1412.5</v>
      </c>
      <c r="F87" s="15" t="str">
        <f t="shared" si="8"/>
        <v/>
      </c>
      <c r="G87" s="16">
        <f>IFERROR(__xludf.DUMMYFUNCTION("GOOGLEFINANCE(A87,""CLOSEYEST"")"),1422.7)</f>
        <v>1422.7</v>
      </c>
      <c r="H87" s="17" t="str">
        <f t="shared" si="14"/>
        <v/>
      </c>
      <c r="I87" s="18">
        <f t="shared" si="9"/>
        <v>1422.066667</v>
      </c>
      <c r="J87" s="19">
        <f t="shared" si="10"/>
        <v>1431.633333</v>
      </c>
      <c r="K87" s="19"/>
      <c r="L87" s="19">
        <f t="shared" si="11"/>
        <v>1413.133333</v>
      </c>
      <c r="M87" s="19">
        <f t="shared" si="12"/>
        <v>1440.566667</v>
      </c>
      <c r="N87" s="19">
        <f t="shared" si="13"/>
        <v>1403.566667</v>
      </c>
    </row>
    <row r="88" ht="24.75" customHeight="1">
      <c r="A88" s="21" t="s">
        <v>60</v>
      </c>
      <c r="B88" s="13">
        <f>IFERROR(__xludf.DUMMYFUNCTION("GOOGLEFINANCE(A88,""PRICE"")"),173.29)</f>
        <v>173.29</v>
      </c>
      <c r="C88" s="14">
        <f>IFERROR(__xludf.DUMMYFUNCTION("GOOGLEFINANCE(A88,""PRICEOPEN"")"),168.12)</f>
        <v>168.12</v>
      </c>
      <c r="D88" s="14">
        <f>IFERROR(__xludf.DUMMYFUNCTION("GOOGLEFINANCE(A88,""HIGH"")"),174.74)</f>
        <v>174.74</v>
      </c>
      <c r="E88" s="14">
        <f>IFERROR(__xludf.DUMMYFUNCTION("GOOGLEFINANCE(A88,""LOW"")"),168.12)</f>
        <v>168.12</v>
      </c>
      <c r="F88" s="15" t="str">
        <f t="shared" si="8"/>
        <v>BUY</v>
      </c>
      <c r="G88" s="16">
        <f>IFERROR(__xludf.DUMMYFUNCTION("GOOGLEFINANCE(A88,""CLOSEYEST"")"),167.51)</f>
        <v>167.51</v>
      </c>
      <c r="H88" s="17" t="str">
        <f t="shared" si="14"/>
        <v/>
      </c>
      <c r="I88" s="18">
        <f t="shared" si="9"/>
        <v>170.1233333</v>
      </c>
      <c r="J88" s="19">
        <f t="shared" si="10"/>
        <v>172.1266667</v>
      </c>
      <c r="K88" s="19"/>
      <c r="L88" s="19">
        <f t="shared" si="11"/>
        <v>165.5066667</v>
      </c>
      <c r="M88" s="19">
        <f t="shared" si="12"/>
        <v>176.7433333</v>
      </c>
      <c r="N88" s="19">
        <f t="shared" si="13"/>
        <v>163.5033333</v>
      </c>
    </row>
    <row r="89" ht="24.75" customHeight="1">
      <c r="A89" s="21" t="s">
        <v>52</v>
      </c>
      <c r="B89" s="13">
        <f>IFERROR(__xludf.DUMMYFUNCTION("GOOGLEFINANCE(A89,""PRICE"")"),288.65)</f>
        <v>288.65</v>
      </c>
      <c r="C89" s="14">
        <f>IFERROR(__xludf.DUMMYFUNCTION("GOOGLEFINANCE(A89,""PRICEOPEN"")"),283.35)</f>
        <v>283.35</v>
      </c>
      <c r="D89" s="14">
        <f>IFERROR(__xludf.DUMMYFUNCTION("GOOGLEFINANCE(A89,""HIGH"")"),290.0)</f>
        <v>290</v>
      </c>
      <c r="E89" s="14">
        <f>IFERROR(__xludf.DUMMYFUNCTION("GOOGLEFINANCE(A89,""LOW"")"),281.05)</f>
        <v>281.05</v>
      </c>
      <c r="F89" s="15" t="str">
        <f t="shared" si="8"/>
        <v/>
      </c>
      <c r="G89" s="16">
        <f>IFERROR(__xludf.DUMMYFUNCTION("GOOGLEFINANCE(A89,""CLOSEYEST"")"),280.65)</f>
        <v>280.65</v>
      </c>
      <c r="H89" s="17" t="str">
        <f t="shared" si="14"/>
        <v/>
      </c>
      <c r="I89" s="18">
        <f t="shared" si="9"/>
        <v>283.9</v>
      </c>
      <c r="J89" s="19">
        <f t="shared" si="10"/>
        <v>286.75</v>
      </c>
      <c r="K89" s="19"/>
      <c r="L89" s="19">
        <f t="shared" si="11"/>
        <v>277.8</v>
      </c>
      <c r="M89" s="19">
        <f t="shared" si="12"/>
        <v>292.85</v>
      </c>
      <c r="N89" s="19">
        <f t="shared" si="13"/>
        <v>274.95</v>
      </c>
    </row>
    <row r="90" ht="24.75" customHeight="1">
      <c r="A90" s="21" t="s">
        <v>72</v>
      </c>
      <c r="B90" s="13">
        <f>IFERROR(__xludf.DUMMYFUNCTION("GOOGLEFINANCE(A90,""PRICE"")"),492.3)</f>
        <v>492.3</v>
      </c>
      <c r="C90" s="14">
        <f>IFERROR(__xludf.DUMMYFUNCTION("GOOGLEFINANCE(A90,""PRICEOPEN"")"),483.0)</f>
        <v>483</v>
      </c>
      <c r="D90" s="14">
        <f>IFERROR(__xludf.DUMMYFUNCTION("GOOGLEFINANCE(A90,""HIGH"")"),496.6)</f>
        <v>496.6</v>
      </c>
      <c r="E90" s="14">
        <f>IFERROR(__xludf.DUMMYFUNCTION("GOOGLEFINANCE(A90,""LOW"")"),478.9)</f>
        <v>478.9</v>
      </c>
      <c r="F90" s="15" t="str">
        <f t="shared" si="8"/>
        <v/>
      </c>
      <c r="G90" s="16">
        <f>IFERROR(__xludf.DUMMYFUNCTION("GOOGLEFINANCE(A90,""CLOSEYEST"")"),481.35)</f>
        <v>481.35</v>
      </c>
      <c r="H90" s="17" t="str">
        <f t="shared" si="14"/>
        <v/>
      </c>
      <c r="I90" s="18">
        <f t="shared" si="9"/>
        <v>485.6166667</v>
      </c>
      <c r="J90" s="19">
        <f t="shared" si="10"/>
        <v>492.3333333</v>
      </c>
      <c r="K90" s="19"/>
      <c r="L90" s="19">
        <f t="shared" si="11"/>
        <v>474.6333333</v>
      </c>
      <c r="M90" s="19">
        <f t="shared" si="12"/>
        <v>503.3166667</v>
      </c>
      <c r="N90" s="19">
        <f t="shared" si="13"/>
        <v>467.9166667</v>
      </c>
    </row>
    <row r="91" ht="24.75" customHeight="1">
      <c r="A91" s="21" t="s">
        <v>34</v>
      </c>
      <c r="B91" s="13">
        <f>IFERROR(__xludf.DUMMYFUNCTION("GOOGLEFINANCE(A91,""PRICE"")"),760.0)</f>
        <v>760</v>
      </c>
      <c r="C91" s="14">
        <f>IFERROR(__xludf.DUMMYFUNCTION("GOOGLEFINANCE(A91,""PRICEOPEN"")"),756.65)</f>
        <v>756.65</v>
      </c>
      <c r="D91" s="14">
        <f>IFERROR(__xludf.DUMMYFUNCTION("GOOGLEFINANCE(A91,""HIGH"")"),767.15)</f>
        <v>767.15</v>
      </c>
      <c r="E91" s="14">
        <f>IFERROR(__xludf.DUMMYFUNCTION("GOOGLEFINANCE(A91,""LOW"")"),754.95)</f>
        <v>754.95</v>
      </c>
      <c r="F91" s="15" t="str">
        <f t="shared" si="8"/>
        <v/>
      </c>
      <c r="G91" s="16">
        <f>IFERROR(__xludf.DUMMYFUNCTION("GOOGLEFINANCE(A91,""CLOSEYEST"")"),764.0)</f>
        <v>764</v>
      </c>
      <c r="H91" s="17" t="str">
        <f t="shared" si="14"/>
        <v/>
      </c>
      <c r="I91" s="18">
        <f t="shared" si="9"/>
        <v>762.0333333</v>
      </c>
      <c r="J91" s="19">
        <f t="shared" si="10"/>
        <v>769.1166667</v>
      </c>
      <c r="K91" s="19"/>
      <c r="L91" s="19">
        <f t="shared" si="11"/>
        <v>756.9166667</v>
      </c>
      <c r="M91" s="19">
        <f t="shared" si="12"/>
        <v>774.2333333</v>
      </c>
      <c r="N91" s="19">
        <f t="shared" si="13"/>
        <v>749.8333333</v>
      </c>
    </row>
    <row r="92" ht="24.75" customHeight="1">
      <c r="A92" s="21" t="s">
        <v>73</v>
      </c>
      <c r="B92" s="13">
        <f>IFERROR(__xludf.DUMMYFUNCTION("GOOGLEFINANCE(A92,""PRICE"")"),1485.8)</f>
        <v>1485.8</v>
      </c>
      <c r="C92" s="14">
        <f>IFERROR(__xludf.DUMMYFUNCTION("GOOGLEFINANCE(A92,""PRICEOPEN"")"),1475.6)</f>
        <v>1475.6</v>
      </c>
      <c r="D92" s="14">
        <f>IFERROR(__xludf.DUMMYFUNCTION("GOOGLEFINANCE(A92,""HIGH"")"),1493.6)</f>
        <v>1493.6</v>
      </c>
      <c r="E92" s="14">
        <f>IFERROR(__xludf.DUMMYFUNCTION("GOOGLEFINANCE(A92,""LOW"")"),1471.3)</f>
        <v>1471.3</v>
      </c>
      <c r="F92" s="15" t="str">
        <f t="shared" si="8"/>
        <v/>
      </c>
      <c r="G92" s="16">
        <f>IFERROR(__xludf.DUMMYFUNCTION("GOOGLEFINANCE(A92,""CLOSEYEST"")"),1475.4)</f>
        <v>1475.4</v>
      </c>
      <c r="H92" s="17" t="str">
        <f t="shared" si="14"/>
        <v/>
      </c>
      <c r="I92" s="18">
        <f t="shared" si="9"/>
        <v>1480.1</v>
      </c>
      <c r="J92" s="19">
        <f t="shared" si="10"/>
        <v>1488.9</v>
      </c>
      <c r="K92" s="19"/>
      <c r="L92" s="19">
        <f t="shared" si="11"/>
        <v>1466.6</v>
      </c>
      <c r="M92" s="19">
        <f t="shared" si="12"/>
        <v>1502.4</v>
      </c>
      <c r="N92" s="19">
        <f t="shared" si="13"/>
        <v>1457.8</v>
      </c>
    </row>
    <row r="93" ht="24.75" customHeight="1">
      <c r="A93" s="21" t="s">
        <v>49</v>
      </c>
      <c r="B93" s="13">
        <f>IFERROR(__xludf.DUMMYFUNCTION("GOOGLEFINANCE(A93,""PRICE"")"),341.8)</f>
        <v>341.8</v>
      </c>
      <c r="C93" s="14">
        <f>IFERROR(__xludf.DUMMYFUNCTION("GOOGLEFINANCE(A93,""PRICEOPEN"")"),340.25)</f>
        <v>340.25</v>
      </c>
      <c r="D93" s="14">
        <f>IFERROR(__xludf.DUMMYFUNCTION("GOOGLEFINANCE(A93,""HIGH"")"),343.5)</f>
        <v>343.5</v>
      </c>
      <c r="E93" s="14">
        <f>IFERROR(__xludf.DUMMYFUNCTION("GOOGLEFINANCE(A93,""LOW"")"),338.75)</f>
        <v>338.75</v>
      </c>
      <c r="F93" s="15" t="str">
        <f t="shared" si="8"/>
        <v/>
      </c>
      <c r="G93" s="16">
        <f>IFERROR(__xludf.DUMMYFUNCTION("GOOGLEFINANCE(A93,""CLOSEYEST"")"),340.25)</f>
        <v>340.25</v>
      </c>
      <c r="H93" s="17" t="str">
        <f t="shared" si="14"/>
        <v/>
      </c>
      <c r="I93" s="18">
        <f t="shared" si="9"/>
        <v>340.8333333</v>
      </c>
      <c r="J93" s="19">
        <f t="shared" si="10"/>
        <v>342.9166667</v>
      </c>
      <c r="K93" s="19"/>
      <c r="L93" s="19">
        <f t="shared" si="11"/>
        <v>338.1666667</v>
      </c>
      <c r="M93" s="19">
        <f t="shared" si="12"/>
        <v>345.5833333</v>
      </c>
      <c r="N93" s="19">
        <f t="shared" si="13"/>
        <v>336.0833333</v>
      </c>
    </row>
    <row r="94" ht="24.75" customHeight="1">
      <c r="A94" s="21" t="s">
        <v>74</v>
      </c>
      <c r="B94" s="13">
        <f>IFERROR(__xludf.DUMMYFUNCTION("GOOGLEFINANCE(A94,""PRICE"")"),7.2)</f>
        <v>7.2</v>
      </c>
      <c r="C94" s="14">
        <f>IFERROR(__xludf.DUMMYFUNCTION("GOOGLEFINANCE(A94,""PRICEOPEN"")"),7.2)</f>
        <v>7.2</v>
      </c>
      <c r="D94" s="14">
        <f>IFERROR(__xludf.DUMMYFUNCTION("GOOGLEFINANCE(A94,""HIGH"")"),7.5)</f>
        <v>7.5</v>
      </c>
      <c r="E94" s="14">
        <f>IFERROR(__xludf.DUMMYFUNCTION("GOOGLEFINANCE(A94,""LOW"")"),7.0)</f>
        <v>7</v>
      </c>
      <c r="F94" s="15" t="str">
        <f t="shared" si="8"/>
        <v/>
      </c>
      <c r="G94" s="16">
        <f>IFERROR(__xludf.DUMMYFUNCTION("GOOGLEFINANCE(A94,""CLOSEYEST"")"),7.25)</f>
        <v>7.25</v>
      </c>
      <c r="H94" s="17" t="str">
        <f t="shared" si="14"/>
        <v/>
      </c>
      <c r="I94" s="18">
        <f t="shared" si="9"/>
        <v>7.25</v>
      </c>
      <c r="J94" s="19">
        <f t="shared" si="10"/>
        <v>7.5</v>
      </c>
      <c r="K94" s="19"/>
      <c r="L94" s="19">
        <f t="shared" si="11"/>
        <v>7</v>
      </c>
      <c r="M94" s="19">
        <f t="shared" si="12"/>
        <v>7.75</v>
      </c>
      <c r="N94" s="19">
        <f t="shared" si="13"/>
        <v>6.75</v>
      </c>
    </row>
    <row r="95" ht="24.75" customHeight="1">
      <c r="A95" s="21" t="s">
        <v>54</v>
      </c>
      <c r="B95" s="13">
        <f>IFERROR(__xludf.DUMMYFUNCTION("GOOGLEFINANCE(A95,""PRICE"")"),1787.0)</f>
        <v>1787</v>
      </c>
      <c r="C95" s="14">
        <f>IFERROR(__xludf.DUMMYFUNCTION("GOOGLEFINANCE(A95,""PRICEOPEN"")"),1801.1)</f>
        <v>1801.1</v>
      </c>
      <c r="D95" s="14">
        <f>IFERROR(__xludf.DUMMYFUNCTION("GOOGLEFINANCE(A95,""HIGH"")"),1803.2)</f>
        <v>1803.2</v>
      </c>
      <c r="E95" s="14">
        <f>IFERROR(__xludf.DUMMYFUNCTION("GOOGLEFINANCE(A95,""LOW"")"),1766.2)</f>
        <v>1766.2</v>
      </c>
      <c r="F95" s="15" t="str">
        <f t="shared" si="8"/>
        <v/>
      </c>
      <c r="G95" s="16">
        <f>IFERROR(__xludf.DUMMYFUNCTION("GOOGLEFINANCE(A95,""CLOSEYEST"")"),1801.1)</f>
        <v>1801.1</v>
      </c>
      <c r="H95" s="17" t="str">
        <f t="shared" si="14"/>
        <v/>
      </c>
      <c r="I95" s="18">
        <f t="shared" si="9"/>
        <v>1790.166667</v>
      </c>
      <c r="J95" s="19">
        <f t="shared" si="10"/>
        <v>1814.133333</v>
      </c>
      <c r="K95" s="19"/>
      <c r="L95" s="19">
        <f t="shared" si="11"/>
        <v>1777.133333</v>
      </c>
      <c r="M95" s="19">
        <f t="shared" si="12"/>
        <v>1827.166667</v>
      </c>
      <c r="N95" s="19">
        <f t="shared" si="13"/>
        <v>1753.166667</v>
      </c>
    </row>
    <row r="96" ht="24.75" customHeight="1">
      <c r="A96" s="21" t="s">
        <v>75</v>
      </c>
      <c r="B96" s="13">
        <f>IFERROR(__xludf.DUMMYFUNCTION("GOOGLEFINANCE(A96,""PRICE"")"),471.5)</f>
        <v>471.5</v>
      </c>
      <c r="C96" s="14">
        <f>IFERROR(__xludf.DUMMYFUNCTION("GOOGLEFINANCE(A96,""PRICEOPEN"")"),464.85)</f>
        <v>464.85</v>
      </c>
      <c r="D96" s="14">
        <f>IFERROR(__xludf.DUMMYFUNCTION("GOOGLEFINANCE(A96,""HIGH"")"),479.9)</f>
        <v>479.9</v>
      </c>
      <c r="E96" s="14">
        <f>IFERROR(__xludf.DUMMYFUNCTION("GOOGLEFINANCE(A96,""LOW"")"),464.5)</f>
        <v>464.5</v>
      </c>
      <c r="F96" s="15" t="str">
        <f t="shared" si="8"/>
        <v/>
      </c>
      <c r="G96" s="16">
        <f>IFERROR(__xludf.DUMMYFUNCTION("GOOGLEFINANCE(A96,""CLOSEYEST"")"),464.85)</f>
        <v>464.85</v>
      </c>
      <c r="H96" s="17" t="str">
        <f t="shared" si="14"/>
        <v/>
      </c>
      <c r="I96" s="18">
        <f t="shared" si="9"/>
        <v>469.75</v>
      </c>
      <c r="J96" s="19">
        <f t="shared" si="10"/>
        <v>475</v>
      </c>
      <c r="K96" s="19"/>
      <c r="L96" s="19">
        <f t="shared" si="11"/>
        <v>459.6</v>
      </c>
      <c r="M96" s="19">
        <f t="shared" si="12"/>
        <v>485.15</v>
      </c>
      <c r="N96" s="19">
        <f t="shared" si="13"/>
        <v>454.35</v>
      </c>
    </row>
    <row r="97" ht="24.75" customHeight="1">
      <c r="A97" s="21" t="s">
        <v>31</v>
      </c>
      <c r="B97" s="13">
        <f>IFERROR(__xludf.DUMMYFUNCTION("GOOGLEFINANCE(A97,""PRICE"")"),2799.3)</f>
        <v>2799.3</v>
      </c>
      <c r="C97" s="14">
        <f>IFERROR(__xludf.DUMMYFUNCTION("GOOGLEFINANCE(A97,""PRICEOPEN"")"),2800.0)</f>
        <v>2800</v>
      </c>
      <c r="D97" s="14">
        <f>IFERROR(__xludf.DUMMYFUNCTION("GOOGLEFINANCE(A97,""HIGH"")"),2806.8)</f>
        <v>2806.8</v>
      </c>
      <c r="E97" s="14">
        <f>IFERROR(__xludf.DUMMYFUNCTION("GOOGLEFINANCE(A97,""LOW"")"),2766.0)</f>
        <v>2766</v>
      </c>
      <c r="F97" s="15" t="str">
        <f t="shared" si="8"/>
        <v/>
      </c>
      <c r="G97" s="16">
        <f>IFERROR(__xludf.DUMMYFUNCTION("GOOGLEFINANCE(A97,""CLOSEYEST"")"),2789.7)</f>
        <v>2789.7</v>
      </c>
      <c r="H97" s="17" t="str">
        <f t="shared" si="14"/>
        <v/>
      </c>
      <c r="I97" s="18">
        <f t="shared" si="9"/>
        <v>2787.5</v>
      </c>
      <c r="J97" s="19">
        <f t="shared" si="10"/>
        <v>2809</v>
      </c>
      <c r="K97" s="19"/>
      <c r="L97" s="19">
        <f t="shared" si="11"/>
        <v>2768.2</v>
      </c>
      <c r="M97" s="19">
        <f t="shared" si="12"/>
        <v>2828.3</v>
      </c>
      <c r="N97" s="19">
        <f t="shared" si="13"/>
        <v>2746.7</v>
      </c>
    </row>
    <row r="98" ht="24.75" customHeight="1">
      <c r="A98" s="21" t="s">
        <v>28</v>
      </c>
      <c r="B98" s="13">
        <f>IFERROR(__xludf.DUMMYFUNCTION("GOOGLEFINANCE(A98,""PRICE"")"),5851.5)</f>
        <v>5851.5</v>
      </c>
      <c r="C98" s="14">
        <f>IFERROR(__xludf.DUMMYFUNCTION("GOOGLEFINANCE(A98,""PRICEOPEN"")"),5759.5)</f>
        <v>5759.5</v>
      </c>
      <c r="D98" s="14">
        <f>IFERROR(__xludf.DUMMYFUNCTION("GOOGLEFINANCE(A98,""HIGH"")"),5932.0)</f>
        <v>5932</v>
      </c>
      <c r="E98" s="14">
        <f>IFERROR(__xludf.DUMMYFUNCTION("GOOGLEFINANCE(A98,""LOW"")"),5746.0)</f>
        <v>5746</v>
      </c>
      <c r="F98" s="15" t="str">
        <f t="shared" si="8"/>
        <v/>
      </c>
      <c r="G98" s="16">
        <f>IFERROR(__xludf.DUMMYFUNCTION("GOOGLEFINANCE(A98,""CLOSEYEST"")"),5710.0)</f>
        <v>5710</v>
      </c>
      <c r="H98" s="17" t="str">
        <f t="shared" si="14"/>
        <v/>
      </c>
      <c r="I98" s="18">
        <f t="shared" si="9"/>
        <v>5796</v>
      </c>
      <c r="J98" s="19">
        <f t="shared" si="10"/>
        <v>5846</v>
      </c>
      <c r="K98" s="19"/>
      <c r="L98" s="19">
        <f t="shared" si="11"/>
        <v>5660</v>
      </c>
      <c r="M98" s="19">
        <f t="shared" si="12"/>
        <v>5982</v>
      </c>
      <c r="N98" s="19">
        <f t="shared" si="13"/>
        <v>5610</v>
      </c>
    </row>
    <row r="99" ht="24.75" customHeight="1">
      <c r="A99" s="21" t="s">
        <v>76</v>
      </c>
      <c r="B99" s="13">
        <f>IFERROR(__xludf.DUMMYFUNCTION("GOOGLEFINANCE(A99,""PRICE"")"),48.6)</f>
        <v>48.6</v>
      </c>
      <c r="C99" s="14">
        <f>IFERROR(__xludf.DUMMYFUNCTION("GOOGLEFINANCE(A99,""PRICEOPEN"")"),48.2)</f>
        <v>48.2</v>
      </c>
      <c r="D99" s="14">
        <f>IFERROR(__xludf.DUMMYFUNCTION("GOOGLEFINANCE(A99,""HIGH"")"),48.6)</f>
        <v>48.6</v>
      </c>
      <c r="E99" s="14">
        <f>IFERROR(__xludf.DUMMYFUNCTION("GOOGLEFINANCE(A99,""LOW"")"),48.2)</f>
        <v>48.2</v>
      </c>
      <c r="F99" s="15" t="str">
        <f t="shared" si="8"/>
        <v>BUY</v>
      </c>
      <c r="G99" s="16">
        <f>IFERROR(__xludf.DUMMYFUNCTION("GOOGLEFINANCE(A99,""CLOSEYEST"")"),48.5)</f>
        <v>48.5</v>
      </c>
      <c r="H99" s="17" t="str">
        <f t="shared" si="14"/>
        <v/>
      </c>
      <c r="I99" s="18">
        <f t="shared" si="9"/>
        <v>48.43333333</v>
      </c>
      <c r="J99" s="19">
        <f t="shared" si="10"/>
        <v>48.66666667</v>
      </c>
      <c r="K99" s="19"/>
      <c r="L99" s="19">
        <f t="shared" si="11"/>
        <v>48.26666667</v>
      </c>
      <c r="M99" s="19">
        <f t="shared" si="12"/>
        <v>48.83333333</v>
      </c>
      <c r="N99" s="19">
        <f t="shared" si="13"/>
        <v>48.03333333</v>
      </c>
    </row>
    <row r="100" ht="24.75" customHeight="1">
      <c r="A100" s="21" t="s">
        <v>36</v>
      </c>
      <c r="B100" s="13">
        <f>IFERROR(__xludf.DUMMYFUNCTION("GOOGLEFINANCE(A100,""PRICE"")"),780.0)</f>
        <v>780</v>
      </c>
      <c r="C100" s="14">
        <f>IFERROR(__xludf.DUMMYFUNCTION("GOOGLEFINANCE(A100,""PRICEOPEN"")"),766.0)</f>
        <v>766</v>
      </c>
      <c r="D100" s="14">
        <f>IFERROR(__xludf.DUMMYFUNCTION("GOOGLEFINANCE(A100,""HIGH"")"),790.6)</f>
        <v>790.6</v>
      </c>
      <c r="E100" s="14">
        <f>IFERROR(__xludf.DUMMYFUNCTION("GOOGLEFINANCE(A100,""LOW"")"),764.1)</f>
        <v>764.1</v>
      </c>
      <c r="F100" s="15" t="str">
        <f t="shared" si="8"/>
        <v/>
      </c>
      <c r="G100" s="16">
        <f>IFERROR(__xludf.DUMMYFUNCTION("GOOGLEFINANCE(A100,""CLOSEYEST"")"),765.95)</f>
        <v>765.95</v>
      </c>
      <c r="H100" s="17" t="str">
        <f t="shared" si="14"/>
        <v/>
      </c>
      <c r="I100" s="18">
        <f t="shared" si="9"/>
        <v>773.55</v>
      </c>
      <c r="J100" s="19">
        <f t="shared" si="10"/>
        <v>783</v>
      </c>
      <c r="K100" s="19"/>
      <c r="L100" s="19">
        <f t="shared" si="11"/>
        <v>756.5</v>
      </c>
      <c r="M100" s="19">
        <f t="shared" si="12"/>
        <v>800.05</v>
      </c>
      <c r="N100" s="19">
        <f t="shared" si="13"/>
        <v>747.05</v>
      </c>
    </row>
    <row r="101" ht="24.75" customHeight="1">
      <c r="A101" s="21" t="s">
        <v>47</v>
      </c>
      <c r="B101" s="13">
        <f>IFERROR(__xludf.DUMMYFUNCTION("GOOGLEFINANCE(A101,""PRICE"")"),3460.0)</f>
        <v>3460</v>
      </c>
      <c r="C101" s="14">
        <f>IFERROR(__xludf.DUMMYFUNCTION("GOOGLEFINANCE(A101,""PRICEOPEN"")"),3462.1)</f>
        <v>3462.1</v>
      </c>
      <c r="D101" s="14">
        <f>IFERROR(__xludf.DUMMYFUNCTION("GOOGLEFINANCE(A101,""HIGH"")"),3492.4)</f>
        <v>3492.4</v>
      </c>
      <c r="E101" s="14">
        <f>IFERROR(__xludf.DUMMYFUNCTION("GOOGLEFINANCE(A101,""LOW"")"),3404.2)</f>
        <v>3404.2</v>
      </c>
      <c r="F101" s="15" t="str">
        <f t="shared" si="8"/>
        <v/>
      </c>
      <c r="G101" s="16">
        <f>IFERROR(__xludf.DUMMYFUNCTION("GOOGLEFINANCE(A101,""CLOSEYEST"")"),3463.4)</f>
        <v>3463.4</v>
      </c>
      <c r="H101" s="17" t="str">
        <f t="shared" si="14"/>
        <v/>
      </c>
      <c r="I101" s="18">
        <f t="shared" si="9"/>
        <v>3453.333333</v>
      </c>
      <c r="J101" s="19">
        <f t="shared" si="10"/>
        <v>3502.466667</v>
      </c>
      <c r="K101" s="19"/>
      <c r="L101" s="19">
        <f t="shared" si="11"/>
        <v>3414.266667</v>
      </c>
      <c r="M101" s="19">
        <f t="shared" si="12"/>
        <v>3541.533333</v>
      </c>
      <c r="N101" s="19">
        <f t="shared" si="13"/>
        <v>3365.133333</v>
      </c>
    </row>
    <row r="102" ht="24.75" customHeight="1">
      <c r="A102" s="21" t="s">
        <v>77</v>
      </c>
      <c r="B102" s="13" t="str">
        <f>IFERROR(__xludf.DUMMYFUNCTION("GOOGLEFINANCE(A102,""PRICE"")"),"#N/A")</f>
        <v>#N/A</v>
      </c>
      <c r="C102" s="14" t="str">
        <f>IFERROR(__xludf.DUMMYFUNCTION("GOOGLEFINANCE(A102,""PRICEOPEN"")"),"#N/A")</f>
        <v>#N/A</v>
      </c>
      <c r="D102" s="14" t="str">
        <f>IFERROR(__xludf.DUMMYFUNCTION("GOOGLEFINANCE(A102,""HIGH"")"),"#N/A")</f>
        <v>#N/A</v>
      </c>
      <c r="E102" s="14" t="str">
        <f>IFERROR(__xludf.DUMMYFUNCTION("GOOGLEFINANCE(A102,""LOW"")"),"#N/A")</f>
        <v>#N/A</v>
      </c>
      <c r="F102" s="15" t="str">
        <f t="shared" si="8"/>
        <v>#N/A</v>
      </c>
      <c r="G102" s="16" t="str">
        <f>IFERROR(__xludf.DUMMYFUNCTION("GOOGLEFINANCE(A102,""CLOSEYEST"")"),"#N/A")</f>
        <v>#N/A</v>
      </c>
      <c r="H102" s="17" t="str">
        <f t="shared" si="14"/>
        <v>#N/A</v>
      </c>
      <c r="I102" s="18" t="str">
        <f t="shared" si="9"/>
        <v>#N/A</v>
      </c>
      <c r="J102" s="19" t="str">
        <f t="shared" si="10"/>
        <v>#N/A</v>
      </c>
      <c r="K102" s="19"/>
      <c r="L102" s="19" t="str">
        <f t="shared" si="11"/>
        <v>#N/A</v>
      </c>
      <c r="M102" s="19" t="str">
        <f t="shared" si="12"/>
        <v>#N/A</v>
      </c>
      <c r="N102" s="19" t="str">
        <f t="shared" si="13"/>
        <v>#N/A</v>
      </c>
    </row>
    <row r="103" ht="24.75" customHeight="1">
      <c r="A103" s="21" t="s">
        <v>78</v>
      </c>
      <c r="B103" s="13">
        <f>IFERROR(__xludf.DUMMYFUNCTION("GOOGLEFINANCE(A103,""PRICE"")"),496.0)</f>
        <v>496</v>
      </c>
      <c r="C103" s="14">
        <f>IFERROR(__xludf.DUMMYFUNCTION("GOOGLEFINANCE(A103,""PRICEOPEN"")"),495.05)</f>
        <v>495.05</v>
      </c>
      <c r="D103" s="14">
        <f>IFERROR(__xludf.DUMMYFUNCTION("GOOGLEFINANCE(A103,""HIGH"")"),497.8)</f>
        <v>497.8</v>
      </c>
      <c r="E103" s="14">
        <f>IFERROR(__xludf.DUMMYFUNCTION("GOOGLEFINANCE(A103,""LOW"")"),490.75)</f>
        <v>490.75</v>
      </c>
      <c r="F103" s="15" t="str">
        <f t="shared" si="8"/>
        <v/>
      </c>
      <c r="G103" s="16">
        <f>IFERROR(__xludf.DUMMYFUNCTION("GOOGLEFINANCE(A103,""CLOSEYEST"")"),495.05)</f>
        <v>495.05</v>
      </c>
      <c r="H103" s="17" t="str">
        <f t="shared" si="14"/>
        <v/>
      </c>
      <c r="I103" s="18">
        <f t="shared" si="9"/>
        <v>494.5333333</v>
      </c>
      <c r="J103" s="19">
        <f t="shared" si="10"/>
        <v>498.3166667</v>
      </c>
      <c r="K103" s="19"/>
      <c r="L103" s="19">
        <f t="shared" si="11"/>
        <v>491.2666667</v>
      </c>
      <c r="M103" s="19">
        <f t="shared" si="12"/>
        <v>501.5833333</v>
      </c>
      <c r="N103" s="19">
        <f t="shared" si="13"/>
        <v>487.4833333</v>
      </c>
    </row>
    <row r="104" ht="24.75" customHeight="1">
      <c r="A104" s="21" t="s">
        <v>79</v>
      </c>
      <c r="B104" s="13">
        <f>IFERROR(__xludf.DUMMYFUNCTION("GOOGLEFINANCE(A104,""PRICE"")"),727.5)</f>
        <v>727.5</v>
      </c>
      <c r="C104" s="14">
        <f>IFERROR(__xludf.DUMMYFUNCTION("GOOGLEFINANCE(A104,""PRICEOPEN"")"),724.4)</f>
        <v>724.4</v>
      </c>
      <c r="D104" s="14">
        <f>IFERROR(__xludf.DUMMYFUNCTION("GOOGLEFINANCE(A104,""HIGH"")"),730.5)</f>
        <v>730.5</v>
      </c>
      <c r="E104" s="14">
        <f>IFERROR(__xludf.DUMMYFUNCTION("GOOGLEFINANCE(A104,""LOW"")"),719.2)</f>
        <v>719.2</v>
      </c>
      <c r="F104" s="15" t="str">
        <f t="shared" si="8"/>
        <v/>
      </c>
      <c r="G104" s="16">
        <f>IFERROR(__xludf.DUMMYFUNCTION("GOOGLEFINANCE(A104,""CLOSEYEST"")"),722.3)</f>
        <v>722.3</v>
      </c>
      <c r="H104" s="17" t="str">
        <f t="shared" si="14"/>
        <v/>
      </c>
      <c r="I104" s="18">
        <f t="shared" si="9"/>
        <v>724</v>
      </c>
      <c r="J104" s="19">
        <f t="shared" si="10"/>
        <v>728.8</v>
      </c>
      <c r="K104" s="19"/>
      <c r="L104" s="19">
        <f t="shared" si="11"/>
        <v>717.5</v>
      </c>
      <c r="M104" s="19">
        <f t="shared" si="12"/>
        <v>735.3</v>
      </c>
      <c r="N104" s="19">
        <f t="shared" si="13"/>
        <v>712.7</v>
      </c>
    </row>
    <row r="105" ht="24.75" customHeight="1">
      <c r="A105" s="21" t="s">
        <v>20</v>
      </c>
      <c r="B105" s="13">
        <f>IFERROR(__xludf.DUMMYFUNCTION("GOOGLEFINANCE(A105,""PRICE"")"),8685.0)</f>
        <v>8685</v>
      </c>
      <c r="C105" s="14">
        <f>IFERROR(__xludf.DUMMYFUNCTION("GOOGLEFINANCE(A105,""PRICEOPEN"")"),8626.5)</f>
        <v>8626.5</v>
      </c>
      <c r="D105" s="14">
        <f>IFERROR(__xludf.DUMMYFUNCTION("GOOGLEFINANCE(A105,""HIGH"")"),8698.5)</f>
        <v>8698.5</v>
      </c>
      <c r="E105" s="14">
        <f>IFERROR(__xludf.DUMMYFUNCTION("GOOGLEFINANCE(A105,""LOW"")"),8491.5)</f>
        <v>8491.5</v>
      </c>
      <c r="F105" s="15" t="str">
        <f t="shared" si="8"/>
        <v/>
      </c>
      <c r="G105" s="16">
        <f>IFERROR(__xludf.DUMMYFUNCTION("GOOGLEFINANCE(A105,""CLOSEYEST"")"),8626.5)</f>
        <v>8626.5</v>
      </c>
      <c r="H105" s="17" t="str">
        <f t="shared" si="14"/>
        <v/>
      </c>
      <c r="I105" s="18">
        <f t="shared" si="9"/>
        <v>8605.5</v>
      </c>
      <c r="J105" s="19">
        <f t="shared" si="10"/>
        <v>8719.5</v>
      </c>
      <c r="K105" s="19"/>
      <c r="L105" s="19">
        <f t="shared" si="11"/>
        <v>8512.5</v>
      </c>
      <c r="M105" s="19">
        <f t="shared" si="12"/>
        <v>8812.5</v>
      </c>
      <c r="N105" s="19">
        <f t="shared" si="13"/>
        <v>8398.5</v>
      </c>
    </row>
    <row r="106" ht="24.75" customHeight="1">
      <c r="A106" s="21" t="s">
        <v>27</v>
      </c>
      <c r="B106" s="13">
        <f>IFERROR(__xludf.DUMMYFUNCTION("GOOGLEFINANCE(A106,""PRICE"")"),383.9)</f>
        <v>383.9</v>
      </c>
      <c r="C106" s="14">
        <f>IFERROR(__xludf.DUMMYFUNCTION("GOOGLEFINANCE(A106,""PRICEOPEN"")"),388.5)</f>
        <v>388.5</v>
      </c>
      <c r="D106" s="14">
        <f>IFERROR(__xludf.DUMMYFUNCTION("GOOGLEFINANCE(A106,""HIGH"")"),389.1)</f>
        <v>389.1</v>
      </c>
      <c r="E106" s="14">
        <f>IFERROR(__xludf.DUMMYFUNCTION("GOOGLEFINANCE(A106,""LOW"")"),381.5)</f>
        <v>381.5</v>
      </c>
      <c r="F106" s="15" t="str">
        <f t="shared" si="8"/>
        <v/>
      </c>
      <c r="G106" s="16">
        <f>IFERROR(__xludf.DUMMYFUNCTION("GOOGLEFINANCE(A106,""CLOSEYEST"")"),388.5)</f>
        <v>388.5</v>
      </c>
      <c r="H106" s="17" t="str">
        <f t="shared" si="14"/>
        <v/>
      </c>
      <c r="I106" s="18">
        <f t="shared" si="9"/>
        <v>386.3666667</v>
      </c>
      <c r="J106" s="19">
        <f t="shared" si="10"/>
        <v>391.2333333</v>
      </c>
      <c r="K106" s="19"/>
      <c r="L106" s="19">
        <f t="shared" si="11"/>
        <v>383.6333333</v>
      </c>
      <c r="M106" s="19">
        <f t="shared" si="12"/>
        <v>393.9666667</v>
      </c>
      <c r="N106" s="19">
        <f t="shared" si="13"/>
        <v>378.7666667</v>
      </c>
    </row>
    <row r="107" ht="24.75" customHeight="1">
      <c r="A107" s="21" t="s">
        <v>80</v>
      </c>
      <c r="B107" s="13">
        <f>IFERROR(__xludf.DUMMYFUNCTION("GOOGLEFINANCE(A107,""PRICE"")"),29165.0)</f>
        <v>29165</v>
      </c>
      <c r="C107" s="14">
        <f>IFERROR(__xludf.DUMMYFUNCTION("GOOGLEFINANCE(A107,""PRICEOPEN"")"),29300.0)</f>
        <v>29300</v>
      </c>
      <c r="D107" s="14">
        <f>IFERROR(__xludf.DUMMYFUNCTION("GOOGLEFINANCE(A107,""HIGH"")"),29375.0)</f>
        <v>29375</v>
      </c>
      <c r="E107" s="14">
        <f>IFERROR(__xludf.DUMMYFUNCTION("GOOGLEFINANCE(A107,""LOW"")"),28990.0)</f>
        <v>28990</v>
      </c>
      <c r="F107" s="15" t="str">
        <f t="shared" si="8"/>
        <v/>
      </c>
      <c r="G107" s="16">
        <f>IFERROR(__xludf.DUMMYFUNCTION("GOOGLEFINANCE(A107,""CLOSEYEST"")"),29295.0)</f>
        <v>29295</v>
      </c>
      <c r="H107" s="17" t="str">
        <f t="shared" si="14"/>
        <v/>
      </c>
      <c r="I107" s="18">
        <f t="shared" si="9"/>
        <v>29220</v>
      </c>
      <c r="J107" s="19">
        <f t="shared" si="10"/>
        <v>29450</v>
      </c>
      <c r="K107" s="19"/>
      <c r="L107" s="19">
        <f t="shared" si="11"/>
        <v>29065</v>
      </c>
      <c r="M107" s="19">
        <f t="shared" si="12"/>
        <v>29605</v>
      </c>
      <c r="N107" s="19">
        <f t="shared" si="13"/>
        <v>28835</v>
      </c>
    </row>
    <row r="108" ht="24.75" customHeight="1">
      <c r="A108" s="21" t="s">
        <v>81</v>
      </c>
      <c r="B108" s="13">
        <f>IFERROR(__xludf.DUMMYFUNCTION("GOOGLEFINANCE(A108,""PRICE"")"),1148.0)</f>
        <v>1148</v>
      </c>
      <c r="C108" s="14">
        <f>IFERROR(__xludf.DUMMYFUNCTION("GOOGLEFINANCE(A108,""PRICEOPEN"")"),1148.6)</f>
        <v>1148.6</v>
      </c>
      <c r="D108" s="14">
        <f>IFERROR(__xludf.DUMMYFUNCTION("GOOGLEFINANCE(A108,""HIGH"")"),1152.4)</f>
        <v>1152.4</v>
      </c>
      <c r="E108" s="14">
        <f>IFERROR(__xludf.DUMMYFUNCTION("GOOGLEFINANCE(A108,""LOW"")"),1135.0)</f>
        <v>1135</v>
      </c>
      <c r="F108" s="15" t="str">
        <f t="shared" si="8"/>
        <v/>
      </c>
      <c r="G108" s="16">
        <f>IFERROR(__xludf.DUMMYFUNCTION("GOOGLEFINANCE(A108,""CLOSEYEST"")"),1148.6)</f>
        <v>1148.6</v>
      </c>
      <c r="H108" s="17" t="str">
        <f t="shared" si="14"/>
        <v/>
      </c>
      <c r="I108" s="18">
        <f t="shared" si="9"/>
        <v>1145.333333</v>
      </c>
      <c r="J108" s="19">
        <f t="shared" si="10"/>
        <v>1155.666667</v>
      </c>
      <c r="K108" s="19"/>
      <c r="L108" s="19">
        <f t="shared" si="11"/>
        <v>1138.266667</v>
      </c>
      <c r="M108" s="19">
        <f t="shared" si="12"/>
        <v>1162.733333</v>
      </c>
      <c r="N108" s="19">
        <f t="shared" si="13"/>
        <v>1127.933333</v>
      </c>
    </row>
    <row r="109" ht="24.75" customHeight="1">
      <c r="A109" s="21" t="s">
        <v>25</v>
      </c>
      <c r="B109" s="13">
        <f>IFERROR(__xludf.DUMMYFUNCTION("GOOGLEFINANCE(A109,""PRICE"")"),5985.0)</f>
        <v>5985</v>
      </c>
      <c r="C109" s="14">
        <f>IFERROR(__xludf.DUMMYFUNCTION("GOOGLEFINANCE(A109,""PRICEOPEN"")"),5965.0)</f>
        <v>5965</v>
      </c>
      <c r="D109" s="14">
        <f>IFERROR(__xludf.DUMMYFUNCTION("GOOGLEFINANCE(A109,""HIGH"")"),6014.0)</f>
        <v>6014</v>
      </c>
      <c r="E109" s="14">
        <f>IFERROR(__xludf.DUMMYFUNCTION("GOOGLEFINANCE(A109,""LOW"")"),5931.5)</f>
        <v>5931.5</v>
      </c>
      <c r="F109" s="15" t="str">
        <f t="shared" si="8"/>
        <v/>
      </c>
      <c r="G109" s="16">
        <f>IFERROR(__xludf.DUMMYFUNCTION("GOOGLEFINANCE(A109,""CLOSEYEST"")"),5966.5)</f>
        <v>5966.5</v>
      </c>
      <c r="H109" s="17" t="str">
        <f t="shared" si="14"/>
        <v/>
      </c>
      <c r="I109" s="18">
        <f t="shared" si="9"/>
        <v>5970.666667</v>
      </c>
      <c r="J109" s="19">
        <f t="shared" si="10"/>
        <v>6009.833333</v>
      </c>
      <c r="K109" s="19"/>
      <c r="L109" s="19">
        <f t="shared" si="11"/>
        <v>5927.333333</v>
      </c>
      <c r="M109" s="19">
        <f t="shared" si="12"/>
        <v>6053.166667</v>
      </c>
      <c r="N109" s="19">
        <f t="shared" si="13"/>
        <v>5888.166667</v>
      </c>
    </row>
    <row r="110" ht="24.75" customHeight="1">
      <c r="A110" s="21" t="s">
        <v>23</v>
      </c>
      <c r="B110" s="13">
        <f>IFERROR(__xludf.DUMMYFUNCTION("GOOGLEFINANCE(A110,""PRICE"")"),342.0)</f>
        <v>342</v>
      </c>
      <c r="C110" s="14">
        <f>IFERROR(__xludf.DUMMYFUNCTION("GOOGLEFINANCE(A110,""PRICEOPEN"")"),344.0)</f>
        <v>344</v>
      </c>
      <c r="D110" s="14">
        <f>IFERROR(__xludf.DUMMYFUNCTION("GOOGLEFINANCE(A110,""HIGH"")"),344.9)</f>
        <v>344.9</v>
      </c>
      <c r="E110" s="14">
        <f>IFERROR(__xludf.DUMMYFUNCTION("GOOGLEFINANCE(A110,""LOW"")"),337.6)</f>
        <v>337.6</v>
      </c>
      <c r="F110" s="15" t="str">
        <f t="shared" si="8"/>
        <v/>
      </c>
      <c r="G110" s="16">
        <f>IFERROR(__xludf.DUMMYFUNCTION("GOOGLEFINANCE(A110,""CLOSEYEST"")"),339.7)</f>
        <v>339.7</v>
      </c>
      <c r="H110" s="17" t="str">
        <f t="shared" si="14"/>
        <v>GAP UP</v>
      </c>
      <c r="I110" s="18">
        <f t="shared" si="9"/>
        <v>340.7333333</v>
      </c>
      <c r="J110" s="19">
        <f t="shared" si="10"/>
        <v>343.8666667</v>
      </c>
      <c r="K110" s="19"/>
      <c r="L110" s="19">
        <f t="shared" si="11"/>
        <v>336.5666667</v>
      </c>
      <c r="M110" s="19">
        <f t="shared" si="12"/>
        <v>348.0333333</v>
      </c>
      <c r="N110" s="19">
        <f t="shared" si="13"/>
        <v>333.4333333</v>
      </c>
    </row>
    <row r="111" ht="24.75" customHeight="1">
      <c r="A111" s="21" t="s">
        <v>82</v>
      </c>
      <c r="B111" s="13">
        <f>IFERROR(__xludf.DUMMYFUNCTION("GOOGLEFINANCE(A111,""PRICE"")"),899.0)</f>
        <v>899</v>
      </c>
      <c r="C111" s="14">
        <f>IFERROR(__xludf.DUMMYFUNCTION("GOOGLEFINANCE(A111,""PRICEOPEN"")"),875.7)</f>
        <v>875.7</v>
      </c>
      <c r="D111" s="14">
        <f>IFERROR(__xludf.DUMMYFUNCTION("GOOGLEFINANCE(A111,""HIGH"")"),899.0)</f>
        <v>899</v>
      </c>
      <c r="E111" s="14">
        <f>IFERROR(__xludf.DUMMYFUNCTION("GOOGLEFINANCE(A111,""LOW"")"),866.7)</f>
        <v>866.7</v>
      </c>
      <c r="F111" s="15" t="str">
        <f t="shared" si="8"/>
        <v/>
      </c>
      <c r="G111" s="16">
        <f>IFERROR(__xludf.DUMMYFUNCTION("GOOGLEFINANCE(A111,""CLOSEYEST"")"),875.7)</f>
        <v>875.7</v>
      </c>
      <c r="H111" s="17" t="str">
        <f t="shared" si="14"/>
        <v/>
      </c>
      <c r="I111" s="18">
        <f t="shared" si="9"/>
        <v>880.4666667</v>
      </c>
      <c r="J111" s="19">
        <f t="shared" si="10"/>
        <v>894.2333333</v>
      </c>
      <c r="K111" s="19"/>
      <c r="L111" s="19">
        <f t="shared" si="11"/>
        <v>861.9333333</v>
      </c>
      <c r="M111" s="19">
        <f t="shared" si="12"/>
        <v>912.7666667</v>
      </c>
      <c r="N111" s="19">
        <f t="shared" si="13"/>
        <v>848.1666667</v>
      </c>
    </row>
    <row r="112" ht="24.75" customHeight="1">
      <c r="A112" s="21" t="s">
        <v>83</v>
      </c>
      <c r="B112" s="13">
        <f>IFERROR(__xludf.DUMMYFUNCTION("GOOGLEFINANCE(A112,""PRICE"")"),1490.0)</f>
        <v>1490</v>
      </c>
      <c r="C112" s="14">
        <f>IFERROR(__xludf.DUMMYFUNCTION("GOOGLEFINANCE(A112,""PRICEOPEN"")"),1480.0)</f>
        <v>1480</v>
      </c>
      <c r="D112" s="14">
        <f>IFERROR(__xludf.DUMMYFUNCTION("GOOGLEFINANCE(A112,""HIGH"")"),1491.4)</f>
        <v>1491.4</v>
      </c>
      <c r="E112" s="14">
        <f>IFERROR(__xludf.DUMMYFUNCTION("GOOGLEFINANCE(A112,""LOW"")"),1472.0)</f>
        <v>1472</v>
      </c>
      <c r="F112" s="15" t="str">
        <f t="shared" si="8"/>
        <v/>
      </c>
      <c r="G112" s="16">
        <f>IFERROR(__xludf.DUMMYFUNCTION("GOOGLEFINANCE(A112,""CLOSEYEST"")"),1485.2)</f>
        <v>1485.2</v>
      </c>
      <c r="H112" s="17" t="str">
        <f t="shared" si="14"/>
        <v/>
      </c>
      <c r="I112" s="18">
        <f t="shared" si="9"/>
        <v>1482.866667</v>
      </c>
      <c r="J112" s="19">
        <f t="shared" si="10"/>
        <v>1493.733333</v>
      </c>
      <c r="K112" s="19"/>
      <c r="L112" s="19">
        <f t="shared" si="11"/>
        <v>1474.333333</v>
      </c>
      <c r="M112" s="19">
        <f t="shared" si="12"/>
        <v>1502.266667</v>
      </c>
      <c r="N112" s="19">
        <f t="shared" si="13"/>
        <v>1463.466667</v>
      </c>
    </row>
    <row r="113" ht="24.75" customHeight="1">
      <c r="A113" s="21" t="s">
        <v>84</v>
      </c>
      <c r="B113" s="13">
        <f>IFERROR(__xludf.DUMMYFUNCTION("GOOGLEFINANCE(A113,""PRICE"")"),602.0)</f>
        <v>602</v>
      </c>
      <c r="C113" s="14">
        <f>IFERROR(__xludf.DUMMYFUNCTION("GOOGLEFINANCE(A113,""PRICEOPEN"")"),596.5)</f>
        <v>596.5</v>
      </c>
      <c r="D113" s="14">
        <f>IFERROR(__xludf.DUMMYFUNCTION("GOOGLEFINANCE(A113,""HIGH"")"),602.4)</f>
        <v>602.4</v>
      </c>
      <c r="E113" s="14">
        <f>IFERROR(__xludf.DUMMYFUNCTION("GOOGLEFINANCE(A113,""LOW"")"),594.95)</f>
        <v>594.95</v>
      </c>
      <c r="F113" s="15" t="str">
        <f t="shared" si="8"/>
        <v/>
      </c>
      <c r="G113" s="16">
        <f>IFERROR(__xludf.DUMMYFUNCTION("GOOGLEFINANCE(A113,""CLOSEYEST"")"),596.6)</f>
        <v>596.6</v>
      </c>
      <c r="H113" s="17" t="str">
        <f t="shared" si="14"/>
        <v/>
      </c>
      <c r="I113" s="18">
        <f t="shared" si="9"/>
        <v>597.9833333</v>
      </c>
      <c r="J113" s="19">
        <f t="shared" si="10"/>
        <v>601.0166667</v>
      </c>
      <c r="K113" s="19"/>
      <c r="L113" s="19">
        <f t="shared" si="11"/>
        <v>593.5666667</v>
      </c>
      <c r="M113" s="19">
        <f t="shared" si="12"/>
        <v>605.4333333</v>
      </c>
      <c r="N113" s="19">
        <f t="shared" si="13"/>
        <v>590.5333333</v>
      </c>
    </row>
    <row r="114" ht="24.75" customHeight="1">
      <c r="A114" s="21" t="s">
        <v>85</v>
      </c>
      <c r="B114" s="13">
        <f>IFERROR(__xludf.DUMMYFUNCTION("GOOGLEFINANCE(A114,""PRICE"")"),3168.0)</f>
        <v>3168</v>
      </c>
      <c r="C114" s="14">
        <f>IFERROR(__xludf.DUMMYFUNCTION("GOOGLEFINANCE(A114,""PRICEOPEN"")"),3121.5)</f>
        <v>3121.5</v>
      </c>
      <c r="D114" s="14">
        <f>IFERROR(__xludf.DUMMYFUNCTION("GOOGLEFINANCE(A114,""HIGH"")"),3174.8)</f>
        <v>3174.8</v>
      </c>
      <c r="E114" s="14">
        <f>IFERROR(__xludf.DUMMYFUNCTION("GOOGLEFINANCE(A114,""LOW"")"),3107.3)</f>
        <v>3107.3</v>
      </c>
      <c r="F114" s="15" t="str">
        <f t="shared" si="8"/>
        <v/>
      </c>
      <c r="G114" s="16">
        <f>IFERROR(__xludf.DUMMYFUNCTION("GOOGLEFINANCE(A114,""CLOSEYEST"")"),3121.5)</f>
        <v>3121.5</v>
      </c>
      <c r="H114" s="17" t="str">
        <f t="shared" si="14"/>
        <v/>
      </c>
      <c r="I114" s="18">
        <f t="shared" si="9"/>
        <v>3134.533333</v>
      </c>
      <c r="J114" s="19">
        <f t="shared" si="10"/>
        <v>3161.766667</v>
      </c>
      <c r="K114" s="19"/>
      <c r="L114" s="19">
        <f t="shared" si="11"/>
        <v>3094.266667</v>
      </c>
      <c r="M114" s="19">
        <f t="shared" si="12"/>
        <v>3202.033333</v>
      </c>
      <c r="N114" s="19">
        <f t="shared" si="13"/>
        <v>3067.033333</v>
      </c>
    </row>
    <row r="115" ht="24.75" customHeight="1">
      <c r="A115" s="21" t="s">
        <v>86</v>
      </c>
      <c r="B115" s="13">
        <f>IFERROR(__xludf.DUMMYFUNCTION("GOOGLEFINANCE(A115,""PRICE"")"),5652.0)</f>
        <v>5652</v>
      </c>
      <c r="C115" s="14">
        <f>IFERROR(__xludf.DUMMYFUNCTION("GOOGLEFINANCE(A115,""PRICEOPEN"")"),5602.0)</f>
        <v>5602</v>
      </c>
      <c r="D115" s="14">
        <f>IFERROR(__xludf.DUMMYFUNCTION("GOOGLEFINANCE(A115,""HIGH"")"),5690.0)</f>
        <v>5690</v>
      </c>
      <c r="E115" s="14">
        <f>IFERROR(__xludf.DUMMYFUNCTION("GOOGLEFINANCE(A115,""LOW"")"),5602.0)</f>
        <v>5602</v>
      </c>
      <c r="F115" s="15" t="str">
        <f t="shared" si="8"/>
        <v>BUY</v>
      </c>
      <c r="G115" s="16">
        <f>IFERROR(__xludf.DUMMYFUNCTION("GOOGLEFINANCE(A115,""CLOSEYEST"")"),5606.0)</f>
        <v>5606</v>
      </c>
      <c r="H115" s="17" t="str">
        <f t="shared" si="14"/>
        <v/>
      </c>
      <c r="I115" s="18">
        <f t="shared" si="9"/>
        <v>5632.666667</v>
      </c>
      <c r="J115" s="19">
        <f t="shared" si="10"/>
        <v>5663.333333</v>
      </c>
      <c r="K115" s="19"/>
      <c r="L115" s="19">
        <f t="shared" si="11"/>
        <v>5575.333333</v>
      </c>
      <c r="M115" s="19">
        <f t="shared" si="12"/>
        <v>5720.666667</v>
      </c>
      <c r="N115" s="19">
        <f t="shared" si="13"/>
        <v>5544.666667</v>
      </c>
    </row>
    <row r="116" ht="24.75" customHeight="1">
      <c r="A116" s="21" t="s">
        <v>87</v>
      </c>
      <c r="B116" s="13">
        <f>IFERROR(__xludf.DUMMYFUNCTION("GOOGLEFINANCE(A116,""PRICE"")"),575.6)</f>
        <v>575.6</v>
      </c>
      <c r="C116" s="14">
        <f>IFERROR(__xludf.DUMMYFUNCTION("GOOGLEFINANCE(A116,""PRICEOPEN"")"),573.9)</f>
        <v>573.9</v>
      </c>
      <c r="D116" s="14">
        <f>IFERROR(__xludf.DUMMYFUNCTION("GOOGLEFINANCE(A116,""HIGH"")"),579.95)</f>
        <v>579.95</v>
      </c>
      <c r="E116" s="14">
        <f>IFERROR(__xludf.DUMMYFUNCTION("GOOGLEFINANCE(A116,""LOW"")"),570.3)</f>
        <v>570.3</v>
      </c>
      <c r="F116" s="15" t="str">
        <f t="shared" si="8"/>
        <v/>
      </c>
      <c r="G116" s="16">
        <f>IFERROR(__xludf.DUMMYFUNCTION("GOOGLEFINANCE(A116,""CLOSEYEST"")"),571.1)</f>
        <v>571.1</v>
      </c>
      <c r="H116" s="17" t="str">
        <f t="shared" si="14"/>
        <v/>
      </c>
      <c r="I116" s="18">
        <f t="shared" si="9"/>
        <v>573.7833333</v>
      </c>
      <c r="J116" s="19">
        <f t="shared" si="10"/>
        <v>577.2666667</v>
      </c>
      <c r="K116" s="19"/>
      <c r="L116" s="19">
        <f t="shared" si="11"/>
        <v>567.6166667</v>
      </c>
      <c r="M116" s="19">
        <f t="shared" si="12"/>
        <v>583.4333333</v>
      </c>
      <c r="N116" s="19">
        <f t="shared" si="13"/>
        <v>564.1333333</v>
      </c>
    </row>
    <row r="117" ht="24.75" customHeight="1">
      <c r="A117" s="21" t="s">
        <v>88</v>
      </c>
      <c r="B117" s="13" t="str">
        <f>IFERROR(__xludf.DUMMYFUNCTION("GOOGLEFINANCE(A117,""PRICE"")"),"#N/A")</f>
        <v>#N/A</v>
      </c>
      <c r="C117" s="14" t="str">
        <f>IFERROR(__xludf.DUMMYFUNCTION("GOOGLEFINANCE(A117,""PRICEOPEN"")"),"#N/A")</f>
        <v>#N/A</v>
      </c>
      <c r="D117" s="14" t="str">
        <f>IFERROR(__xludf.DUMMYFUNCTION("GOOGLEFINANCE(A117,""HIGH"")"),"#N/A")</f>
        <v>#N/A</v>
      </c>
      <c r="E117" s="14" t="str">
        <f>IFERROR(__xludf.DUMMYFUNCTION("GOOGLEFINANCE(A117,""LOW"")"),"#N/A")</f>
        <v>#N/A</v>
      </c>
      <c r="F117" s="15" t="str">
        <f t="shared" si="8"/>
        <v>#N/A</v>
      </c>
      <c r="G117" s="16" t="str">
        <f>IFERROR(__xludf.DUMMYFUNCTION("GOOGLEFINANCE(A117,""CLOSEYEST"")"),"#N/A")</f>
        <v>#N/A</v>
      </c>
      <c r="H117" s="17" t="str">
        <f t="shared" si="14"/>
        <v>#N/A</v>
      </c>
      <c r="I117" s="18" t="str">
        <f t="shared" si="9"/>
        <v>#N/A</v>
      </c>
      <c r="J117" s="19" t="str">
        <f t="shared" si="10"/>
        <v>#N/A</v>
      </c>
      <c r="K117" s="19"/>
      <c r="L117" s="19" t="str">
        <f t="shared" si="11"/>
        <v>#N/A</v>
      </c>
      <c r="M117" s="19" t="str">
        <f t="shared" si="12"/>
        <v>#N/A</v>
      </c>
      <c r="N117" s="19" t="str">
        <f t="shared" si="13"/>
        <v>#N/A</v>
      </c>
    </row>
    <row r="118" ht="24.75" customHeight="1">
      <c r="A118" s="21" t="s">
        <v>29</v>
      </c>
      <c r="B118" s="13">
        <f>IFERROR(__xludf.DUMMYFUNCTION("GOOGLEFINANCE(A118,""PRICE"")"),1247.8)</f>
        <v>1247.8</v>
      </c>
      <c r="C118" s="14">
        <f>IFERROR(__xludf.DUMMYFUNCTION("GOOGLEFINANCE(A118,""PRICEOPEN"")"),1243.9)</f>
        <v>1243.9</v>
      </c>
      <c r="D118" s="14">
        <f>IFERROR(__xludf.DUMMYFUNCTION("GOOGLEFINANCE(A118,""HIGH"")"),1265.4)</f>
        <v>1265.4</v>
      </c>
      <c r="E118" s="14">
        <f>IFERROR(__xludf.DUMMYFUNCTION("GOOGLEFINANCE(A118,""LOW"")"),1240.0)</f>
        <v>1240</v>
      </c>
      <c r="F118" s="15" t="str">
        <f t="shared" si="8"/>
        <v/>
      </c>
      <c r="G118" s="16">
        <f>IFERROR(__xludf.DUMMYFUNCTION("GOOGLEFINANCE(A118,""CLOSEYEST"")"),1244.7)</f>
        <v>1244.7</v>
      </c>
      <c r="H118" s="17" t="str">
        <f t="shared" si="14"/>
        <v/>
      </c>
      <c r="I118" s="18">
        <f t="shared" si="9"/>
        <v>1250.033333</v>
      </c>
      <c r="J118" s="19">
        <f t="shared" si="10"/>
        <v>1260.066667</v>
      </c>
      <c r="K118" s="19"/>
      <c r="L118" s="19">
        <f t="shared" si="11"/>
        <v>1234.666667</v>
      </c>
      <c r="M118" s="19">
        <f t="shared" si="12"/>
        <v>1275.433333</v>
      </c>
      <c r="N118" s="19">
        <f t="shared" si="13"/>
        <v>1224.633333</v>
      </c>
    </row>
    <row r="119" ht="24.75" customHeight="1">
      <c r="A119" s="21" t="s">
        <v>30</v>
      </c>
      <c r="B119" s="13">
        <f>IFERROR(__xludf.DUMMYFUNCTION("GOOGLEFINANCE(A119,""PRICE"")"),6935.0)</f>
        <v>6935</v>
      </c>
      <c r="C119" s="14">
        <f>IFERROR(__xludf.DUMMYFUNCTION("GOOGLEFINANCE(A119,""PRICEOPEN"")"),7000.0)</f>
        <v>7000</v>
      </c>
      <c r="D119" s="14">
        <f>IFERROR(__xludf.DUMMYFUNCTION("GOOGLEFINANCE(A119,""HIGH"")"),7008.5)</f>
        <v>7008.5</v>
      </c>
      <c r="E119" s="14">
        <f>IFERROR(__xludf.DUMMYFUNCTION("GOOGLEFINANCE(A119,""LOW"")"),6850.0)</f>
        <v>6850</v>
      </c>
      <c r="F119" s="15" t="str">
        <f t="shared" si="8"/>
        <v/>
      </c>
      <c r="G119" s="16">
        <f>IFERROR(__xludf.DUMMYFUNCTION("GOOGLEFINANCE(A119,""CLOSEYEST"")"),7021.5)</f>
        <v>7021.5</v>
      </c>
      <c r="H119" s="17" t="str">
        <f t="shared" si="14"/>
        <v/>
      </c>
      <c r="I119" s="18">
        <f t="shared" si="9"/>
        <v>6960</v>
      </c>
      <c r="J119" s="19">
        <f t="shared" si="10"/>
        <v>7070</v>
      </c>
      <c r="K119" s="19"/>
      <c r="L119" s="19">
        <f t="shared" si="11"/>
        <v>6911.5</v>
      </c>
      <c r="M119" s="19">
        <f t="shared" si="12"/>
        <v>7118.5</v>
      </c>
      <c r="N119" s="19">
        <f t="shared" si="13"/>
        <v>6801.5</v>
      </c>
    </row>
    <row r="120" ht="24.75" customHeight="1">
      <c r="A120" s="21" t="s">
        <v>89</v>
      </c>
      <c r="B120" s="13">
        <f>IFERROR(__xludf.DUMMYFUNCTION("GOOGLEFINANCE(A120,""PRICE"")"),543.0)</f>
        <v>543</v>
      </c>
      <c r="C120" s="14">
        <f>IFERROR(__xludf.DUMMYFUNCTION("GOOGLEFINANCE(A120,""PRICEOPEN"")"),528.0)</f>
        <v>528</v>
      </c>
      <c r="D120" s="14">
        <f>IFERROR(__xludf.DUMMYFUNCTION("GOOGLEFINANCE(A120,""HIGH"")"),543.45)</f>
        <v>543.45</v>
      </c>
      <c r="E120" s="14">
        <f>IFERROR(__xludf.DUMMYFUNCTION("GOOGLEFINANCE(A120,""LOW"")"),527.0)</f>
        <v>527</v>
      </c>
      <c r="F120" s="15" t="str">
        <f t="shared" si="8"/>
        <v/>
      </c>
      <c r="G120" s="16">
        <f>IFERROR(__xludf.DUMMYFUNCTION("GOOGLEFINANCE(A120,""CLOSEYEST"")"),529.65)</f>
        <v>529.65</v>
      </c>
      <c r="H120" s="17" t="str">
        <f t="shared" si="14"/>
        <v/>
      </c>
      <c r="I120" s="18">
        <f t="shared" si="9"/>
        <v>533.3666667</v>
      </c>
      <c r="J120" s="19">
        <f t="shared" si="10"/>
        <v>539.7333333</v>
      </c>
      <c r="K120" s="19"/>
      <c r="L120" s="19">
        <f t="shared" si="11"/>
        <v>523.2833333</v>
      </c>
      <c r="M120" s="19">
        <f t="shared" si="12"/>
        <v>549.8166667</v>
      </c>
      <c r="N120" s="19">
        <f t="shared" si="13"/>
        <v>516.9166667</v>
      </c>
    </row>
    <row r="121" ht="24.75" customHeight="1">
      <c r="A121" s="21" t="s">
        <v>90</v>
      </c>
      <c r="B121" s="13" t="str">
        <f>IFERROR(__xludf.DUMMYFUNCTION("GOOGLEFINANCE(A121,""PRICE"")"),"#N/A")</f>
        <v>#N/A</v>
      </c>
      <c r="C121" s="14" t="str">
        <f>IFERROR(__xludf.DUMMYFUNCTION("GOOGLEFINANCE(A121,""PRICEOPEN"")"),"#N/A")</f>
        <v>#N/A</v>
      </c>
      <c r="D121" s="14" t="str">
        <f>IFERROR(__xludf.DUMMYFUNCTION("GOOGLEFINANCE(A121,""HIGH"")"),"#N/A")</f>
        <v>#N/A</v>
      </c>
      <c r="E121" s="14" t="str">
        <f>IFERROR(__xludf.DUMMYFUNCTION("GOOGLEFINANCE(A121,""LOW"")"),"#N/A")</f>
        <v>#N/A</v>
      </c>
      <c r="F121" s="15" t="str">
        <f t="shared" si="8"/>
        <v>#N/A</v>
      </c>
      <c r="G121" s="16" t="str">
        <f>IFERROR(__xludf.DUMMYFUNCTION("GOOGLEFINANCE(A121,""CLOSEYEST"")"),"#N/A")</f>
        <v>#N/A</v>
      </c>
      <c r="H121" s="17" t="str">
        <f t="shared" si="14"/>
        <v>#N/A</v>
      </c>
      <c r="I121" s="18" t="str">
        <f t="shared" si="9"/>
        <v>#N/A</v>
      </c>
      <c r="J121" s="19" t="str">
        <f t="shared" si="10"/>
        <v>#N/A</v>
      </c>
      <c r="K121" s="19"/>
      <c r="L121" s="19" t="str">
        <f t="shared" si="11"/>
        <v>#N/A</v>
      </c>
      <c r="M121" s="19" t="str">
        <f t="shared" si="12"/>
        <v>#N/A</v>
      </c>
      <c r="N121" s="19" t="str">
        <f t="shared" si="13"/>
        <v>#N/A</v>
      </c>
    </row>
    <row r="122" ht="24.75" customHeight="1">
      <c r="A122" s="21" t="s">
        <v>91</v>
      </c>
      <c r="B122" s="13">
        <f>IFERROR(__xludf.DUMMYFUNCTION("GOOGLEFINANCE(A122,""PRICE"")"),395.0)</f>
        <v>395</v>
      </c>
      <c r="C122" s="14">
        <f>IFERROR(__xludf.DUMMYFUNCTION("GOOGLEFINANCE(A122,""PRICEOPEN"")"),392.0)</f>
        <v>392</v>
      </c>
      <c r="D122" s="14">
        <f>IFERROR(__xludf.DUMMYFUNCTION("GOOGLEFINANCE(A122,""HIGH"")"),395.5)</f>
        <v>395.5</v>
      </c>
      <c r="E122" s="14">
        <f>IFERROR(__xludf.DUMMYFUNCTION("GOOGLEFINANCE(A122,""LOW"")"),390.0)</f>
        <v>390</v>
      </c>
      <c r="F122" s="15" t="str">
        <f t="shared" si="8"/>
        <v/>
      </c>
      <c r="G122" s="16">
        <f>IFERROR(__xludf.DUMMYFUNCTION("GOOGLEFINANCE(A122,""CLOSEYEST"")"),391.15)</f>
        <v>391.15</v>
      </c>
      <c r="H122" s="17" t="str">
        <f t="shared" si="14"/>
        <v/>
      </c>
      <c r="I122" s="18">
        <f t="shared" si="9"/>
        <v>392.2166667</v>
      </c>
      <c r="J122" s="19">
        <f t="shared" si="10"/>
        <v>394.4333333</v>
      </c>
      <c r="K122" s="19"/>
      <c r="L122" s="19">
        <f t="shared" si="11"/>
        <v>388.9333333</v>
      </c>
      <c r="M122" s="19">
        <f t="shared" si="12"/>
        <v>397.7166667</v>
      </c>
      <c r="N122" s="19">
        <f t="shared" si="13"/>
        <v>386.7166667</v>
      </c>
    </row>
    <row r="123" ht="24.75" customHeight="1">
      <c r="A123" s="21" t="s">
        <v>92</v>
      </c>
      <c r="B123" s="13">
        <f>IFERROR(__xludf.DUMMYFUNCTION("GOOGLEFINANCE(A123,""PRICE"")"),2918.0)</f>
        <v>2918</v>
      </c>
      <c r="C123" s="14">
        <f>IFERROR(__xludf.DUMMYFUNCTION("GOOGLEFINANCE(A123,""PRICEOPEN"")"),2890.1)</f>
        <v>2890.1</v>
      </c>
      <c r="D123" s="14">
        <f>IFERROR(__xludf.DUMMYFUNCTION("GOOGLEFINANCE(A123,""HIGH"")"),2925.3)</f>
        <v>2925.3</v>
      </c>
      <c r="E123" s="14">
        <f>IFERROR(__xludf.DUMMYFUNCTION("GOOGLEFINANCE(A123,""LOW"")"),2885.3)</f>
        <v>2885.3</v>
      </c>
      <c r="F123" s="15" t="str">
        <f t="shared" si="8"/>
        <v/>
      </c>
      <c r="G123" s="16">
        <f>IFERROR(__xludf.DUMMYFUNCTION("GOOGLEFINANCE(A123,""CLOSEYEST"")"),2907.1)</f>
        <v>2907.1</v>
      </c>
      <c r="H123" s="17" t="str">
        <f t="shared" si="14"/>
        <v/>
      </c>
      <c r="I123" s="18">
        <f t="shared" si="9"/>
        <v>2905.9</v>
      </c>
      <c r="J123" s="19">
        <f t="shared" si="10"/>
        <v>2926.5</v>
      </c>
      <c r="K123" s="19"/>
      <c r="L123" s="19">
        <f t="shared" si="11"/>
        <v>2886.5</v>
      </c>
      <c r="M123" s="19">
        <f t="shared" si="12"/>
        <v>2945.9</v>
      </c>
      <c r="N123" s="19">
        <f t="shared" si="13"/>
        <v>2865.9</v>
      </c>
    </row>
    <row r="124" ht="24.75" customHeight="1">
      <c r="A124" s="21" t="s">
        <v>26</v>
      </c>
      <c r="B124" s="13">
        <f>IFERROR(__xludf.DUMMYFUNCTION("GOOGLEFINANCE(A124,""PRICE"")"),1517.5)</f>
        <v>1517.5</v>
      </c>
      <c r="C124" s="14">
        <f>IFERROR(__xludf.DUMMYFUNCTION("GOOGLEFINANCE(A124,""PRICEOPEN"")"),1522.0)</f>
        <v>1522</v>
      </c>
      <c r="D124" s="14">
        <f>IFERROR(__xludf.DUMMYFUNCTION("GOOGLEFINANCE(A124,""HIGH"")"),1537.8)</f>
        <v>1537.8</v>
      </c>
      <c r="E124" s="14">
        <f>IFERROR(__xludf.DUMMYFUNCTION("GOOGLEFINANCE(A124,""LOW"")"),1509.5)</f>
        <v>1509.5</v>
      </c>
      <c r="F124" s="15" t="str">
        <f t="shared" si="8"/>
        <v/>
      </c>
      <c r="G124" s="16">
        <f>IFERROR(__xludf.DUMMYFUNCTION("GOOGLEFINANCE(A124,""CLOSEYEST"")"),1513.0)</f>
        <v>1513</v>
      </c>
      <c r="H124" s="17" t="str">
        <f t="shared" si="14"/>
        <v/>
      </c>
      <c r="I124" s="18">
        <f t="shared" si="9"/>
        <v>1520.1</v>
      </c>
      <c r="J124" s="19">
        <f t="shared" si="10"/>
        <v>1530.7</v>
      </c>
      <c r="K124" s="19"/>
      <c r="L124" s="19">
        <f t="shared" si="11"/>
        <v>1502.4</v>
      </c>
      <c r="M124" s="19">
        <f t="shared" si="12"/>
        <v>1548.4</v>
      </c>
      <c r="N124" s="19">
        <f t="shared" si="13"/>
        <v>1491.8</v>
      </c>
    </row>
    <row r="125" ht="24.75" customHeight="1">
      <c r="A125" s="21" t="s">
        <v>93</v>
      </c>
      <c r="B125" s="13">
        <f>IFERROR(__xludf.DUMMYFUNCTION("GOOGLEFINANCE(A125,""PRICE"")"),354.6)</f>
        <v>354.6</v>
      </c>
      <c r="C125" s="14">
        <f>IFERROR(__xludf.DUMMYFUNCTION("GOOGLEFINANCE(A125,""PRICEOPEN"")"),350.1)</f>
        <v>350.1</v>
      </c>
      <c r="D125" s="14">
        <f>IFERROR(__xludf.DUMMYFUNCTION("GOOGLEFINANCE(A125,""HIGH"")"),355.4)</f>
        <v>355.4</v>
      </c>
      <c r="E125" s="14">
        <f>IFERROR(__xludf.DUMMYFUNCTION("GOOGLEFINANCE(A125,""LOW"")"),348.3)</f>
        <v>348.3</v>
      </c>
      <c r="F125" s="15" t="str">
        <f t="shared" si="8"/>
        <v/>
      </c>
      <c r="G125" s="16">
        <f>IFERROR(__xludf.DUMMYFUNCTION("GOOGLEFINANCE(A125,""CLOSEYEST"")"),352.05)</f>
        <v>352.05</v>
      </c>
      <c r="H125" s="17" t="str">
        <f t="shared" si="14"/>
        <v/>
      </c>
      <c r="I125" s="18">
        <f t="shared" si="9"/>
        <v>351.9166667</v>
      </c>
      <c r="J125" s="19">
        <f t="shared" si="10"/>
        <v>355.5333333</v>
      </c>
      <c r="K125" s="19"/>
      <c r="L125" s="19">
        <f t="shared" si="11"/>
        <v>348.4333333</v>
      </c>
      <c r="M125" s="19">
        <f t="shared" si="12"/>
        <v>359.0166667</v>
      </c>
      <c r="N125" s="19">
        <f t="shared" si="13"/>
        <v>344.8166667</v>
      </c>
    </row>
    <row r="126" ht="24.75" customHeight="1">
      <c r="A126" s="21" t="s">
        <v>17</v>
      </c>
      <c r="B126" s="13">
        <f>IFERROR(__xludf.DUMMYFUNCTION("GOOGLEFINANCE(A126,""PRICE"")"),7450.0)</f>
        <v>7450</v>
      </c>
      <c r="C126" s="14">
        <f>IFERROR(__xludf.DUMMYFUNCTION("GOOGLEFINANCE(A126,""PRICEOPEN"")"),7441.0)</f>
        <v>7441</v>
      </c>
      <c r="D126" s="14">
        <f>IFERROR(__xludf.DUMMYFUNCTION("GOOGLEFINANCE(A126,""HIGH"")"),7484.0)</f>
        <v>7484</v>
      </c>
      <c r="E126" s="14">
        <f>IFERROR(__xludf.DUMMYFUNCTION("GOOGLEFINANCE(A126,""LOW"")"),7404.0)</f>
        <v>7404</v>
      </c>
      <c r="F126" s="15" t="str">
        <f t="shared" si="8"/>
        <v/>
      </c>
      <c r="G126" s="16">
        <f>IFERROR(__xludf.DUMMYFUNCTION("GOOGLEFINANCE(A126,""CLOSEYEST"")"),7441.0)</f>
        <v>7441</v>
      </c>
      <c r="H126" s="17" t="str">
        <f t="shared" si="14"/>
        <v/>
      </c>
      <c r="I126" s="18">
        <f t="shared" si="9"/>
        <v>7443</v>
      </c>
      <c r="J126" s="19">
        <f t="shared" si="10"/>
        <v>7482</v>
      </c>
      <c r="K126" s="19"/>
      <c r="L126" s="19">
        <f t="shared" si="11"/>
        <v>7402</v>
      </c>
      <c r="M126" s="19">
        <f t="shared" si="12"/>
        <v>7523</v>
      </c>
      <c r="N126" s="19">
        <f t="shared" si="13"/>
        <v>7363</v>
      </c>
    </row>
    <row r="127" ht="24.75" customHeight="1">
      <c r="A127" s="21" t="s">
        <v>42</v>
      </c>
      <c r="B127" s="13">
        <f>IFERROR(__xludf.DUMMYFUNCTION("GOOGLEFINANCE(A127,""PRICE"")"),748.0)</f>
        <v>748</v>
      </c>
      <c r="C127" s="14">
        <f>IFERROR(__xludf.DUMMYFUNCTION("GOOGLEFINANCE(A127,""PRICEOPEN"")"),743.2)</f>
        <v>743.2</v>
      </c>
      <c r="D127" s="14">
        <f>IFERROR(__xludf.DUMMYFUNCTION("GOOGLEFINANCE(A127,""HIGH"")"),758.95)</f>
        <v>758.95</v>
      </c>
      <c r="E127" s="14">
        <f>IFERROR(__xludf.DUMMYFUNCTION("GOOGLEFINANCE(A127,""LOW"")"),741.75)</f>
        <v>741.75</v>
      </c>
      <c r="F127" s="15" t="str">
        <f t="shared" si="8"/>
        <v/>
      </c>
      <c r="G127" s="16">
        <f>IFERROR(__xludf.DUMMYFUNCTION("GOOGLEFINANCE(A127,""CLOSEYEST"")"),743.15)</f>
        <v>743.15</v>
      </c>
      <c r="H127" s="17" t="str">
        <f t="shared" si="14"/>
        <v/>
      </c>
      <c r="I127" s="18">
        <f t="shared" si="9"/>
        <v>747.95</v>
      </c>
      <c r="J127" s="19">
        <f t="shared" si="10"/>
        <v>754.15</v>
      </c>
      <c r="K127" s="19"/>
      <c r="L127" s="19">
        <f t="shared" si="11"/>
        <v>736.95</v>
      </c>
      <c r="M127" s="19">
        <f t="shared" si="12"/>
        <v>765.15</v>
      </c>
      <c r="N127" s="19">
        <f t="shared" si="13"/>
        <v>730.75</v>
      </c>
    </row>
    <row r="128" ht="24.75" customHeight="1">
      <c r="A128" s="21" t="s">
        <v>94</v>
      </c>
      <c r="B128" s="13">
        <f>IFERROR(__xludf.DUMMYFUNCTION("GOOGLEFINANCE(A128,""PRICE"")"),1334.0)</f>
        <v>1334</v>
      </c>
      <c r="C128" s="14">
        <f>IFERROR(__xludf.DUMMYFUNCTION("GOOGLEFINANCE(A128,""PRICEOPEN"")"),1341.0)</f>
        <v>1341</v>
      </c>
      <c r="D128" s="14">
        <f>IFERROR(__xludf.DUMMYFUNCTION("GOOGLEFINANCE(A128,""HIGH"")"),1342.7)</f>
        <v>1342.7</v>
      </c>
      <c r="E128" s="14">
        <f>IFERROR(__xludf.DUMMYFUNCTION("GOOGLEFINANCE(A128,""LOW"")"),1320.0)</f>
        <v>1320</v>
      </c>
      <c r="F128" s="15" t="str">
        <f t="shared" si="8"/>
        <v/>
      </c>
      <c r="G128" s="16">
        <f>IFERROR(__xludf.DUMMYFUNCTION("GOOGLEFINANCE(A128,""CLOSEYEST"")"),1338.6)</f>
        <v>1338.6</v>
      </c>
      <c r="H128" s="17" t="str">
        <f t="shared" si="14"/>
        <v/>
      </c>
      <c r="I128" s="18">
        <f t="shared" si="9"/>
        <v>1333.766667</v>
      </c>
      <c r="J128" s="19">
        <f t="shared" si="10"/>
        <v>1347.533333</v>
      </c>
      <c r="K128" s="19"/>
      <c r="L128" s="19">
        <f t="shared" si="11"/>
        <v>1324.833333</v>
      </c>
      <c r="M128" s="19">
        <f t="shared" si="12"/>
        <v>1356.466667</v>
      </c>
      <c r="N128" s="19">
        <f t="shared" si="13"/>
        <v>1311.066667</v>
      </c>
    </row>
    <row r="129" ht="24.75" customHeight="1">
      <c r="A129" s="21" t="s">
        <v>95</v>
      </c>
      <c r="B129" s="13">
        <f>IFERROR(__xludf.DUMMYFUNCTION("GOOGLEFINANCE(A129,""PRICE"")"),1910.6)</f>
        <v>1910.6</v>
      </c>
      <c r="C129" s="14">
        <f>IFERROR(__xludf.DUMMYFUNCTION("GOOGLEFINANCE(A129,""PRICEOPEN"")"),1912.8)</f>
        <v>1912.8</v>
      </c>
      <c r="D129" s="14">
        <f>IFERROR(__xludf.DUMMYFUNCTION("GOOGLEFINANCE(A129,""HIGH"")"),1922.0)</f>
        <v>1922</v>
      </c>
      <c r="E129" s="14">
        <f>IFERROR(__xludf.DUMMYFUNCTION("GOOGLEFINANCE(A129,""LOW"")"),1892.2)</f>
        <v>1892.2</v>
      </c>
      <c r="F129" s="15" t="str">
        <f t="shared" si="8"/>
        <v/>
      </c>
      <c r="G129" s="16">
        <f>IFERROR(__xludf.DUMMYFUNCTION("GOOGLEFINANCE(A129,""CLOSEYEST"")"),1903.6)</f>
        <v>1903.6</v>
      </c>
      <c r="H129" s="17" t="str">
        <f t="shared" si="14"/>
        <v/>
      </c>
      <c r="I129" s="18">
        <f t="shared" si="9"/>
        <v>1905.933333</v>
      </c>
      <c r="J129" s="19">
        <f t="shared" si="10"/>
        <v>1919.666667</v>
      </c>
      <c r="K129" s="19"/>
      <c r="L129" s="19">
        <f t="shared" si="11"/>
        <v>1889.866667</v>
      </c>
      <c r="M129" s="19">
        <f t="shared" si="12"/>
        <v>1935.733333</v>
      </c>
      <c r="N129" s="19">
        <f t="shared" si="13"/>
        <v>1876.133333</v>
      </c>
    </row>
    <row r="130" ht="24.75" customHeight="1">
      <c r="A130" s="21" t="s">
        <v>96</v>
      </c>
      <c r="B130" s="13">
        <f>IFERROR(__xludf.DUMMYFUNCTION("GOOGLEFINANCE(A130,""PRICE"")"),708.4)</f>
        <v>708.4</v>
      </c>
      <c r="C130" s="14">
        <f>IFERROR(__xludf.DUMMYFUNCTION("GOOGLEFINANCE(A130,""PRICEOPEN"")"),706.15)</f>
        <v>706.15</v>
      </c>
      <c r="D130" s="14">
        <f>IFERROR(__xludf.DUMMYFUNCTION("GOOGLEFINANCE(A130,""HIGH"")"),710.5)</f>
        <v>710.5</v>
      </c>
      <c r="E130" s="14">
        <f>IFERROR(__xludf.DUMMYFUNCTION("GOOGLEFINANCE(A130,""LOW"")"),704.1)</f>
        <v>704.1</v>
      </c>
      <c r="F130" s="15" t="str">
        <f t="shared" si="8"/>
        <v/>
      </c>
      <c r="G130" s="16">
        <f>IFERROR(__xludf.DUMMYFUNCTION("GOOGLEFINANCE(A130,""CLOSEYEST"")"),706.15)</f>
        <v>706.15</v>
      </c>
      <c r="H130" s="17" t="str">
        <f t="shared" si="14"/>
        <v/>
      </c>
      <c r="I130" s="18">
        <f t="shared" si="9"/>
        <v>706.9166667</v>
      </c>
      <c r="J130" s="19">
        <f t="shared" si="10"/>
        <v>709.7333333</v>
      </c>
      <c r="K130" s="19"/>
      <c r="L130" s="19">
        <f t="shared" si="11"/>
        <v>703.3333333</v>
      </c>
      <c r="M130" s="19">
        <f t="shared" si="12"/>
        <v>713.3166667</v>
      </c>
      <c r="N130" s="19">
        <f t="shared" si="13"/>
        <v>700.5166667</v>
      </c>
    </row>
    <row r="131" ht="24.75" customHeight="1">
      <c r="A131" s="21" t="s">
        <v>58</v>
      </c>
      <c r="B131" s="13">
        <f>IFERROR(__xludf.DUMMYFUNCTION("GOOGLEFINANCE(A131,""PRICE"")"),1138.5)</f>
        <v>1138.5</v>
      </c>
      <c r="C131" s="14">
        <f>IFERROR(__xludf.DUMMYFUNCTION("GOOGLEFINANCE(A131,""PRICEOPEN"")"),1146.0)</f>
        <v>1146</v>
      </c>
      <c r="D131" s="14">
        <f>IFERROR(__xludf.DUMMYFUNCTION("GOOGLEFINANCE(A131,""HIGH"")"),1150.0)</f>
        <v>1150</v>
      </c>
      <c r="E131" s="14">
        <f>IFERROR(__xludf.DUMMYFUNCTION("GOOGLEFINANCE(A131,""LOW"")"),1129.1)</f>
        <v>1129.1</v>
      </c>
      <c r="F131" s="15" t="str">
        <f t="shared" si="8"/>
        <v/>
      </c>
      <c r="G131" s="16">
        <f>IFERROR(__xludf.DUMMYFUNCTION("GOOGLEFINANCE(A131,""CLOSEYEST"")"),1144.8)</f>
        <v>1144.8</v>
      </c>
      <c r="H131" s="17" t="str">
        <f t="shared" si="14"/>
        <v/>
      </c>
      <c r="I131" s="18">
        <f t="shared" si="9"/>
        <v>1141.3</v>
      </c>
      <c r="J131" s="19">
        <f t="shared" si="10"/>
        <v>1153.5</v>
      </c>
      <c r="K131" s="19"/>
      <c r="L131" s="19">
        <f t="shared" si="11"/>
        <v>1132.6</v>
      </c>
      <c r="M131" s="19">
        <f t="shared" si="12"/>
        <v>1162.2</v>
      </c>
      <c r="N131" s="19">
        <f t="shared" si="13"/>
        <v>1120.4</v>
      </c>
    </row>
    <row r="132" ht="24.75" customHeight="1">
      <c r="A132" s="21" t="s">
        <v>97</v>
      </c>
      <c r="B132" s="13" t="str">
        <f>IFERROR(__xludf.DUMMYFUNCTION("GOOGLEFINANCE(A132,""PRICE"")"),"#N/A")</f>
        <v>#N/A</v>
      </c>
      <c r="C132" s="14" t="str">
        <f>IFERROR(__xludf.DUMMYFUNCTION("GOOGLEFINANCE(A132,""PRICEOPEN"")"),"#N/A")</f>
        <v>#N/A</v>
      </c>
      <c r="D132" s="14" t="str">
        <f>IFERROR(__xludf.DUMMYFUNCTION("GOOGLEFINANCE(A132,""HIGH"")"),"#N/A")</f>
        <v>#N/A</v>
      </c>
      <c r="E132" s="14" t="str">
        <f>IFERROR(__xludf.DUMMYFUNCTION("GOOGLEFINANCE(A132,""LOW"")"),"#N/A")</f>
        <v>#N/A</v>
      </c>
      <c r="F132" s="15" t="str">
        <f t="shared" si="8"/>
        <v>#N/A</v>
      </c>
      <c r="G132" s="16" t="str">
        <f>IFERROR(__xludf.DUMMYFUNCTION("GOOGLEFINANCE(A132,""CLOSEYEST"")"),"#N/A")</f>
        <v>#N/A</v>
      </c>
      <c r="H132" s="17" t="str">
        <f t="shared" si="14"/>
        <v>#N/A</v>
      </c>
      <c r="I132" s="18" t="str">
        <f t="shared" si="9"/>
        <v>#N/A</v>
      </c>
      <c r="J132" s="19" t="str">
        <f t="shared" si="10"/>
        <v>#N/A</v>
      </c>
      <c r="K132" s="19"/>
      <c r="L132" s="19" t="str">
        <f t="shared" si="11"/>
        <v>#N/A</v>
      </c>
      <c r="M132" s="19" t="str">
        <f t="shared" si="12"/>
        <v>#N/A</v>
      </c>
      <c r="N132" s="19" t="str">
        <f t="shared" si="13"/>
        <v>#N/A</v>
      </c>
    </row>
    <row r="133" ht="24.75" customHeight="1">
      <c r="A133" s="21" t="s">
        <v>98</v>
      </c>
      <c r="B133" s="13">
        <f>IFERROR(__xludf.DUMMYFUNCTION("GOOGLEFINANCE(A133,""PRICE"")"),710.0)</f>
        <v>710</v>
      </c>
      <c r="C133" s="14">
        <f>IFERROR(__xludf.DUMMYFUNCTION("GOOGLEFINANCE(A133,""PRICEOPEN"")"),700.0)</f>
        <v>700</v>
      </c>
      <c r="D133" s="14">
        <f>IFERROR(__xludf.DUMMYFUNCTION("GOOGLEFINANCE(A133,""HIGH"")"),712.75)</f>
        <v>712.75</v>
      </c>
      <c r="E133" s="14">
        <f>IFERROR(__xludf.DUMMYFUNCTION("GOOGLEFINANCE(A133,""LOW"")"),697.6)</f>
        <v>697.6</v>
      </c>
      <c r="F133" s="15" t="str">
        <f t="shared" si="8"/>
        <v/>
      </c>
      <c r="G133" s="16">
        <f>IFERROR(__xludf.DUMMYFUNCTION("GOOGLEFINANCE(A133,""CLOSEYEST"")"),701.75)</f>
        <v>701.75</v>
      </c>
      <c r="H133" s="17" t="str">
        <f t="shared" si="14"/>
        <v/>
      </c>
      <c r="I133" s="18">
        <f t="shared" si="9"/>
        <v>704.0333333</v>
      </c>
      <c r="J133" s="19">
        <f t="shared" si="10"/>
        <v>710.4666667</v>
      </c>
      <c r="K133" s="19"/>
      <c r="L133" s="19">
        <f t="shared" si="11"/>
        <v>695.3166667</v>
      </c>
      <c r="M133" s="19">
        <f t="shared" si="12"/>
        <v>719.1833333</v>
      </c>
      <c r="N133" s="19">
        <f t="shared" si="13"/>
        <v>688.8833333</v>
      </c>
    </row>
    <row r="134" ht="24.75" customHeight="1">
      <c r="A134" s="21" t="s">
        <v>99</v>
      </c>
      <c r="B134" s="13">
        <f>IFERROR(__xludf.DUMMYFUNCTION("GOOGLEFINANCE(A134,""PRICE"")"),177.6)</f>
        <v>177.6</v>
      </c>
      <c r="C134" s="14">
        <f>IFERROR(__xludf.DUMMYFUNCTION("GOOGLEFINANCE(A134,""PRICEOPEN"")"),174.72)</f>
        <v>174.72</v>
      </c>
      <c r="D134" s="14">
        <f>IFERROR(__xludf.DUMMYFUNCTION("GOOGLEFINANCE(A134,""HIGH"")"),177.75)</f>
        <v>177.75</v>
      </c>
      <c r="E134" s="14">
        <f>IFERROR(__xludf.DUMMYFUNCTION("GOOGLEFINANCE(A134,""LOW"")"),174.48)</f>
        <v>174.48</v>
      </c>
      <c r="F134" s="15" t="str">
        <f t="shared" si="8"/>
        <v/>
      </c>
      <c r="G134" s="16">
        <f>IFERROR(__xludf.DUMMYFUNCTION("GOOGLEFINANCE(A134,""CLOSEYEST"")"),174.56)</f>
        <v>174.56</v>
      </c>
      <c r="H134" s="17" t="str">
        <f t="shared" si="14"/>
        <v/>
      </c>
      <c r="I134" s="18">
        <f t="shared" si="9"/>
        <v>175.5966667</v>
      </c>
      <c r="J134" s="19">
        <f t="shared" si="10"/>
        <v>176.7133333</v>
      </c>
      <c r="K134" s="19"/>
      <c r="L134" s="19">
        <f t="shared" si="11"/>
        <v>173.4433333</v>
      </c>
      <c r="M134" s="19">
        <f t="shared" si="12"/>
        <v>178.8666667</v>
      </c>
      <c r="N134" s="19">
        <f t="shared" si="13"/>
        <v>172.3266667</v>
      </c>
    </row>
    <row r="135" ht="24.75" customHeight="1">
      <c r="A135" s="21" t="s">
        <v>100</v>
      </c>
      <c r="B135" s="13">
        <f>IFERROR(__xludf.DUMMYFUNCTION("GOOGLEFINANCE(A135,""PRICE"")"),1133.0)</f>
        <v>1133</v>
      </c>
      <c r="C135" s="14">
        <f>IFERROR(__xludf.DUMMYFUNCTION("GOOGLEFINANCE(A135,""PRICEOPEN"")"),1129.0)</f>
        <v>1129</v>
      </c>
      <c r="D135" s="14">
        <f>IFERROR(__xludf.DUMMYFUNCTION("GOOGLEFINANCE(A135,""HIGH"")"),1189.0)</f>
        <v>1189</v>
      </c>
      <c r="E135" s="14">
        <f>IFERROR(__xludf.DUMMYFUNCTION("GOOGLEFINANCE(A135,""LOW"")"),1108.5)</f>
        <v>1108.5</v>
      </c>
      <c r="F135" s="15" t="str">
        <f t="shared" si="8"/>
        <v/>
      </c>
      <c r="G135" s="16">
        <f>IFERROR(__xludf.DUMMYFUNCTION("GOOGLEFINANCE(A135,""CLOSEYEST"")"),1122.2)</f>
        <v>1122.2</v>
      </c>
      <c r="H135" s="17" t="str">
        <f t="shared" si="14"/>
        <v/>
      </c>
      <c r="I135" s="18">
        <f t="shared" si="9"/>
        <v>1139.9</v>
      </c>
      <c r="J135" s="19">
        <f t="shared" si="10"/>
        <v>1171.3</v>
      </c>
      <c r="K135" s="19"/>
      <c r="L135" s="19">
        <f t="shared" si="11"/>
        <v>1090.8</v>
      </c>
      <c r="M135" s="19">
        <f t="shared" si="12"/>
        <v>1220.4</v>
      </c>
      <c r="N135" s="19">
        <f t="shared" si="13"/>
        <v>1059.4</v>
      </c>
    </row>
    <row r="136" ht="24.75" customHeight="1">
      <c r="A136" s="21" t="s">
        <v>101</v>
      </c>
      <c r="B136" s="13">
        <f>IFERROR(__xludf.DUMMYFUNCTION("GOOGLEFINANCE(A136,""PRICE"")"),1.68)</f>
        <v>1.68</v>
      </c>
      <c r="C136" s="14">
        <f>IFERROR(__xludf.DUMMYFUNCTION("GOOGLEFINANCE(A136,""PRICEOPEN"")"),1.62)</f>
        <v>1.62</v>
      </c>
      <c r="D136" s="14">
        <f>IFERROR(__xludf.DUMMYFUNCTION("GOOGLEFINANCE(A136,""HIGH"")"),1.73)</f>
        <v>1.73</v>
      </c>
      <c r="E136" s="14">
        <f>IFERROR(__xludf.DUMMYFUNCTION("GOOGLEFINANCE(A136,""LOW"")"),1.6)</f>
        <v>1.6</v>
      </c>
      <c r="F136" s="15" t="str">
        <f t="shared" si="8"/>
        <v/>
      </c>
      <c r="G136" s="16">
        <f>IFERROR(__xludf.DUMMYFUNCTION("GOOGLEFINANCE(A136,""CLOSEYEST"")"),1.68)</f>
        <v>1.68</v>
      </c>
      <c r="H136" s="17" t="str">
        <f t="shared" si="14"/>
        <v>GAP DOWN</v>
      </c>
      <c r="I136" s="18">
        <f t="shared" si="9"/>
        <v>1.67</v>
      </c>
      <c r="J136" s="19">
        <f t="shared" si="10"/>
        <v>1.74</v>
      </c>
      <c r="K136" s="19"/>
      <c r="L136" s="19">
        <f t="shared" si="11"/>
        <v>1.61</v>
      </c>
      <c r="M136" s="19">
        <f t="shared" si="12"/>
        <v>1.8</v>
      </c>
      <c r="N136" s="19">
        <f t="shared" si="13"/>
        <v>1.54</v>
      </c>
    </row>
    <row r="137" ht="24.75" customHeight="1">
      <c r="A137" s="21" t="s">
        <v>102</v>
      </c>
      <c r="B137" s="13">
        <f>IFERROR(__xludf.DUMMYFUNCTION("GOOGLEFINANCE(A137,""PRICE"")"),3172.8)</f>
        <v>3172.8</v>
      </c>
      <c r="C137" s="14">
        <f>IFERROR(__xludf.DUMMYFUNCTION("GOOGLEFINANCE(A137,""PRICEOPEN"")"),3150.0)</f>
        <v>3150</v>
      </c>
      <c r="D137" s="14">
        <f>IFERROR(__xludf.DUMMYFUNCTION("GOOGLEFINANCE(A137,""HIGH"")"),3175.9)</f>
        <v>3175.9</v>
      </c>
      <c r="E137" s="14">
        <f>IFERROR(__xludf.DUMMYFUNCTION("GOOGLEFINANCE(A137,""LOW"")"),3106.1)</f>
        <v>3106.1</v>
      </c>
      <c r="F137" s="15" t="str">
        <f t="shared" si="8"/>
        <v/>
      </c>
      <c r="G137" s="16">
        <f>IFERROR(__xludf.DUMMYFUNCTION("GOOGLEFINANCE(A137,""CLOSEYEST"")"),3144.5)</f>
        <v>3144.5</v>
      </c>
      <c r="H137" s="17" t="str">
        <f t="shared" si="14"/>
        <v/>
      </c>
      <c r="I137" s="18">
        <f t="shared" si="9"/>
        <v>3142.166667</v>
      </c>
      <c r="J137" s="19">
        <f t="shared" si="10"/>
        <v>3178.233333</v>
      </c>
      <c r="K137" s="19"/>
      <c r="L137" s="19">
        <f t="shared" si="11"/>
        <v>3108.433333</v>
      </c>
      <c r="M137" s="19">
        <f t="shared" si="12"/>
        <v>3211.966667</v>
      </c>
      <c r="N137" s="19">
        <f t="shared" si="13"/>
        <v>3072.366667</v>
      </c>
    </row>
    <row r="138" ht="24.75" customHeight="1">
      <c r="A138" s="21" t="s">
        <v>103</v>
      </c>
      <c r="B138" s="13" t="str">
        <f>IFERROR(__xludf.DUMMYFUNCTION("GOOGLEFINANCE(A138,""PRICE"")"),"#N/A")</f>
        <v>#N/A</v>
      </c>
      <c r="C138" s="14" t="str">
        <f>IFERROR(__xludf.DUMMYFUNCTION("GOOGLEFINANCE(A138,""PRICEOPEN"")"),"#N/A")</f>
        <v>#N/A</v>
      </c>
      <c r="D138" s="14" t="str">
        <f>IFERROR(__xludf.DUMMYFUNCTION("GOOGLEFINANCE(A138,""HIGH"")"),"#N/A")</f>
        <v>#N/A</v>
      </c>
      <c r="E138" s="14" t="str">
        <f>IFERROR(__xludf.DUMMYFUNCTION("GOOGLEFINANCE(A138,""LOW"")"),"#N/A")</f>
        <v>#N/A</v>
      </c>
      <c r="F138" s="15" t="str">
        <f t="shared" si="8"/>
        <v>#N/A</v>
      </c>
      <c r="G138" s="16" t="str">
        <f>IFERROR(__xludf.DUMMYFUNCTION("GOOGLEFINANCE(A138,""CLOSEYEST"")"),"#N/A")</f>
        <v>#N/A</v>
      </c>
      <c r="H138" s="17" t="str">
        <f t="shared" si="14"/>
        <v>#N/A</v>
      </c>
      <c r="I138" s="18" t="str">
        <f t="shared" si="9"/>
        <v>#N/A</v>
      </c>
      <c r="J138" s="19" t="str">
        <f t="shared" si="10"/>
        <v>#N/A</v>
      </c>
      <c r="K138" s="19"/>
      <c r="L138" s="19" t="str">
        <f t="shared" si="11"/>
        <v>#N/A</v>
      </c>
      <c r="M138" s="19" t="str">
        <f t="shared" si="12"/>
        <v>#N/A</v>
      </c>
      <c r="N138" s="19" t="str">
        <f t="shared" si="13"/>
        <v>#N/A</v>
      </c>
    </row>
    <row r="139" ht="24.75" customHeight="1">
      <c r="A139" s="21" t="s">
        <v>104</v>
      </c>
      <c r="B139" s="13">
        <f>IFERROR(__xludf.DUMMYFUNCTION("GOOGLEFINANCE(A139,""PRICE"")"),1112.2)</f>
        <v>1112.2</v>
      </c>
      <c r="C139" s="14">
        <f>IFERROR(__xludf.DUMMYFUNCTION("GOOGLEFINANCE(A139,""PRICEOPEN"")"),1144.7)</f>
        <v>1144.7</v>
      </c>
      <c r="D139" s="14">
        <f>IFERROR(__xludf.DUMMYFUNCTION("GOOGLEFINANCE(A139,""HIGH"")"),1147.0)</f>
        <v>1147</v>
      </c>
      <c r="E139" s="14">
        <f>IFERROR(__xludf.DUMMYFUNCTION("GOOGLEFINANCE(A139,""LOW"")"),1108.0)</f>
        <v>1108</v>
      </c>
      <c r="F139" s="15" t="str">
        <f t="shared" si="8"/>
        <v/>
      </c>
      <c r="G139" s="16">
        <f>IFERROR(__xludf.DUMMYFUNCTION("GOOGLEFINANCE(A139,""CLOSEYEST"")"),1139.8)</f>
        <v>1139.8</v>
      </c>
      <c r="H139" s="17" t="str">
        <f t="shared" si="14"/>
        <v/>
      </c>
      <c r="I139" s="18">
        <f t="shared" si="9"/>
        <v>1131.6</v>
      </c>
      <c r="J139" s="19">
        <f t="shared" si="10"/>
        <v>1155.2</v>
      </c>
      <c r="K139" s="19"/>
      <c r="L139" s="19">
        <f t="shared" si="11"/>
        <v>1116.2</v>
      </c>
      <c r="M139" s="19">
        <f t="shared" si="12"/>
        <v>1170.6</v>
      </c>
      <c r="N139" s="19">
        <f t="shared" si="13"/>
        <v>1092.6</v>
      </c>
    </row>
    <row r="140" ht="24.75" customHeight="1">
      <c r="A140" s="21" t="s">
        <v>105</v>
      </c>
      <c r="B140" s="13">
        <f>IFERROR(__xludf.DUMMYFUNCTION("GOOGLEFINANCE(A140,""PRICE"")"),2737.0)</f>
        <v>2737</v>
      </c>
      <c r="C140" s="14">
        <f>IFERROR(__xludf.DUMMYFUNCTION("GOOGLEFINANCE(A140,""PRICEOPEN"")"),2698.9)</f>
        <v>2698.9</v>
      </c>
      <c r="D140" s="14">
        <f>IFERROR(__xludf.DUMMYFUNCTION("GOOGLEFINANCE(A140,""HIGH"")"),2742.2)</f>
        <v>2742.2</v>
      </c>
      <c r="E140" s="14">
        <f>IFERROR(__xludf.DUMMYFUNCTION("GOOGLEFINANCE(A140,""LOW"")"),2680.0)</f>
        <v>2680</v>
      </c>
      <c r="F140" s="15" t="str">
        <f t="shared" si="8"/>
        <v/>
      </c>
      <c r="G140" s="16">
        <f>IFERROR(__xludf.DUMMYFUNCTION("GOOGLEFINANCE(A140,""CLOSEYEST"")"),2691.0)</f>
        <v>2691</v>
      </c>
      <c r="H140" s="17" t="str">
        <f t="shared" si="14"/>
        <v/>
      </c>
      <c r="I140" s="18">
        <f t="shared" si="9"/>
        <v>2704.4</v>
      </c>
      <c r="J140" s="19">
        <f t="shared" si="10"/>
        <v>2728.8</v>
      </c>
      <c r="K140" s="19"/>
      <c r="L140" s="19">
        <f t="shared" si="11"/>
        <v>2666.6</v>
      </c>
      <c r="M140" s="19">
        <f t="shared" si="12"/>
        <v>2766.6</v>
      </c>
      <c r="N140" s="19">
        <f t="shared" si="13"/>
        <v>2642.2</v>
      </c>
    </row>
    <row r="141" ht="24.75" customHeight="1">
      <c r="A141" s="21" t="s">
        <v>106</v>
      </c>
      <c r="B141" s="13">
        <f>IFERROR(__xludf.DUMMYFUNCTION("GOOGLEFINANCE(A141,""PRICE"")"),4262.0)</f>
        <v>4262</v>
      </c>
      <c r="C141" s="14">
        <f>IFERROR(__xludf.DUMMYFUNCTION("GOOGLEFINANCE(A141,""PRICEOPEN"")"),4190.0)</f>
        <v>4190</v>
      </c>
      <c r="D141" s="14">
        <f>IFERROR(__xludf.DUMMYFUNCTION("GOOGLEFINANCE(A141,""HIGH"")"),4296.4)</f>
        <v>4296.4</v>
      </c>
      <c r="E141" s="14">
        <f>IFERROR(__xludf.DUMMYFUNCTION("GOOGLEFINANCE(A141,""LOW"")"),4166.8)</f>
        <v>4166.8</v>
      </c>
      <c r="F141" s="15" t="str">
        <f t="shared" si="8"/>
        <v/>
      </c>
      <c r="G141" s="16">
        <f>IFERROR(__xludf.DUMMYFUNCTION("GOOGLEFINANCE(A141,""CLOSEYEST"")"),4186.7)</f>
        <v>4186.7</v>
      </c>
      <c r="H141" s="17" t="str">
        <f t="shared" si="14"/>
        <v/>
      </c>
      <c r="I141" s="18">
        <f t="shared" si="9"/>
        <v>4216.633333</v>
      </c>
      <c r="J141" s="19">
        <f t="shared" si="10"/>
        <v>4266.466667</v>
      </c>
      <c r="K141" s="19"/>
      <c r="L141" s="19">
        <f t="shared" si="11"/>
        <v>4136.866667</v>
      </c>
      <c r="M141" s="19">
        <f t="shared" si="12"/>
        <v>4346.233333</v>
      </c>
      <c r="N141" s="19">
        <f t="shared" si="13"/>
        <v>4087.033333</v>
      </c>
    </row>
    <row r="142" ht="24.75" customHeight="1">
      <c r="A142" s="21" t="s">
        <v>107</v>
      </c>
      <c r="B142" s="13">
        <f>IFERROR(__xludf.DUMMYFUNCTION("GOOGLEFINANCE(A142,""PRICE"")"),11830.0)</f>
        <v>11830</v>
      </c>
      <c r="C142" s="14">
        <f>IFERROR(__xludf.DUMMYFUNCTION("GOOGLEFINANCE(A142,""PRICEOPEN"")"),12039.0)</f>
        <v>12039</v>
      </c>
      <c r="D142" s="14">
        <f>IFERROR(__xludf.DUMMYFUNCTION("GOOGLEFINANCE(A142,""HIGH"")"),12039.0)</f>
        <v>12039</v>
      </c>
      <c r="E142" s="14">
        <f>IFERROR(__xludf.DUMMYFUNCTION("GOOGLEFINANCE(A142,""LOW"")"),11780.0)</f>
        <v>11780</v>
      </c>
      <c r="F142" s="15" t="str">
        <f t="shared" si="8"/>
        <v>SELL</v>
      </c>
      <c r="G142" s="16">
        <f>IFERROR(__xludf.DUMMYFUNCTION("GOOGLEFINANCE(A142,""CLOSEYEST"")"),11996.0)</f>
        <v>11996</v>
      </c>
      <c r="H142" s="17" t="str">
        <f t="shared" si="14"/>
        <v/>
      </c>
      <c r="I142" s="18">
        <f t="shared" si="9"/>
        <v>11938.33333</v>
      </c>
      <c r="J142" s="19">
        <f t="shared" si="10"/>
        <v>12096.66667</v>
      </c>
      <c r="K142" s="19"/>
      <c r="L142" s="19">
        <f t="shared" si="11"/>
        <v>11837.66667</v>
      </c>
      <c r="M142" s="19">
        <f t="shared" si="12"/>
        <v>12197.33333</v>
      </c>
      <c r="N142" s="19">
        <f t="shared" si="13"/>
        <v>11679.33333</v>
      </c>
    </row>
    <row r="143" ht="24.75" customHeight="1">
      <c r="A143" s="21" t="s">
        <v>108</v>
      </c>
      <c r="B143" s="13">
        <f>IFERROR(__xludf.DUMMYFUNCTION("GOOGLEFINANCE(A143,""PRICE"")"),92.6)</f>
        <v>92.6</v>
      </c>
      <c r="C143" s="14">
        <f>IFERROR(__xludf.DUMMYFUNCTION("GOOGLEFINANCE(A143,""PRICEOPEN"")"),92.4)</f>
        <v>92.4</v>
      </c>
      <c r="D143" s="14">
        <f>IFERROR(__xludf.DUMMYFUNCTION("GOOGLEFINANCE(A143,""HIGH"")"),93.54)</f>
        <v>93.54</v>
      </c>
      <c r="E143" s="14">
        <f>IFERROR(__xludf.DUMMYFUNCTION("GOOGLEFINANCE(A143,""LOW"")"),92.34)</f>
        <v>92.34</v>
      </c>
      <c r="F143" s="15" t="str">
        <f t="shared" si="8"/>
        <v/>
      </c>
      <c r="G143" s="16">
        <f>IFERROR(__xludf.DUMMYFUNCTION("GOOGLEFINANCE(A143,""CLOSEYEST"")"),92.35)</f>
        <v>92.35</v>
      </c>
      <c r="H143" s="17" t="str">
        <f t="shared" si="14"/>
        <v/>
      </c>
      <c r="I143" s="18">
        <f t="shared" si="9"/>
        <v>92.74333333</v>
      </c>
      <c r="J143" s="19">
        <f t="shared" si="10"/>
        <v>93.14666667</v>
      </c>
      <c r="K143" s="19"/>
      <c r="L143" s="19">
        <f t="shared" si="11"/>
        <v>91.94666667</v>
      </c>
      <c r="M143" s="19">
        <f t="shared" si="12"/>
        <v>93.94333333</v>
      </c>
      <c r="N143" s="19">
        <f t="shared" si="13"/>
        <v>91.54333333</v>
      </c>
    </row>
    <row r="144" ht="24.75" customHeight="1">
      <c r="A144" s="21" t="s">
        <v>109</v>
      </c>
      <c r="B144" s="13">
        <f>IFERROR(__xludf.DUMMYFUNCTION("GOOGLEFINANCE(A144,""PRICE"")"),2036.9)</f>
        <v>2036.9</v>
      </c>
      <c r="C144" s="14">
        <f>IFERROR(__xludf.DUMMYFUNCTION("GOOGLEFINANCE(A144,""PRICEOPEN"")"),2040.0)</f>
        <v>2040</v>
      </c>
      <c r="D144" s="14">
        <f>IFERROR(__xludf.DUMMYFUNCTION("GOOGLEFINANCE(A144,""HIGH"")"),2048.0)</f>
        <v>2048</v>
      </c>
      <c r="E144" s="14">
        <f>IFERROR(__xludf.DUMMYFUNCTION("GOOGLEFINANCE(A144,""LOW"")"),2018.5)</f>
        <v>2018.5</v>
      </c>
      <c r="F144" s="15" t="str">
        <f t="shared" si="8"/>
        <v/>
      </c>
      <c r="G144" s="16">
        <f>IFERROR(__xludf.DUMMYFUNCTION("GOOGLEFINANCE(A144,""CLOSEYEST"")"),2030.4)</f>
        <v>2030.4</v>
      </c>
      <c r="H144" s="17" t="str">
        <f t="shared" si="14"/>
        <v/>
      </c>
      <c r="I144" s="18">
        <f t="shared" si="9"/>
        <v>2032.3</v>
      </c>
      <c r="J144" s="19">
        <f t="shared" si="10"/>
        <v>2046.1</v>
      </c>
      <c r="K144" s="19"/>
      <c r="L144" s="19">
        <f t="shared" si="11"/>
        <v>2016.6</v>
      </c>
      <c r="M144" s="19">
        <f t="shared" si="12"/>
        <v>2061.8</v>
      </c>
      <c r="N144" s="19">
        <f t="shared" si="13"/>
        <v>2002.8</v>
      </c>
    </row>
    <row r="145" ht="24.75" customHeight="1">
      <c r="A145" s="21" t="s">
        <v>110</v>
      </c>
      <c r="B145" s="13">
        <f>IFERROR(__xludf.DUMMYFUNCTION("GOOGLEFINANCE(A145,""PRICE"")"),56.98)</f>
        <v>56.98</v>
      </c>
      <c r="C145" s="14">
        <f>IFERROR(__xludf.DUMMYFUNCTION("GOOGLEFINANCE(A145,""PRICEOPEN"")"),55.18)</f>
        <v>55.18</v>
      </c>
      <c r="D145" s="14">
        <f>IFERROR(__xludf.DUMMYFUNCTION("GOOGLEFINANCE(A145,""HIGH"")"),57.0)</f>
        <v>57</v>
      </c>
      <c r="E145" s="14">
        <f>IFERROR(__xludf.DUMMYFUNCTION("GOOGLEFINANCE(A145,""LOW"")"),55.12)</f>
        <v>55.12</v>
      </c>
      <c r="F145" s="15" t="str">
        <f t="shared" si="8"/>
        <v/>
      </c>
      <c r="G145" s="16">
        <f>IFERROR(__xludf.DUMMYFUNCTION("GOOGLEFINANCE(A145,""CLOSEYEST"")"),55.14)</f>
        <v>55.14</v>
      </c>
      <c r="H145" s="17" t="str">
        <f t="shared" si="14"/>
        <v/>
      </c>
      <c r="I145" s="18">
        <f t="shared" si="9"/>
        <v>55.75333333</v>
      </c>
      <c r="J145" s="19">
        <f t="shared" si="10"/>
        <v>56.38666667</v>
      </c>
      <c r="K145" s="19"/>
      <c r="L145" s="19">
        <f t="shared" si="11"/>
        <v>54.50666667</v>
      </c>
      <c r="M145" s="19">
        <f t="shared" si="12"/>
        <v>57.63333333</v>
      </c>
      <c r="N145" s="19">
        <f t="shared" si="13"/>
        <v>53.87333333</v>
      </c>
    </row>
    <row r="146" ht="24.75" customHeight="1">
      <c r="A146" s="21" t="s">
        <v>111</v>
      </c>
      <c r="B146" s="13">
        <f>IFERROR(__xludf.DUMMYFUNCTION("GOOGLEFINANCE(A146,""PRICE"")"),5595.0)</f>
        <v>5595</v>
      </c>
      <c r="C146" s="14">
        <f>IFERROR(__xludf.DUMMYFUNCTION("GOOGLEFINANCE(A146,""PRICEOPEN"")"),5584.0)</f>
        <v>5584</v>
      </c>
      <c r="D146" s="14">
        <f>IFERROR(__xludf.DUMMYFUNCTION("GOOGLEFINANCE(A146,""HIGH"")"),5633.5)</f>
        <v>5633.5</v>
      </c>
      <c r="E146" s="14">
        <f>IFERROR(__xludf.DUMMYFUNCTION("GOOGLEFINANCE(A146,""LOW"")"),5555.0)</f>
        <v>5555</v>
      </c>
      <c r="F146" s="15" t="str">
        <f t="shared" si="8"/>
        <v/>
      </c>
      <c r="G146" s="16">
        <f>IFERROR(__xludf.DUMMYFUNCTION("GOOGLEFINANCE(A146,""CLOSEYEST"")"),5555.5)</f>
        <v>5555.5</v>
      </c>
      <c r="H146" s="17" t="str">
        <f t="shared" si="14"/>
        <v/>
      </c>
      <c r="I146" s="18">
        <f t="shared" si="9"/>
        <v>5581.333333</v>
      </c>
      <c r="J146" s="19">
        <f t="shared" si="10"/>
        <v>5607.666667</v>
      </c>
      <c r="K146" s="19"/>
      <c r="L146" s="19">
        <f t="shared" si="11"/>
        <v>5529.166667</v>
      </c>
      <c r="M146" s="19">
        <f t="shared" si="12"/>
        <v>5659.833333</v>
      </c>
      <c r="N146" s="19">
        <f t="shared" si="13"/>
        <v>5502.833333</v>
      </c>
    </row>
    <row r="147" ht="24.75" customHeight="1">
      <c r="A147" s="21" t="s">
        <v>112</v>
      </c>
      <c r="B147" s="13">
        <f>IFERROR(__xludf.DUMMYFUNCTION("GOOGLEFINANCE(A147,""PRICE"")"),3513.9)</f>
        <v>3513.9</v>
      </c>
      <c r="C147" s="14">
        <f>IFERROR(__xludf.DUMMYFUNCTION("GOOGLEFINANCE(A147,""PRICEOPEN"")"),3552.0)</f>
        <v>3552</v>
      </c>
      <c r="D147" s="14">
        <f>IFERROR(__xludf.DUMMYFUNCTION("GOOGLEFINANCE(A147,""HIGH"")"),3566.9)</f>
        <v>3566.9</v>
      </c>
      <c r="E147" s="14">
        <f>IFERROR(__xludf.DUMMYFUNCTION("GOOGLEFINANCE(A147,""LOW"")"),3504.0)</f>
        <v>3504</v>
      </c>
      <c r="F147" s="15" t="str">
        <f t="shared" si="8"/>
        <v/>
      </c>
      <c r="G147" s="16">
        <f>IFERROR(__xludf.DUMMYFUNCTION("GOOGLEFINANCE(A147,""CLOSEYEST"")"),3567.1)</f>
        <v>3567.1</v>
      </c>
      <c r="H147" s="17" t="str">
        <f t="shared" si="14"/>
        <v/>
      </c>
      <c r="I147" s="18">
        <f t="shared" si="9"/>
        <v>3546</v>
      </c>
      <c r="J147" s="19">
        <f t="shared" si="10"/>
        <v>3588</v>
      </c>
      <c r="K147" s="19"/>
      <c r="L147" s="19">
        <f t="shared" si="11"/>
        <v>3525.1</v>
      </c>
      <c r="M147" s="19">
        <f t="shared" si="12"/>
        <v>3608.9</v>
      </c>
      <c r="N147" s="19">
        <f t="shared" si="13"/>
        <v>3483.1</v>
      </c>
    </row>
    <row r="148" ht="24.75" customHeight="1">
      <c r="A148" s="21" t="s">
        <v>113</v>
      </c>
      <c r="B148" s="13">
        <f>IFERROR(__xludf.DUMMYFUNCTION("GOOGLEFINANCE(A148,""PRICE"")"),14300.0)</f>
        <v>14300</v>
      </c>
      <c r="C148" s="14">
        <f>IFERROR(__xludf.DUMMYFUNCTION("GOOGLEFINANCE(A148,""PRICEOPEN"")"),14064.0)</f>
        <v>14064</v>
      </c>
      <c r="D148" s="14">
        <f>IFERROR(__xludf.DUMMYFUNCTION("GOOGLEFINANCE(A148,""HIGH"")"),14378.0)</f>
        <v>14378</v>
      </c>
      <c r="E148" s="14">
        <f>IFERROR(__xludf.DUMMYFUNCTION("GOOGLEFINANCE(A148,""LOW"")"),13940.0)</f>
        <v>13940</v>
      </c>
      <c r="F148" s="15" t="str">
        <f t="shared" si="8"/>
        <v/>
      </c>
      <c r="G148" s="16">
        <f>IFERROR(__xludf.DUMMYFUNCTION("GOOGLEFINANCE(A148,""CLOSEYEST"")"),14114.0)</f>
        <v>14114</v>
      </c>
      <c r="H148" s="17" t="str">
        <f t="shared" si="14"/>
        <v/>
      </c>
      <c r="I148" s="18">
        <f t="shared" si="9"/>
        <v>14144</v>
      </c>
      <c r="J148" s="19">
        <f t="shared" si="10"/>
        <v>14348</v>
      </c>
      <c r="K148" s="19"/>
      <c r="L148" s="19">
        <f t="shared" si="11"/>
        <v>13910</v>
      </c>
      <c r="M148" s="19">
        <f t="shared" si="12"/>
        <v>14582</v>
      </c>
      <c r="N148" s="19">
        <f t="shared" si="13"/>
        <v>13706</v>
      </c>
    </row>
    <row r="149" ht="24.75" customHeight="1">
      <c r="A149" s="21" t="s">
        <v>114</v>
      </c>
      <c r="B149" s="13">
        <f>IFERROR(__xludf.DUMMYFUNCTION("GOOGLEFINANCE(A149,""PRICE"")"),628.05)</f>
        <v>628.05</v>
      </c>
      <c r="C149" s="14">
        <f>IFERROR(__xludf.DUMMYFUNCTION("GOOGLEFINANCE(A149,""PRICEOPEN"")"),619.6)</f>
        <v>619.6</v>
      </c>
      <c r="D149" s="14">
        <f>IFERROR(__xludf.DUMMYFUNCTION("GOOGLEFINANCE(A149,""HIGH"")"),630.0)</f>
        <v>630</v>
      </c>
      <c r="E149" s="14">
        <f>IFERROR(__xludf.DUMMYFUNCTION("GOOGLEFINANCE(A149,""LOW"")"),619.4)</f>
        <v>619.4</v>
      </c>
      <c r="F149" s="15" t="str">
        <f t="shared" si="8"/>
        <v/>
      </c>
      <c r="G149" s="16">
        <f>IFERROR(__xludf.DUMMYFUNCTION("GOOGLEFINANCE(A149,""CLOSEYEST"")"),619.4)</f>
        <v>619.4</v>
      </c>
      <c r="H149" s="17" t="str">
        <f t="shared" si="14"/>
        <v/>
      </c>
      <c r="I149" s="18">
        <f t="shared" si="9"/>
        <v>622.9333333</v>
      </c>
      <c r="J149" s="19">
        <f t="shared" si="10"/>
        <v>626.4666667</v>
      </c>
      <c r="K149" s="19"/>
      <c r="L149" s="19">
        <f t="shared" si="11"/>
        <v>615.8666667</v>
      </c>
      <c r="M149" s="19">
        <f t="shared" si="12"/>
        <v>633.5333333</v>
      </c>
      <c r="N149" s="19">
        <f t="shared" si="13"/>
        <v>612.3333333</v>
      </c>
    </row>
    <row r="150" ht="24.75" customHeight="1">
      <c r="A150" s="21" t="s">
        <v>35</v>
      </c>
      <c r="B150" s="13">
        <f>IFERROR(__xludf.DUMMYFUNCTION("GOOGLEFINANCE(A150,""PRICE"")"),5545.5)</f>
        <v>5545.5</v>
      </c>
      <c r="C150" s="14">
        <f>IFERROR(__xludf.DUMMYFUNCTION("GOOGLEFINANCE(A150,""PRICEOPEN"")"),5465.0)</f>
        <v>5465</v>
      </c>
      <c r="D150" s="14">
        <f>IFERROR(__xludf.DUMMYFUNCTION("GOOGLEFINANCE(A150,""HIGH"")"),5584.0)</f>
        <v>5584</v>
      </c>
      <c r="E150" s="14">
        <f>IFERROR(__xludf.DUMMYFUNCTION("GOOGLEFINANCE(A150,""LOW"")"),5370.5)</f>
        <v>5370.5</v>
      </c>
      <c r="F150" s="15" t="str">
        <f t="shared" si="8"/>
        <v/>
      </c>
      <c r="G150" s="16">
        <f>IFERROR(__xludf.DUMMYFUNCTION("GOOGLEFINANCE(A150,""CLOSEYEST"")"),5432.5)</f>
        <v>5432.5</v>
      </c>
      <c r="H150" s="17" t="str">
        <f t="shared" si="14"/>
        <v/>
      </c>
      <c r="I150" s="18">
        <f t="shared" si="9"/>
        <v>5462.333333</v>
      </c>
      <c r="J150" s="19">
        <f t="shared" si="10"/>
        <v>5554.166667</v>
      </c>
      <c r="K150" s="19"/>
      <c r="L150" s="19">
        <f t="shared" si="11"/>
        <v>5340.666667</v>
      </c>
      <c r="M150" s="19">
        <f t="shared" si="12"/>
        <v>5675.833333</v>
      </c>
      <c r="N150" s="19">
        <f t="shared" si="13"/>
        <v>5248.833333</v>
      </c>
    </row>
    <row r="151" ht="24.75" customHeight="1">
      <c r="A151" s="21" t="s">
        <v>115</v>
      </c>
      <c r="B151" s="13">
        <f>IFERROR(__xludf.DUMMYFUNCTION("GOOGLEFINANCE(A151,""PRICE"")"),540.9)</f>
        <v>540.9</v>
      </c>
      <c r="C151" s="14">
        <f>IFERROR(__xludf.DUMMYFUNCTION("GOOGLEFINANCE(A151,""PRICEOPEN"")"),537.0)</f>
        <v>537</v>
      </c>
      <c r="D151" s="14">
        <f>IFERROR(__xludf.DUMMYFUNCTION("GOOGLEFINANCE(A151,""HIGH"")"),542.35)</f>
        <v>542.35</v>
      </c>
      <c r="E151" s="14">
        <f>IFERROR(__xludf.DUMMYFUNCTION("GOOGLEFINANCE(A151,""LOW"")"),532.05)</f>
        <v>532.05</v>
      </c>
      <c r="F151" s="15" t="str">
        <f t="shared" si="8"/>
        <v/>
      </c>
      <c r="G151" s="16">
        <f>IFERROR(__xludf.DUMMYFUNCTION("GOOGLEFINANCE(A151,""CLOSEYEST"")"),536.45)</f>
        <v>536.45</v>
      </c>
      <c r="H151" s="17" t="str">
        <f t="shared" si="14"/>
        <v/>
      </c>
      <c r="I151" s="18">
        <f t="shared" si="9"/>
        <v>536.95</v>
      </c>
      <c r="J151" s="19">
        <f t="shared" si="10"/>
        <v>541.85</v>
      </c>
      <c r="K151" s="19"/>
      <c r="L151" s="19">
        <f t="shared" si="11"/>
        <v>531.55</v>
      </c>
      <c r="M151" s="19">
        <f t="shared" si="12"/>
        <v>547.25</v>
      </c>
      <c r="N151" s="19">
        <f t="shared" si="13"/>
        <v>526.65</v>
      </c>
    </row>
    <row r="152" ht="24.75" customHeight="1">
      <c r="A152" s="21" t="s">
        <v>116</v>
      </c>
      <c r="B152" s="13">
        <f>IFERROR(__xludf.DUMMYFUNCTION("GOOGLEFINANCE(A152,""PRICE"")"),38555.0)</f>
        <v>38555</v>
      </c>
      <c r="C152" s="14">
        <f>IFERROR(__xludf.DUMMYFUNCTION("GOOGLEFINANCE(A152,""PRICEOPEN"")"),38320.0)</f>
        <v>38320</v>
      </c>
      <c r="D152" s="14">
        <f>IFERROR(__xludf.DUMMYFUNCTION("GOOGLEFINANCE(A152,""HIGH"")"),38705.0)</f>
        <v>38705</v>
      </c>
      <c r="E152" s="14">
        <f>IFERROR(__xludf.DUMMYFUNCTION("GOOGLEFINANCE(A152,""LOW"")"),38010.0)</f>
        <v>38010</v>
      </c>
      <c r="F152" s="15" t="str">
        <f t="shared" si="8"/>
        <v/>
      </c>
      <c r="G152" s="16">
        <f>IFERROR(__xludf.DUMMYFUNCTION("GOOGLEFINANCE(A152,""CLOSEYEST"")"),38320.0)</f>
        <v>38320</v>
      </c>
      <c r="H152" s="17" t="str">
        <f t="shared" si="14"/>
        <v/>
      </c>
      <c r="I152" s="18">
        <f t="shared" si="9"/>
        <v>38345</v>
      </c>
      <c r="J152" s="19">
        <f t="shared" si="10"/>
        <v>38680</v>
      </c>
      <c r="K152" s="19"/>
      <c r="L152" s="19">
        <f t="shared" si="11"/>
        <v>37985</v>
      </c>
      <c r="M152" s="19">
        <f t="shared" si="12"/>
        <v>39040</v>
      </c>
      <c r="N152" s="19">
        <f t="shared" si="13"/>
        <v>37650</v>
      </c>
    </row>
    <row r="153" ht="24.75" customHeight="1">
      <c r="A153" s="21" t="s">
        <v>117</v>
      </c>
      <c r="B153" s="13">
        <f>IFERROR(__xludf.DUMMYFUNCTION("GOOGLEFINANCE(A153,""PRICE"")"),0.02)</f>
        <v>0.02</v>
      </c>
      <c r="C153" s="14">
        <f>IFERROR(__xludf.DUMMYFUNCTION("GOOGLEFINANCE(A153,""PRICEOPEN"")"),0.02)</f>
        <v>0.02</v>
      </c>
      <c r="D153" s="14">
        <f>IFERROR(__xludf.DUMMYFUNCTION("GOOGLEFINANCE(A153,""HIGH"")"),0.02)</f>
        <v>0.02</v>
      </c>
      <c r="E153" s="14">
        <f>IFERROR(__xludf.DUMMYFUNCTION("GOOGLEFINANCE(A153,""LOW"")"),0.02)</f>
        <v>0.02</v>
      </c>
      <c r="F153" s="15" t="str">
        <f t="shared" si="8"/>
        <v>SELL</v>
      </c>
      <c r="G153" s="16">
        <f>IFERROR(__xludf.DUMMYFUNCTION("GOOGLEFINANCE(A153,""CLOSEYEST"")"),0.02)</f>
        <v>0.02</v>
      </c>
      <c r="H153" s="17" t="str">
        <f t="shared" si="14"/>
        <v/>
      </c>
      <c r="I153" s="18">
        <f t="shared" si="9"/>
        <v>0.02</v>
      </c>
      <c r="J153" s="19">
        <f t="shared" si="10"/>
        <v>0.02</v>
      </c>
      <c r="K153" s="19"/>
      <c r="L153" s="19">
        <f t="shared" si="11"/>
        <v>0.02</v>
      </c>
      <c r="M153" s="19">
        <f t="shared" si="12"/>
        <v>0.02</v>
      </c>
      <c r="N153" s="19">
        <f t="shared" si="13"/>
        <v>0.02</v>
      </c>
    </row>
    <row r="154" ht="24.75" customHeight="1">
      <c r="A154" s="21" t="s">
        <v>118</v>
      </c>
      <c r="B154" s="13">
        <f>IFERROR(__xludf.DUMMYFUNCTION("GOOGLEFINANCE(A154,""PRICE"")"),1385.1)</f>
        <v>1385.1</v>
      </c>
      <c r="C154" s="14">
        <f>IFERROR(__xludf.DUMMYFUNCTION("GOOGLEFINANCE(A154,""PRICEOPEN"")"),1376.4)</f>
        <v>1376.4</v>
      </c>
      <c r="D154" s="14">
        <f>IFERROR(__xludf.DUMMYFUNCTION("GOOGLEFINANCE(A154,""HIGH"")"),1387.1)</f>
        <v>1387.1</v>
      </c>
      <c r="E154" s="14">
        <f>IFERROR(__xludf.DUMMYFUNCTION("GOOGLEFINANCE(A154,""LOW"")"),1360.8)</f>
        <v>1360.8</v>
      </c>
      <c r="F154" s="15" t="str">
        <f t="shared" si="8"/>
        <v/>
      </c>
      <c r="G154" s="16">
        <f>IFERROR(__xludf.DUMMYFUNCTION("GOOGLEFINANCE(A154,""CLOSEYEST"")"),1376.4)</f>
        <v>1376.4</v>
      </c>
      <c r="H154" s="17" t="str">
        <f t="shared" si="14"/>
        <v/>
      </c>
      <c r="I154" s="18">
        <f t="shared" si="9"/>
        <v>1374.766667</v>
      </c>
      <c r="J154" s="19">
        <f t="shared" si="10"/>
        <v>1388.733333</v>
      </c>
      <c r="K154" s="19"/>
      <c r="L154" s="19">
        <f t="shared" si="11"/>
        <v>1362.433333</v>
      </c>
      <c r="M154" s="19">
        <f t="shared" si="12"/>
        <v>1401.066667</v>
      </c>
      <c r="N154" s="19">
        <f t="shared" si="13"/>
        <v>1348.466667</v>
      </c>
    </row>
    <row r="155" ht="24.75" customHeight="1">
      <c r="A155" s="21" t="s">
        <v>119</v>
      </c>
      <c r="B155" s="13">
        <f>IFERROR(__xludf.DUMMYFUNCTION("GOOGLEFINANCE(A155,""PRICE"")"),5.87)</f>
        <v>5.87</v>
      </c>
      <c r="C155" s="14">
        <f>IFERROR(__xludf.DUMMYFUNCTION("GOOGLEFINANCE(A155,""PRICEOPEN"")"),5.8)</f>
        <v>5.8</v>
      </c>
      <c r="D155" s="14">
        <f>IFERROR(__xludf.DUMMYFUNCTION("GOOGLEFINANCE(A155,""HIGH"")"),5.87)</f>
        <v>5.87</v>
      </c>
      <c r="E155" s="14">
        <f>IFERROR(__xludf.DUMMYFUNCTION("GOOGLEFINANCE(A155,""LOW"")"),5.78)</f>
        <v>5.78</v>
      </c>
      <c r="F155" s="15" t="str">
        <f t="shared" si="8"/>
        <v/>
      </c>
      <c r="G155" s="16">
        <f>IFERROR(__xludf.DUMMYFUNCTION("GOOGLEFINANCE(A155,""CLOSEYEST"")"),5.81)</f>
        <v>5.81</v>
      </c>
      <c r="H155" s="17" t="str">
        <f t="shared" si="14"/>
        <v/>
      </c>
      <c r="I155" s="18">
        <f t="shared" si="9"/>
        <v>5.82</v>
      </c>
      <c r="J155" s="19">
        <f t="shared" si="10"/>
        <v>5.86</v>
      </c>
      <c r="K155" s="19"/>
      <c r="L155" s="19">
        <f t="shared" si="11"/>
        <v>5.77</v>
      </c>
      <c r="M155" s="19">
        <f t="shared" si="12"/>
        <v>5.91</v>
      </c>
      <c r="N155" s="19">
        <f t="shared" si="13"/>
        <v>5.73</v>
      </c>
    </row>
    <row r="156" ht="24.75" customHeight="1">
      <c r="A156" s="21" t="s">
        <v>120</v>
      </c>
      <c r="B156" s="13">
        <f>IFERROR(__xludf.DUMMYFUNCTION("GOOGLEFINANCE(A156,""PRICE"")"),435.6)</f>
        <v>435.6</v>
      </c>
      <c r="C156" s="14">
        <f>IFERROR(__xludf.DUMMYFUNCTION("GOOGLEFINANCE(A156,""PRICEOPEN"")"),435.1)</f>
        <v>435.1</v>
      </c>
      <c r="D156" s="14">
        <f>IFERROR(__xludf.DUMMYFUNCTION("GOOGLEFINANCE(A156,""HIGH"")"),437.8)</f>
        <v>437.8</v>
      </c>
      <c r="E156" s="14">
        <f>IFERROR(__xludf.DUMMYFUNCTION("GOOGLEFINANCE(A156,""LOW"")"),430.7)</f>
        <v>430.7</v>
      </c>
      <c r="F156" s="15" t="str">
        <f t="shared" si="8"/>
        <v/>
      </c>
      <c r="G156" s="16">
        <f>IFERROR(__xludf.DUMMYFUNCTION("GOOGLEFINANCE(A156,""CLOSEYEST"")"),435.1)</f>
        <v>435.1</v>
      </c>
      <c r="H156" s="17" t="str">
        <f t="shared" si="14"/>
        <v/>
      </c>
      <c r="I156" s="18">
        <f t="shared" si="9"/>
        <v>434.5333333</v>
      </c>
      <c r="J156" s="19">
        <f t="shared" si="10"/>
        <v>438.3666667</v>
      </c>
      <c r="K156" s="19"/>
      <c r="L156" s="19">
        <f t="shared" si="11"/>
        <v>431.2666667</v>
      </c>
      <c r="M156" s="19">
        <f t="shared" si="12"/>
        <v>441.6333333</v>
      </c>
      <c r="N156" s="19">
        <f t="shared" si="13"/>
        <v>427.4333333</v>
      </c>
    </row>
    <row r="157" ht="24.75" customHeight="1">
      <c r="A157" s="21" t="s">
        <v>121</v>
      </c>
      <c r="B157" s="13">
        <f>IFERROR(__xludf.DUMMYFUNCTION("GOOGLEFINANCE(A157,""PRICE"")"),1572.0)</f>
        <v>1572</v>
      </c>
      <c r="C157" s="14">
        <f>IFERROR(__xludf.DUMMYFUNCTION("GOOGLEFINANCE(A157,""PRICEOPEN"")"),1607.8)</f>
        <v>1607.8</v>
      </c>
      <c r="D157" s="14">
        <f>IFERROR(__xludf.DUMMYFUNCTION("GOOGLEFINANCE(A157,""HIGH"")"),1607.8)</f>
        <v>1607.8</v>
      </c>
      <c r="E157" s="14">
        <f>IFERROR(__xludf.DUMMYFUNCTION("GOOGLEFINANCE(A157,""LOW"")"),1557.8)</f>
        <v>1557.8</v>
      </c>
      <c r="F157" s="15" t="str">
        <f t="shared" si="8"/>
        <v>SELL</v>
      </c>
      <c r="G157" s="16">
        <f>IFERROR(__xludf.DUMMYFUNCTION("GOOGLEFINANCE(A157,""CLOSEYEST"")"),1605.3)</f>
        <v>1605.3</v>
      </c>
      <c r="H157" s="17" t="str">
        <f t="shared" si="14"/>
        <v/>
      </c>
      <c r="I157" s="18">
        <f t="shared" si="9"/>
        <v>1590.3</v>
      </c>
      <c r="J157" s="19">
        <f t="shared" si="10"/>
        <v>1622.8</v>
      </c>
      <c r="K157" s="19"/>
      <c r="L157" s="19">
        <f t="shared" si="11"/>
        <v>1572.8</v>
      </c>
      <c r="M157" s="19">
        <f t="shared" si="12"/>
        <v>1640.3</v>
      </c>
      <c r="N157" s="19">
        <f t="shared" si="13"/>
        <v>1540.3</v>
      </c>
    </row>
    <row r="158" ht="24.75" customHeight="1">
      <c r="A158" s="21" t="s">
        <v>122</v>
      </c>
      <c r="B158" s="13">
        <f>IFERROR(__xludf.DUMMYFUNCTION("GOOGLEFINANCE(A158,""PRICE"")"),42945.0)</f>
        <v>42945</v>
      </c>
      <c r="C158" s="14">
        <f>IFERROR(__xludf.DUMMYFUNCTION("GOOGLEFINANCE(A158,""PRICEOPEN"")"),42110.0)</f>
        <v>42110</v>
      </c>
      <c r="D158" s="14">
        <f>IFERROR(__xludf.DUMMYFUNCTION("GOOGLEFINANCE(A158,""HIGH"")"),43135.0)</f>
        <v>43135</v>
      </c>
      <c r="E158" s="14">
        <f>IFERROR(__xludf.DUMMYFUNCTION("GOOGLEFINANCE(A158,""LOW"")"),41645.0)</f>
        <v>41645</v>
      </c>
      <c r="F158" s="15" t="str">
        <f t="shared" si="8"/>
        <v/>
      </c>
      <c r="G158" s="16">
        <f>IFERROR(__xludf.DUMMYFUNCTION("GOOGLEFINANCE(A158,""CLOSEYEST"")"),42110.0)</f>
        <v>42110</v>
      </c>
      <c r="H158" s="17" t="str">
        <f t="shared" si="14"/>
        <v/>
      </c>
      <c r="I158" s="18">
        <f t="shared" si="9"/>
        <v>42296.66667</v>
      </c>
      <c r="J158" s="19">
        <f t="shared" si="10"/>
        <v>42948.33333</v>
      </c>
      <c r="K158" s="19"/>
      <c r="L158" s="19">
        <f t="shared" si="11"/>
        <v>41458.33333</v>
      </c>
      <c r="M158" s="19">
        <f t="shared" si="12"/>
        <v>43786.66667</v>
      </c>
      <c r="N158" s="19">
        <f t="shared" si="13"/>
        <v>40806.66667</v>
      </c>
    </row>
    <row r="159" ht="24.75" customHeight="1">
      <c r="A159" s="21" t="s">
        <v>123</v>
      </c>
      <c r="B159" s="13">
        <f>IFERROR(__xludf.DUMMYFUNCTION("GOOGLEFINANCE(A159,""PRICE"")"),263.8)</f>
        <v>263.8</v>
      </c>
      <c r="C159" s="14">
        <f>IFERROR(__xludf.DUMMYFUNCTION("GOOGLEFINANCE(A159,""PRICEOPEN"")"),260.1)</f>
        <v>260.1</v>
      </c>
      <c r="D159" s="14">
        <f>IFERROR(__xludf.DUMMYFUNCTION("GOOGLEFINANCE(A159,""HIGH"")"),265.35)</f>
        <v>265.35</v>
      </c>
      <c r="E159" s="14">
        <f>IFERROR(__xludf.DUMMYFUNCTION("GOOGLEFINANCE(A159,""LOW"")"),257.8)</f>
        <v>257.8</v>
      </c>
      <c r="F159" s="15" t="str">
        <f t="shared" si="8"/>
        <v/>
      </c>
      <c r="G159" s="16">
        <f>IFERROR(__xludf.DUMMYFUNCTION("GOOGLEFINANCE(A159,""CLOSEYEST"")"),259.6)</f>
        <v>259.6</v>
      </c>
      <c r="H159" s="17" t="str">
        <f t="shared" si="14"/>
        <v/>
      </c>
      <c r="I159" s="18">
        <f t="shared" si="9"/>
        <v>260.9166667</v>
      </c>
      <c r="J159" s="19">
        <f t="shared" si="10"/>
        <v>264.0333333</v>
      </c>
      <c r="K159" s="19"/>
      <c r="L159" s="19">
        <f t="shared" si="11"/>
        <v>256.4833333</v>
      </c>
      <c r="M159" s="19">
        <f t="shared" si="12"/>
        <v>268.4666667</v>
      </c>
      <c r="N159" s="19">
        <f t="shared" si="13"/>
        <v>253.3666667</v>
      </c>
    </row>
    <row r="160" ht="24.75" customHeight="1">
      <c r="A160" s="21" t="s">
        <v>124</v>
      </c>
      <c r="B160" s="13">
        <f>IFERROR(__xludf.DUMMYFUNCTION("GOOGLEFINANCE(A160,""PRICE"")"),2304.6)</f>
        <v>2304.6</v>
      </c>
      <c r="C160" s="14">
        <f>IFERROR(__xludf.DUMMYFUNCTION("GOOGLEFINANCE(A160,""PRICEOPEN"")"),2315.0)</f>
        <v>2315</v>
      </c>
      <c r="D160" s="14">
        <f>IFERROR(__xludf.DUMMYFUNCTION("GOOGLEFINANCE(A160,""HIGH"")"),2317.0)</f>
        <v>2317</v>
      </c>
      <c r="E160" s="14">
        <f>IFERROR(__xludf.DUMMYFUNCTION("GOOGLEFINANCE(A160,""LOW"")"),2295.0)</f>
        <v>2295</v>
      </c>
      <c r="F160" s="15" t="str">
        <f t="shared" si="8"/>
        <v/>
      </c>
      <c r="G160" s="16">
        <f>IFERROR(__xludf.DUMMYFUNCTION("GOOGLEFINANCE(A160,""CLOSEYEST"")"),2305.6)</f>
        <v>2305.6</v>
      </c>
      <c r="H160" s="17" t="str">
        <f t="shared" si="14"/>
        <v/>
      </c>
      <c r="I160" s="18">
        <f t="shared" si="9"/>
        <v>2305.866667</v>
      </c>
      <c r="J160" s="19">
        <f t="shared" si="10"/>
        <v>2316.733333</v>
      </c>
      <c r="K160" s="19"/>
      <c r="L160" s="19">
        <f t="shared" si="11"/>
        <v>2294.733333</v>
      </c>
      <c r="M160" s="19">
        <f t="shared" si="12"/>
        <v>2327.866667</v>
      </c>
      <c r="N160" s="19">
        <f t="shared" si="13"/>
        <v>2283.866667</v>
      </c>
    </row>
    <row r="161" ht="24.75" customHeight="1">
      <c r="A161" s="21" t="s">
        <v>125</v>
      </c>
      <c r="B161" s="13" t="str">
        <f>IFERROR(__xludf.DUMMYFUNCTION("GOOGLEFINANCE(A161,""PRICE"")"),"#N/A")</f>
        <v>#N/A</v>
      </c>
      <c r="C161" s="14" t="str">
        <f>IFERROR(__xludf.DUMMYFUNCTION("GOOGLEFINANCE(A161,""PRICEOPEN"")"),"#N/A")</f>
        <v>#N/A</v>
      </c>
      <c r="D161" s="14" t="str">
        <f>IFERROR(__xludf.DUMMYFUNCTION("GOOGLEFINANCE(A161,""HIGH"")"),"#N/A")</f>
        <v>#N/A</v>
      </c>
      <c r="E161" s="14" t="str">
        <f>IFERROR(__xludf.DUMMYFUNCTION("GOOGLEFINANCE(A161,""LOW"")"),"#N/A")</f>
        <v>#N/A</v>
      </c>
      <c r="F161" s="15" t="str">
        <f t="shared" si="8"/>
        <v>#N/A</v>
      </c>
      <c r="G161" s="16" t="str">
        <f>IFERROR(__xludf.DUMMYFUNCTION("GOOGLEFINANCE(A161,""CLOSEYEST"")"),"#N/A")</f>
        <v>#N/A</v>
      </c>
      <c r="H161" s="17" t="str">
        <f t="shared" si="14"/>
        <v>#N/A</v>
      </c>
      <c r="I161" s="18" t="str">
        <f t="shared" si="9"/>
        <v>#N/A</v>
      </c>
      <c r="J161" s="19" t="str">
        <f t="shared" si="10"/>
        <v>#N/A</v>
      </c>
      <c r="K161" s="19"/>
      <c r="L161" s="19" t="str">
        <f t="shared" si="11"/>
        <v>#N/A</v>
      </c>
      <c r="M161" s="19" t="str">
        <f t="shared" si="12"/>
        <v>#N/A</v>
      </c>
      <c r="N161" s="19" t="str">
        <f t="shared" si="13"/>
        <v>#N/A</v>
      </c>
    </row>
    <row r="162" ht="24.75" customHeight="1">
      <c r="A162" s="21" t="s">
        <v>126</v>
      </c>
      <c r="B162" s="13">
        <f>IFERROR(__xludf.DUMMYFUNCTION("GOOGLEFINANCE(A162,""PRICE"")"),165.8)</f>
        <v>165.8</v>
      </c>
      <c r="C162" s="14">
        <f>IFERROR(__xludf.DUMMYFUNCTION("GOOGLEFINANCE(A162,""PRICEOPEN"")"),163.54)</f>
        <v>163.54</v>
      </c>
      <c r="D162" s="14">
        <f>IFERROR(__xludf.DUMMYFUNCTION("GOOGLEFINANCE(A162,""HIGH"")"),166.41)</f>
        <v>166.41</v>
      </c>
      <c r="E162" s="14">
        <f>IFERROR(__xludf.DUMMYFUNCTION("GOOGLEFINANCE(A162,""LOW"")"),163.0)</f>
        <v>163</v>
      </c>
      <c r="F162" s="15" t="str">
        <f t="shared" si="8"/>
        <v/>
      </c>
      <c r="G162" s="16">
        <f>IFERROR(__xludf.DUMMYFUNCTION("GOOGLEFINANCE(A162,""CLOSEYEST"")"),163.54)</f>
        <v>163.54</v>
      </c>
      <c r="H162" s="17" t="str">
        <f t="shared" si="14"/>
        <v/>
      </c>
      <c r="I162" s="18">
        <f t="shared" si="9"/>
        <v>164.3166667</v>
      </c>
      <c r="J162" s="19">
        <f t="shared" si="10"/>
        <v>165.6333333</v>
      </c>
      <c r="K162" s="19"/>
      <c r="L162" s="19">
        <f t="shared" si="11"/>
        <v>162.2233333</v>
      </c>
      <c r="M162" s="19">
        <f t="shared" si="12"/>
        <v>167.7266667</v>
      </c>
      <c r="N162" s="19">
        <f t="shared" si="13"/>
        <v>160.9066667</v>
      </c>
    </row>
    <row r="163" ht="24.75" customHeight="1">
      <c r="A163" s="21" t="s">
        <v>127</v>
      </c>
      <c r="B163" s="13">
        <f>IFERROR(__xludf.DUMMYFUNCTION("GOOGLEFINANCE(A163,""PRICE"")"),445.2)</f>
        <v>445.2</v>
      </c>
      <c r="C163" s="14">
        <f>IFERROR(__xludf.DUMMYFUNCTION("GOOGLEFINANCE(A163,""PRICEOPEN"")"),439.0)</f>
        <v>439</v>
      </c>
      <c r="D163" s="14">
        <f>IFERROR(__xludf.DUMMYFUNCTION("GOOGLEFINANCE(A163,""HIGH"")"),447.0)</f>
        <v>447</v>
      </c>
      <c r="E163" s="14">
        <f>IFERROR(__xludf.DUMMYFUNCTION("GOOGLEFINANCE(A163,""LOW"")"),431.8)</f>
        <v>431.8</v>
      </c>
      <c r="F163" s="15" t="str">
        <f t="shared" si="8"/>
        <v/>
      </c>
      <c r="G163" s="16">
        <f>IFERROR(__xludf.DUMMYFUNCTION("GOOGLEFINANCE(A163,""CLOSEYEST"")"),434.4)</f>
        <v>434.4</v>
      </c>
      <c r="H163" s="17" t="str">
        <f t="shared" si="14"/>
        <v>GAP UP</v>
      </c>
      <c r="I163" s="18">
        <f t="shared" si="9"/>
        <v>437.7333333</v>
      </c>
      <c r="J163" s="19">
        <f t="shared" si="10"/>
        <v>443.6666667</v>
      </c>
      <c r="K163" s="19"/>
      <c r="L163" s="19">
        <f t="shared" si="11"/>
        <v>428.4666667</v>
      </c>
      <c r="M163" s="19">
        <f t="shared" si="12"/>
        <v>452.9333333</v>
      </c>
      <c r="N163" s="19">
        <f t="shared" si="13"/>
        <v>422.5333333</v>
      </c>
    </row>
    <row r="164" ht="24.75" customHeight="1">
      <c r="A164" s="21" t="s">
        <v>128</v>
      </c>
      <c r="B164" s="13">
        <f>IFERROR(__xludf.DUMMYFUNCTION("GOOGLEFINANCE(A164,""PRICE"")"),147.48)</f>
        <v>147.48</v>
      </c>
      <c r="C164" s="14">
        <f>IFERROR(__xludf.DUMMYFUNCTION("GOOGLEFINANCE(A164,""PRICEOPEN"")"),152.9)</f>
        <v>152.9</v>
      </c>
      <c r="D164" s="14">
        <f>IFERROR(__xludf.DUMMYFUNCTION("GOOGLEFINANCE(A164,""HIGH"")"),153.0)</f>
        <v>153</v>
      </c>
      <c r="E164" s="14">
        <f>IFERROR(__xludf.DUMMYFUNCTION("GOOGLEFINANCE(A164,""LOW"")"),143.15)</f>
        <v>143.15</v>
      </c>
      <c r="F164" s="15" t="str">
        <f t="shared" si="8"/>
        <v/>
      </c>
      <c r="G164" s="16">
        <f>IFERROR(__xludf.DUMMYFUNCTION("GOOGLEFINANCE(A164,""CLOSEYEST"")"),152.51)</f>
        <v>152.51</v>
      </c>
      <c r="H164" s="17" t="str">
        <f t="shared" si="14"/>
        <v/>
      </c>
      <c r="I164" s="18">
        <f t="shared" si="9"/>
        <v>149.5533333</v>
      </c>
      <c r="J164" s="19">
        <f t="shared" si="10"/>
        <v>155.9566667</v>
      </c>
      <c r="K164" s="19"/>
      <c r="L164" s="19">
        <f t="shared" si="11"/>
        <v>146.1066667</v>
      </c>
      <c r="M164" s="19">
        <f t="shared" si="12"/>
        <v>159.4033333</v>
      </c>
      <c r="N164" s="19">
        <f t="shared" si="13"/>
        <v>139.7033333</v>
      </c>
    </row>
    <row r="165" ht="24.75" customHeight="1">
      <c r="A165" s="21" t="s">
        <v>129</v>
      </c>
      <c r="B165" s="13">
        <f>IFERROR(__xludf.DUMMYFUNCTION("GOOGLEFINANCE(A165,""PRICE"")"),114.3)</f>
        <v>114.3</v>
      </c>
      <c r="C165" s="14">
        <f>IFERROR(__xludf.DUMMYFUNCTION("GOOGLEFINANCE(A165,""PRICEOPEN"")"),112.65)</f>
        <v>112.65</v>
      </c>
      <c r="D165" s="14">
        <f>IFERROR(__xludf.DUMMYFUNCTION("GOOGLEFINANCE(A165,""HIGH"")"),114.85)</f>
        <v>114.85</v>
      </c>
      <c r="E165" s="14">
        <f>IFERROR(__xludf.DUMMYFUNCTION("GOOGLEFINANCE(A165,""LOW"")"),112.44)</f>
        <v>112.44</v>
      </c>
      <c r="F165" s="15" t="str">
        <f t="shared" si="8"/>
        <v/>
      </c>
      <c r="G165" s="16">
        <f>IFERROR(__xludf.DUMMYFUNCTION("GOOGLEFINANCE(A165,""CLOSEYEST"")"),112.55)</f>
        <v>112.55</v>
      </c>
      <c r="H165" s="17" t="str">
        <f t="shared" si="14"/>
        <v/>
      </c>
      <c r="I165" s="18">
        <f t="shared" si="9"/>
        <v>113.28</v>
      </c>
      <c r="J165" s="19">
        <f t="shared" si="10"/>
        <v>114.12</v>
      </c>
      <c r="K165" s="19"/>
      <c r="L165" s="19">
        <f t="shared" si="11"/>
        <v>111.71</v>
      </c>
      <c r="M165" s="19">
        <f t="shared" si="12"/>
        <v>115.69</v>
      </c>
      <c r="N165" s="19">
        <f t="shared" si="13"/>
        <v>110.87</v>
      </c>
    </row>
    <row r="166" ht="24.75" customHeight="1">
      <c r="A166" s="21" t="s">
        <v>130</v>
      </c>
      <c r="B166" s="13">
        <f>IFERROR(__xludf.DUMMYFUNCTION("GOOGLEFINANCE(A166,""PRICE"")"),5425.0)</f>
        <v>5425</v>
      </c>
      <c r="C166" s="14">
        <f>IFERROR(__xludf.DUMMYFUNCTION("GOOGLEFINANCE(A166,""PRICEOPEN"")"),5519.0)</f>
        <v>5519</v>
      </c>
      <c r="D166" s="14">
        <f>IFERROR(__xludf.DUMMYFUNCTION("GOOGLEFINANCE(A166,""HIGH"")"),5519.0)</f>
        <v>5519</v>
      </c>
      <c r="E166" s="14">
        <f>IFERROR(__xludf.DUMMYFUNCTION("GOOGLEFINANCE(A166,""LOW"")"),5425.0)</f>
        <v>5425</v>
      </c>
      <c r="F166" s="15" t="str">
        <f t="shared" si="8"/>
        <v>SELL</v>
      </c>
      <c r="G166" s="16">
        <f>IFERROR(__xludf.DUMMYFUNCTION("GOOGLEFINANCE(A166,""CLOSEYEST"")"),5459.5)</f>
        <v>5459.5</v>
      </c>
      <c r="H166" s="17" t="str">
        <f t="shared" si="14"/>
        <v>GAP UP</v>
      </c>
      <c r="I166" s="18">
        <f t="shared" si="9"/>
        <v>5467.833333</v>
      </c>
      <c r="J166" s="19">
        <f t="shared" si="10"/>
        <v>5510.666667</v>
      </c>
      <c r="K166" s="19"/>
      <c r="L166" s="19">
        <f t="shared" si="11"/>
        <v>5416.666667</v>
      </c>
      <c r="M166" s="19">
        <f t="shared" si="12"/>
        <v>5561.833333</v>
      </c>
      <c r="N166" s="19">
        <f t="shared" si="13"/>
        <v>5373.833333</v>
      </c>
    </row>
    <row r="167" ht="24.75" customHeight="1">
      <c r="A167" s="21" t="s">
        <v>131</v>
      </c>
      <c r="B167" s="13">
        <f>IFERROR(__xludf.DUMMYFUNCTION("GOOGLEFINANCE(A167,""PRICE"")"),24.31)</f>
        <v>24.31</v>
      </c>
      <c r="C167" s="14">
        <f>IFERROR(__xludf.DUMMYFUNCTION("GOOGLEFINANCE(A167,""PRICEOPEN"")"),24.72)</f>
        <v>24.72</v>
      </c>
      <c r="D167" s="14">
        <f>IFERROR(__xludf.DUMMYFUNCTION("GOOGLEFINANCE(A167,""HIGH"")"),24.79)</f>
        <v>24.79</v>
      </c>
      <c r="E167" s="14">
        <f>IFERROR(__xludf.DUMMYFUNCTION("GOOGLEFINANCE(A167,""LOW"")"),24.26)</f>
        <v>24.26</v>
      </c>
      <c r="F167" s="15" t="str">
        <f t="shared" si="8"/>
        <v/>
      </c>
      <c r="G167" s="16">
        <f>IFERROR(__xludf.DUMMYFUNCTION("GOOGLEFINANCE(A167,""CLOSEYEST"")"),24.4)</f>
        <v>24.4</v>
      </c>
      <c r="H167" s="17" t="str">
        <f t="shared" si="14"/>
        <v>GAP UP</v>
      </c>
      <c r="I167" s="18">
        <f t="shared" si="9"/>
        <v>24.48333333</v>
      </c>
      <c r="J167" s="19">
        <f t="shared" si="10"/>
        <v>24.70666667</v>
      </c>
      <c r="K167" s="19"/>
      <c r="L167" s="19">
        <f t="shared" si="11"/>
        <v>24.17666667</v>
      </c>
      <c r="M167" s="19">
        <f t="shared" si="12"/>
        <v>25.01333333</v>
      </c>
      <c r="N167" s="19">
        <f t="shared" si="13"/>
        <v>23.95333333</v>
      </c>
    </row>
    <row r="168" ht="24.75" customHeight="1">
      <c r="A168" s="21" t="s">
        <v>132</v>
      </c>
      <c r="B168" s="13">
        <f>IFERROR(__xludf.DUMMYFUNCTION("GOOGLEFINANCE(A168,""PRICE"")"),3621.1)</f>
        <v>3621.1</v>
      </c>
      <c r="C168" s="14">
        <f>IFERROR(__xludf.DUMMYFUNCTION("GOOGLEFINANCE(A168,""PRICEOPEN"")"),3570.0)</f>
        <v>3570</v>
      </c>
      <c r="D168" s="14">
        <f>IFERROR(__xludf.DUMMYFUNCTION("GOOGLEFINANCE(A168,""HIGH"")"),3628.6)</f>
        <v>3628.6</v>
      </c>
      <c r="E168" s="14">
        <f>IFERROR(__xludf.DUMMYFUNCTION("GOOGLEFINANCE(A168,""LOW"")"),3562.2)</f>
        <v>3562.2</v>
      </c>
      <c r="F168" s="15" t="str">
        <f t="shared" si="8"/>
        <v/>
      </c>
      <c r="G168" s="16">
        <f>IFERROR(__xludf.DUMMYFUNCTION("GOOGLEFINANCE(A168,""CLOSEYEST"")"),3584.1)</f>
        <v>3584.1</v>
      </c>
      <c r="H168" s="17" t="str">
        <f t="shared" si="14"/>
        <v/>
      </c>
      <c r="I168" s="18">
        <f t="shared" si="9"/>
        <v>3591.633333</v>
      </c>
      <c r="J168" s="19">
        <f t="shared" si="10"/>
        <v>3621.066667</v>
      </c>
      <c r="K168" s="19"/>
      <c r="L168" s="19">
        <f t="shared" si="11"/>
        <v>3554.666667</v>
      </c>
      <c r="M168" s="19">
        <f t="shared" si="12"/>
        <v>3658.033333</v>
      </c>
      <c r="N168" s="19">
        <f t="shared" si="13"/>
        <v>3525.233333</v>
      </c>
    </row>
    <row r="169" ht="24.75" customHeight="1">
      <c r="A169" s="21" t="s">
        <v>133</v>
      </c>
      <c r="B169" s="13">
        <f>IFERROR(__xludf.DUMMYFUNCTION("GOOGLEFINANCE(A169,""PRICE"")"),421.4)</f>
        <v>421.4</v>
      </c>
      <c r="C169" s="14">
        <f>IFERROR(__xludf.DUMMYFUNCTION("GOOGLEFINANCE(A169,""PRICEOPEN"")"),413.75)</f>
        <v>413.75</v>
      </c>
      <c r="D169" s="14">
        <f>IFERROR(__xludf.DUMMYFUNCTION("GOOGLEFINANCE(A169,""HIGH"")"),421.4)</f>
        <v>421.4</v>
      </c>
      <c r="E169" s="14">
        <f>IFERROR(__xludf.DUMMYFUNCTION("GOOGLEFINANCE(A169,""LOW"")"),410.25)</f>
        <v>410.25</v>
      </c>
      <c r="F169" s="15" t="str">
        <f t="shared" si="8"/>
        <v/>
      </c>
      <c r="G169" s="16">
        <f>IFERROR(__xludf.DUMMYFUNCTION("GOOGLEFINANCE(A169,""CLOSEYEST"")"),413.75)</f>
        <v>413.75</v>
      </c>
      <c r="H169" s="17" t="str">
        <f t="shared" si="14"/>
        <v/>
      </c>
      <c r="I169" s="18">
        <f t="shared" si="9"/>
        <v>415.1333333</v>
      </c>
      <c r="J169" s="19">
        <f t="shared" si="10"/>
        <v>420.0166667</v>
      </c>
      <c r="K169" s="19"/>
      <c r="L169" s="19">
        <f t="shared" si="11"/>
        <v>408.8666667</v>
      </c>
      <c r="M169" s="19">
        <f t="shared" si="12"/>
        <v>426.2833333</v>
      </c>
      <c r="N169" s="19">
        <f t="shared" si="13"/>
        <v>403.9833333</v>
      </c>
    </row>
    <row r="170" ht="24.75" customHeight="1">
      <c r="A170" s="21" t="s">
        <v>134</v>
      </c>
      <c r="B170" s="13" t="str">
        <f>IFERROR(__xludf.DUMMYFUNCTION("GOOGLEFINANCE(A170,""PRICE"")"),"#N/A")</f>
        <v>#N/A</v>
      </c>
      <c r="C170" s="14" t="str">
        <f>IFERROR(__xludf.DUMMYFUNCTION("GOOGLEFINANCE(A170,""PRICEOPEN"")"),"#N/A")</f>
        <v>#N/A</v>
      </c>
      <c r="D170" s="14" t="str">
        <f>IFERROR(__xludf.DUMMYFUNCTION("GOOGLEFINANCE(A170,""HIGH"")"),"#N/A")</f>
        <v>#N/A</v>
      </c>
      <c r="E170" s="14" t="str">
        <f>IFERROR(__xludf.DUMMYFUNCTION("GOOGLEFINANCE(A170,""LOW"")"),"#N/A")</f>
        <v>#N/A</v>
      </c>
      <c r="F170" s="15" t="str">
        <f t="shared" si="8"/>
        <v>#N/A</v>
      </c>
      <c r="G170" s="16" t="str">
        <f>IFERROR(__xludf.DUMMYFUNCTION("GOOGLEFINANCE(A170,""CLOSEYEST"")"),"#N/A")</f>
        <v>#N/A</v>
      </c>
      <c r="H170" s="17" t="str">
        <f t="shared" si="14"/>
        <v>#N/A</v>
      </c>
      <c r="I170" s="18" t="str">
        <f t="shared" si="9"/>
        <v>#N/A</v>
      </c>
      <c r="J170" s="19" t="str">
        <f t="shared" si="10"/>
        <v>#N/A</v>
      </c>
      <c r="K170" s="19"/>
      <c r="L170" s="19" t="str">
        <f t="shared" si="11"/>
        <v>#N/A</v>
      </c>
      <c r="M170" s="19" t="str">
        <f t="shared" si="12"/>
        <v>#N/A</v>
      </c>
      <c r="N170" s="19" t="str">
        <f t="shared" si="13"/>
        <v>#N/A</v>
      </c>
    </row>
    <row r="171" ht="24.75" customHeight="1">
      <c r="A171" s="21" t="s">
        <v>135</v>
      </c>
      <c r="B171" s="13">
        <f>IFERROR(__xludf.DUMMYFUNCTION("GOOGLEFINANCE(A171,""PRICE"")"),351.6)</f>
        <v>351.6</v>
      </c>
      <c r="C171" s="14">
        <f>IFERROR(__xludf.DUMMYFUNCTION("GOOGLEFINANCE(A171,""PRICEOPEN"")"),347.6)</f>
        <v>347.6</v>
      </c>
      <c r="D171" s="14">
        <f>IFERROR(__xludf.DUMMYFUNCTION("GOOGLEFINANCE(A171,""HIGH"")"),352.95)</f>
        <v>352.95</v>
      </c>
      <c r="E171" s="14">
        <f>IFERROR(__xludf.DUMMYFUNCTION("GOOGLEFINANCE(A171,""LOW"")"),346.75)</f>
        <v>346.75</v>
      </c>
      <c r="F171" s="15" t="str">
        <f t="shared" si="8"/>
        <v/>
      </c>
      <c r="G171" s="16">
        <f>IFERROR(__xludf.DUMMYFUNCTION("GOOGLEFINANCE(A171,""CLOSEYEST"")"),346.45)</f>
        <v>346.45</v>
      </c>
      <c r="H171" s="17" t="str">
        <f t="shared" si="14"/>
        <v/>
      </c>
      <c r="I171" s="18">
        <f t="shared" si="9"/>
        <v>348.7166667</v>
      </c>
      <c r="J171" s="19">
        <f t="shared" si="10"/>
        <v>350.6833333</v>
      </c>
      <c r="K171" s="19"/>
      <c r="L171" s="19">
        <f t="shared" si="11"/>
        <v>344.4833333</v>
      </c>
      <c r="M171" s="19">
        <f t="shared" si="12"/>
        <v>354.9166667</v>
      </c>
      <c r="N171" s="19">
        <f t="shared" si="13"/>
        <v>342.5166667</v>
      </c>
    </row>
    <row r="172" ht="24.75" customHeight="1">
      <c r="A172" s="21" t="s">
        <v>136</v>
      </c>
      <c r="B172" s="13">
        <f>IFERROR(__xludf.DUMMYFUNCTION("GOOGLEFINANCE(A172,""PRICE"")"),23.52)</f>
        <v>23.52</v>
      </c>
      <c r="C172" s="14">
        <f>IFERROR(__xludf.DUMMYFUNCTION("GOOGLEFINANCE(A172,""PRICEOPEN"")"),23.37)</f>
        <v>23.37</v>
      </c>
      <c r="D172" s="14">
        <f>IFERROR(__xludf.DUMMYFUNCTION("GOOGLEFINANCE(A172,""HIGH"")"),23.87)</f>
        <v>23.87</v>
      </c>
      <c r="E172" s="14">
        <f>IFERROR(__xludf.DUMMYFUNCTION("GOOGLEFINANCE(A172,""LOW"")"),23.19)</f>
        <v>23.19</v>
      </c>
      <c r="F172" s="15" t="str">
        <f t="shared" si="8"/>
        <v/>
      </c>
      <c r="G172" s="16">
        <f>IFERROR(__xludf.DUMMYFUNCTION("GOOGLEFINANCE(A172,""CLOSEYEST"")"),23.36)</f>
        <v>23.36</v>
      </c>
      <c r="H172" s="17" t="str">
        <f t="shared" si="14"/>
        <v/>
      </c>
      <c r="I172" s="18">
        <f t="shared" si="9"/>
        <v>23.47333333</v>
      </c>
      <c r="J172" s="19">
        <f t="shared" si="10"/>
        <v>23.75666667</v>
      </c>
      <c r="K172" s="19"/>
      <c r="L172" s="19">
        <f t="shared" si="11"/>
        <v>23.07666667</v>
      </c>
      <c r="M172" s="19">
        <f t="shared" si="12"/>
        <v>24.15333333</v>
      </c>
      <c r="N172" s="19">
        <f t="shared" si="13"/>
        <v>22.79333333</v>
      </c>
    </row>
    <row r="173" ht="24.75" customHeight="1">
      <c r="A173" s="21" t="s">
        <v>137</v>
      </c>
      <c r="B173" s="13">
        <f>IFERROR(__xludf.DUMMYFUNCTION("GOOGLEFINANCE(A173,""PRICE"")"),1095.0)</f>
        <v>1095</v>
      </c>
      <c r="C173" s="14">
        <f>IFERROR(__xludf.DUMMYFUNCTION("GOOGLEFINANCE(A173,""PRICEOPEN"")"),1095.0)</f>
        <v>1095</v>
      </c>
      <c r="D173" s="14">
        <f>IFERROR(__xludf.DUMMYFUNCTION("GOOGLEFINANCE(A173,""HIGH"")"),1102.6)</f>
        <v>1102.6</v>
      </c>
      <c r="E173" s="14">
        <f>IFERROR(__xludf.DUMMYFUNCTION("GOOGLEFINANCE(A173,""LOW"")"),1086.8)</f>
        <v>1086.8</v>
      </c>
      <c r="F173" s="15" t="str">
        <f t="shared" si="8"/>
        <v/>
      </c>
      <c r="G173" s="16">
        <f>IFERROR(__xludf.DUMMYFUNCTION("GOOGLEFINANCE(A173,""CLOSEYEST"")"),1086.0)</f>
        <v>1086</v>
      </c>
      <c r="H173" s="17" t="str">
        <f t="shared" si="14"/>
        <v/>
      </c>
      <c r="I173" s="18">
        <f t="shared" si="9"/>
        <v>1091.8</v>
      </c>
      <c r="J173" s="19">
        <f t="shared" si="10"/>
        <v>1096.8</v>
      </c>
      <c r="K173" s="19"/>
      <c r="L173" s="19">
        <f t="shared" si="11"/>
        <v>1081</v>
      </c>
      <c r="M173" s="19">
        <f t="shared" si="12"/>
        <v>1107.6</v>
      </c>
      <c r="N173" s="19">
        <f t="shared" si="13"/>
        <v>1076</v>
      </c>
    </row>
    <row r="174" ht="24.75" customHeight="1">
      <c r="A174" s="21" t="s">
        <v>138</v>
      </c>
      <c r="B174" s="13">
        <f>IFERROR(__xludf.DUMMYFUNCTION("GOOGLEFINANCE(A174,""PRICE"")"),1975.0)</f>
        <v>1975</v>
      </c>
      <c r="C174" s="14">
        <f>IFERROR(__xludf.DUMMYFUNCTION("GOOGLEFINANCE(A174,""PRICEOPEN"")"),1984.4)</f>
        <v>1984.4</v>
      </c>
      <c r="D174" s="14">
        <f>IFERROR(__xludf.DUMMYFUNCTION("GOOGLEFINANCE(A174,""HIGH"")"),2006.1)</f>
        <v>2006.1</v>
      </c>
      <c r="E174" s="14">
        <f>IFERROR(__xludf.DUMMYFUNCTION("GOOGLEFINANCE(A174,""LOW"")"),1969.1)</f>
        <v>1969.1</v>
      </c>
      <c r="F174" s="15" t="str">
        <f t="shared" si="8"/>
        <v/>
      </c>
      <c r="G174" s="16">
        <f>IFERROR(__xludf.DUMMYFUNCTION("GOOGLEFINANCE(A174,""CLOSEYEST"")"),1981.3)</f>
        <v>1981.3</v>
      </c>
      <c r="H174" s="17" t="str">
        <f t="shared" si="14"/>
        <v/>
      </c>
      <c r="I174" s="18">
        <f t="shared" si="9"/>
        <v>1985.5</v>
      </c>
      <c r="J174" s="19">
        <f t="shared" si="10"/>
        <v>2001.9</v>
      </c>
      <c r="K174" s="19"/>
      <c r="L174" s="19">
        <f t="shared" si="11"/>
        <v>1964.9</v>
      </c>
      <c r="M174" s="19">
        <f t="shared" si="12"/>
        <v>2022.5</v>
      </c>
      <c r="N174" s="19">
        <f t="shared" si="13"/>
        <v>1948.5</v>
      </c>
    </row>
    <row r="175" ht="24.75" customHeight="1">
      <c r="A175" s="21" t="s">
        <v>139</v>
      </c>
      <c r="B175" s="13">
        <f>IFERROR(__xludf.DUMMYFUNCTION("GOOGLEFINANCE(A175,""PRICE"")"),1799.0)</f>
        <v>1799</v>
      </c>
      <c r="C175" s="14">
        <f>IFERROR(__xludf.DUMMYFUNCTION("GOOGLEFINANCE(A175,""PRICEOPEN"")"),1810.0)</f>
        <v>1810</v>
      </c>
      <c r="D175" s="14">
        <f>IFERROR(__xludf.DUMMYFUNCTION("GOOGLEFINANCE(A175,""HIGH"")"),1824.5)</f>
        <v>1824.5</v>
      </c>
      <c r="E175" s="14">
        <f>IFERROR(__xludf.DUMMYFUNCTION("GOOGLEFINANCE(A175,""LOW"")"),1795.3)</f>
        <v>1795.3</v>
      </c>
      <c r="F175" s="15" t="str">
        <f t="shared" si="8"/>
        <v/>
      </c>
      <c r="G175" s="16">
        <f>IFERROR(__xludf.DUMMYFUNCTION("GOOGLEFINANCE(A175,""CLOSEYEST"")"),1798.8)</f>
        <v>1798.8</v>
      </c>
      <c r="H175" s="17" t="str">
        <f t="shared" si="14"/>
        <v/>
      </c>
      <c r="I175" s="18">
        <f t="shared" si="9"/>
        <v>1806.2</v>
      </c>
      <c r="J175" s="19">
        <f t="shared" si="10"/>
        <v>1817.1</v>
      </c>
      <c r="K175" s="19"/>
      <c r="L175" s="19">
        <f t="shared" si="11"/>
        <v>1787.9</v>
      </c>
      <c r="M175" s="19">
        <f t="shared" si="12"/>
        <v>1835.4</v>
      </c>
      <c r="N175" s="19">
        <f t="shared" si="13"/>
        <v>1777</v>
      </c>
    </row>
    <row r="176" ht="24.75" customHeight="1">
      <c r="A176" s="21" t="s">
        <v>140</v>
      </c>
      <c r="B176" s="13">
        <f>IFERROR(__xludf.DUMMYFUNCTION("GOOGLEFINANCE(A176,""PRICE"")"),1616.0)</f>
        <v>1616</v>
      </c>
      <c r="C176" s="14">
        <f>IFERROR(__xludf.DUMMYFUNCTION("GOOGLEFINANCE(A176,""PRICEOPEN"")"),1613.2)</f>
        <v>1613.2</v>
      </c>
      <c r="D176" s="14">
        <f>IFERROR(__xludf.DUMMYFUNCTION("GOOGLEFINANCE(A176,""HIGH"")"),1622.6)</f>
        <v>1622.6</v>
      </c>
      <c r="E176" s="14">
        <f>IFERROR(__xludf.DUMMYFUNCTION("GOOGLEFINANCE(A176,""LOW"")"),1599.2)</f>
        <v>1599.2</v>
      </c>
      <c r="F176" s="15" t="str">
        <f t="shared" si="8"/>
        <v/>
      </c>
      <c r="G176" s="16">
        <f>IFERROR(__xludf.DUMMYFUNCTION("GOOGLEFINANCE(A176,""CLOSEYEST"")"),1613.2)</f>
        <v>1613.2</v>
      </c>
      <c r="H176" s="17" t="str">
        <f t="shared" si="14"/>
        <v/>
      </c>
      <c r="I176" s="18">
        <f t="shared" si="9"/>
        <v>1611.666667</v>
      </c>
      <c r="J176" s="19">
        <f t="shared" si="10"/>
        <v>1624.133333</v>
      </c>
      <c r="K176" s="19"/>
      <c r="L176" s="19">
        <f t="shared" si="11"/>
        <v>1600.733333</v>
      </c>
      <c r="M176" s="19">
        <f t="shared" si="12"/>
        <v>1635.066667</v>
      </c>
      <c r="N176" s="19">
        <f t="shared" si="13"/>
        <v>1588.266667</v>
      </c>
    </row>
    <row r="177" ht="24.75" customHeight="1">
      <c r="A177" s="21" t="s">
        <v>141</v>
      </c>
      <c r="B177" s="13">
        <f>IFERROR(__xludf.DUMMYFUNCTION("GOOGLEFINANCE(A177,""PRICE"")"),1360.0)</f>
        <v>1360</v>
      </c>
      <c r="C177" s="14">
        <f>IFERROR(__xludf.DUMMYFUNCTION("GOOGLEFINANCE(A177,""PRICEOPEN"")"),1350.0)</f>
        <v>1350</v>
      </c>
      <c r="D177" s="14">
        <f>IFERROR(__xludf.DUMMYFUNCTION("GOOGLEFINANCE(A177,""HIGH"")"),1366.1)</f>
        <v>1366.1</v>
      </c>
      <c r="E177" s="14">
        <f>IFERROR(__xludf.DUMMYFUNCTION("GOOGLEFINANCE(A177,""LOW"")"),1346.1)</f>
        <v>1346.1</v>
      </c>
      <c r="F177" s="15" t="str">
        <f t="shared" si="8"/>
        <v/>
      </c>
      <c r="G177" s="16">
        <f>IFERROR(__xludf.DUMMYFUNCTION("GOOGLEFINANCE(A177,""CLOSEYEST"")"),1353.5)</f>
        <v>1353.5</v>
      </c>
      <c r="H177" s="17" t="str">
        <f t="shared" si="14"/>
        <v/>
      </c>
      <c r="I177" s="18">
        <f t="shared" si="9"/>
        <v>1355.233333</v>
      </c>
      <c r="J177" s="19">
        <f t="shared" si="10"/>
        <v>1364.366667</v>
      </c>
      <c r="K177" s="19"/>
      <c r="L177" s="19">
        <f t="shared" si="11"/>
        <v>1344.366667</v>
      </c>
      <c r="M177" s="19">
        <f t="shared" si="12"/>
        <v>1375.233333</v>
      </c>
      <c r="N177" s="19">
        <f t="shared" si="13"/>
        <v>1335.233333</v>
      </c>
    </row>
    <row r="178" ht="24.75" customHeight="1">
      <c r="A178" s="21" t="s">
        <v>142</v>
      </c>
      <c r="B178" s="13">
        <f>IFERROR(__xludf.DUMMYFUNCTION("GOOGLEFINANCE(A178,""PRICE"")"),77.17)</f>
        <v>77.17</v>
      </c>
      <c r="C178" s="14">
        <f>IFERROR(__xludf.DUMMYFUNCTION("GOOGLEFINANCE(A178,""PRICEOPEN"")"),76.61)</f>
        <v>76.61</v>
      </c>
      <c r="D178" s="14">
        <f>IFERROR(__xludf.DUMMYFUNCTION("GOOGLEFINANCE(A178,""HIGH"")"),77.98)</f>
        <v>77.98</v>
      </c>
      <c r="E178" s="14">
        <f>IFERROR(__xludf.DUMMYFUNCTION("GOOGLEFINANCE(A178,""LOW"")"),76.09)</f>
        <v>76.09</v>
      </c>
      <c r="F178" s="15" t="str">
        <f t="shared" si="8"/>
        <v/>
      </c>
      <c r="G178" s="16">
        <f>IFERROR(__xludf.DUMMYFUNCTION("GOOGLEFINANCE(A178,""CLOSEYEST"")"),76.16)</f>
        <v>76.16</v>
      </c>
      <c r="H178" s="17" t="str">
        <f t="shared" si="14"/>
        <v/>
      </c>
      <c r="I178" s="18">
        <f t="shared" si="9"/>
        <v>76.74333333</v>
      </c>
      <c r="J178" s="19">
        <f t="shared" si="10"/>
        <v>77.39666667</v>
      </c>
      <c r="K178" s="19"/>
      <c r="L178" s="19">
        <f t="shared" si="11"/>
        <v>75.50666667</v>
      </c>
      <c r="M178" s="19">
        <f t="shared" si="12"/>
        <v>78.63333333</v>
      </c>
      <c r="N178" s="19">
        <f t="shared" si="13"/>
        <v>74.85333333</v>
      </c>
    </row>
    <row r="179" ht="24.75" customHeight="1">
      <c r="A179" s="21" t="s">
        <v>143</v>
      </c>
      <c r="B179" s="13">
        <f>IFERROR(__xludf.DUMMYFUNCTION("GOOGLEFINANCE(A179,""PRICE"")"),740.5)</f>
        <v>740.5</v>
      </c>
      <c r="C179" s="14">
        <f>IFERROR(__xludf.DUMMYFUNCTION("GOOGLEFINANCE(A179,""PRICEOPEN"")"),722.05)</f>
        <v>722.05</v>
      </c>
      <c r="D179" s="14">
        <f>IFERROR(__xludf.DUMMYFUNCTION("GOOGLEFINANCE(A179,""HIGH"")"),743.7)</f>
        <v>743.7</v>
      </c>
      <c r="E179" s="14">
        <f>IFERROR(__xludf.DUMMYFUNCTION("GOOGLEFINANCE(A179,""LOW"")"),720.7)</f>
        <v>720.7</v>
      </c>
      <c r="F179" s="15" t="str">
        <f t="shared" si="8"/>
        <v/>
      </c>
      <c r="G179" s="16">
        <f>IFERROR(__xludf.DUMMYFUNCTION("GOOGLEFINANCE(A179,""CLOSEYEST"")"),724.55)</f>
        <v>724.55</v>
      </c>
      <c r="H179" s="17" t="str">
        <f t="shared" si="14"/>
        <v/>
      </c>
      <c r="I179" s="18">
        <f t="shared" si="9"/>
        <v>729.65</v>
      </c>
      <c r="J179" s="19">
        <f t="shared" si="10"/>
        <v>738.6</v>
      </c>
      <c r="K179" s="19"/>
      <c r="L179" s="19">
        <f t="shared" si="11"/>
        <v>715.6</v>
      </c>
      <c r="M179" s="19">
        <f t="shared" si="12"/>
        <v>752.65</v>
      </c>
      <c r="N179" s="19">
        <f t="shared" si="13"/>
        <v>706.65</v>
      </c>
    </row>
    <row r="180" ht="24.75" customHeight="1">
      <c r="A180" s="21" t="s">
        <v>144</v>
      </c>
      <c r="B180" s="13">
        <f>IFERROR(__xludf.DUMMYFUNCTION("GOOGLEFINANCE(A180,""PRICE"")"),125.98)</f>
        <v>125.98</v>
      </c>
      <c r="C180" s="14">
        <f>IFERROR(__xludf.DUMMYFUNCTION("GOOGLEFINANCE(A180,""PRICEOPEN"")"),123.77)</f>
        <v>123.77</v>
      </c>
      <c r="D180" s="14">
        <f>IFERROR(__xludf.DUMMYFUNCTION("GOOGLEFINANCE(A180,""HIGH"")"),126.42)</f>
        <v>126.42</v>
      </c>
      <c r="E180" s="14">
        <f>IFERROR(__xludf.DUMMYFUNCTION("GOOGLEFINANCE(A180,""LOW"")"),123.32)</f>
        <v>123.32</v>
      </c>
      <c r="F180" s="15" t="str">
        <f t="shared" si="8"/>
        <v/>
      </c>
      <c r="G180" s="16">
        <f>IFERROR(__xludf.DUMMYFUNCTION("GOOGLEFINANCE(A180,""CLOSEYEST"")"),123.76)</f>
        <v>123.76</v>
      </c>
      <c r="H180" s="17" t="str">
        <f t="shared" si="14"/>
        <v/>
      </c>
      <c r="I180" s="18">
        <f t="shared" si="9"/>
        <v>124.5</v>
      </c>
      <c r="J180" s="19">
        <f t="shared" si="10"/>
        <v>125.68</v>
      </c>
      <c r="K180" s="19"/>
      <c r="L180" s="19">
        <f t="shared" si="11"/>
        <v>122.58</v>
      </c>
      <c r="M180" s="19">
        <f t="shared" si="12"/>
        <v>127.6</v>
      </c>
      <c r="N180" s="19">
        <f t="shared" si="13"/>
        <v>121.4</v>
      </c>
    </row>
    <row r="181" ht="24.75" customHeight="1">
      <c r="A181" s="21" t="s">
        <v>145</v>
      </c>
      <c r="B181" s="13">
        <f>IFERROR(__xludf.DUMMYFUNCTION("GOOGLEFINANCE(A181,""PRICE"")"),4817.8)</f>
        <v>4817.8</v>
      </c>
      <c r="C181" s="14">
        <f>IFERROR(__xludf.DUMMYFUNCTION("GOOGLEFINANCE(A181,""PRICEOPEN"")"),4804.0)</f>
        <v>4804</v>
      </c>
      <c r="D181" s="14">
        <f>IFERROR(__xludf.DUMMYFUNCTION("GOOGLEFINANCE(A181,""HIGH"")"),4836.5)</f>
        <v>4836.5</v>
      </c>
      <c r="E181" s="14">
        <f>IFERROR(__xludf.DUMMYFUNCTION("GOOGLEFINANCE(A181,""LOW"")"),4738.0)</f>
        <v>4738</v>
      </c>
      <c r="F181" s="15" t="str">
        <f t="shared" si="8"/>
        <v/>
      </c>
      <c r="G181" s="16">
        <f>IFERROR(__xludf.DUMMYFUNCTION("GOOGLEFINANCE(A181,""CLOSEYEST"")"),4832.0)</f>
        <v>4832</v>
      </c>
      <c r="H181" s="17" t="str">
        <f t="shared" si="14"/>
        <v/>
      </c>
      <c r="I181" s="18">
        <f t="shared" si="9"/>
        <v>4802.166667</v>
      </c>
      <c r="J181" s="19">
        <f t="shared" si="10"/>
        <v>4866.333333</v>
      </c>
      <c r="K181" s="19"/>
      <c r="L181" s="19">
        <f t="shared" si="11"/>
        <v>4767.833333</v>
      </c>
      <c r="M181" s="19">
        <f t="shared" si="12"/>
        <v>4900.666667</v>
      </c>
      <c r="N181" s="19">
        <f t="shared" si="13"/>
        <v>4703.666667</v>
      </c>
    </row>
    <row r="182" ht="24.75" customHeight="1">
      <c r="A182" s="21" t="s">
        <v>146</v>
      </c>
      <c r="B182" s="13">
        <f>IFERROR(__xludf.DUMMYFUNCTION("GOOGLEFINANCE(A182,""PRICE"")"),10.5)</f>
        <v>10.5</v>
      </c>
      <c r="C182" s="14">
        <f>IFERROR(__xludf.DUMMYFUNCTION("GOOGLEFINANCE(A182,""PRICEOPEN"")"),10.5)</f>
        <v>10.5</v>
      </c>
      <c r="D182" s="14">
        <f>IFERROR(__xludf.DUMMYFUNCTION("GOOGLEFINANCE(A182,""HIGH"")"),10.5)</f>
        <v>10.5</v>
      </c>
      <c r="E182" s="14">
        <f>IFERROR(__xludf.DUMMYFUNCTION("GOOGLEFINANCE(A182,""LOW"")"),10.5)</f>
        <v>10.5</v>
      </c>
      <c r="F182" s="15" t="str">
        <f t="shared" si="8"/>
        <v>SELL</v>
      </c>
      <c r="G182" s="16">
        <f>IFERROR(__xludf.DUMMYFUNCTION("GOOGLEFINANCE(A182,""CLOSEYEST"")"),10.42)</f>
        <v>10.42</v>
      </c>
      <c r="H182" s="17" t="str">
        <f t="shared" si="14"/>
        <v/>
      </c>
      <c r="I182" s="18">
        <f t="shared" si="9"/>
        <v>10.47333333</v>
      </c>
      <c r="J182" s="19">
        <f t="shared" si="10"/>
        <v>10.44666667</v>
      </c>
      <c r="K182" s="19"/>
      <c r="L182" s="19">
        <f t="shared" si="11"/>
        <v>10.44666667</v>
      </c>
      <c r="M182" s="19">
        <f t="shared" si="12"/>
        <v>10.47333333</v>
      </c>
      <c r="N182" s="19">
        <f t="shared" si="13"/>
        <v>10.47333333</v>
      </c>
    </row>
    <row r="183" ht="24.75" customHeight="1">
      <c r="A183" s="21" t="s">
        <v>147</v>
      </c>
      <c r="B183" s="13">
        <f>IFERROR(__xludf.DUMMYFUNCTION("GOOGLEFINANCE(A183,""PRICE"")"),534.15)</f>
        <v>534.15</v>
      </c>
      <c r="C183" s="14">
        <f>IFERROR(__xludf.DUMMYFUNCTION("GOOGLEFINANCE(A183,""PRICEOPEN"")"),526.55)</f>
        <v>526.55</v>
      </c>
      <c r="D183" s="14">
        <f>IFERROR(__xludf.DUMMYFUNCTION("GOOGLEFINANCE(A183,""HIGH"")"),534.25)</f>
        <v>534.25</v>
      </c>
      <c r="E183" s="14">
        <f>IFERROR(__xludf.DUMMYFUNCTION("GOOGLEFINANCE(A183,""LOW"")"),525.5)</f>
        <v>525.5</v>
      </c>
      <c r="F183" s="15" t="str">
        <f t="shared" si="8"/>
        <v/>
      </c>
      <c r="G183" s="16">
        <f>IFERROR(__xludf.DUMMYFUNCTION("GOOGLEFINANCE(A183,""CLOSEYEST"")"),526.55)</f>
        <v>526.55</v>
      </c>
      <c r="H183" s="17" t="str">
        <f t="shared" si="14"/>
        <v/>
      </c>
      <c r="I183" s="18">
        <f t="shared" si="9"/>
        <v>528.7666667</v>
      </c>
      <c r="J183" s="19">
        <f t="shared" si="10"/>
        <v>532.0333333</v>
      </c>
      <c r="K183" s="19"/>
      <c r="L183" s="19">
        <f t="shared" si="11"/>
        <v>523.2833333</v>
      </c>
      <c r="M183" s="19">
        <f t="shared" si="12"/>
        <v>537.5166667</v>
      </c>
      <c r="N183" s="19">
        <f t="shared" si="13"/>
        <v>520.0166667</v>
      </c>
    </row>
    <row r="184" ht="24.75" customHeight="1">
      <c r="A184" s="21" t="s">
        <v>148</v>
      </c>
      <c r="B184" s="13">
        <f>IFERROR(__xludf.DUMMYFUNCTION("GOOGLEFINANCE(A184,""PRICE"")"),139.74)</f>
        <v>139.74</v>
      </c>
      <c r="C184" s="14">
        <f>IFERROR(__xludf.DUMMYFUNCTION("GOOGLEFINANCE(A184,""PRICEOPEN"")"),141.42)</f>
        <v>141.42</v>
      </c>
      <c r="D184" s="14">
        <f>IFERROR(__xludf.DUMMYFUNCTION("GOOGLEFINANCE(A184,""HIGH"")"),142.95)</f>
        <v>142.95</v>
      </c>
      <c r="E184" s="14">
        <f>IFERROR(__xludf.DUMMYFUNCTION("GOOGLEFINANCE(A184,""LOW"")"),138.16)</f>
        <v>138.16</v>
      </c>
      <c r="F184" s="15" t="str">
        <f t="shared" si="8"/>
        <v/>
      </c>
      <c r="G184" s="16">
        <f>IFERROR(__xludf.DUMMYFUNCTION("GOOGLEFINANCE(A184,""CLOSEYEST"")"),141.23)</f>
        <v>141.23</v>
      </c>
      <c r="H184" s="17" t="str">
        <f t="shared" si="14"/>
        <v/>
      </c>
      <c r="I184" s="18">
        <f t="shared" si="9"/>
        <v>140.78</v>
      </c>
      <c r="J184" s="19">
        <f t="shared" si="10"/>
        <v>143.4</v>
      </c>
      <c r="K184" s="19"/>
      <c r="L184" s="19">
        <f t="shared" si="11"/>
        <v>138.61</v>
      </c>
      <c r="M184" s="19">
        <f t="shared" si="12"/>
        <v>145.57</v>
      </c>
      <c r="N184" s="19">
        <f t="shared" si="13"/>
        <v>135.99</v>
      </c>
    </row>
    <row r="185" ht="24.75" customHeight="1">
      <c r="A185" s="21" t="s">
        <v>149</v>
      </c>
      <c r="B185" s="13">
        <f>IFERROR(__xludf.DUMMYFUNCTION("GOOGLEFINANCE(A185,""PRICE"")"),381.05)</f>
        <v>381.05</v>
      </c>
      <c r="C185" s="14">
        <f>IFERROR(__xludf.DUMMYFUNCTION("GOOGLEFINANCE(A185,""PRICEOPEN"")"),379.6)</f>
        <v>379.6</v>
      </c>
      <c r="D185" s="14">
        <f>IFERROR(__xludf.DUMMYFUNCTION("GOOGLEFINANCE(A185,""HIGH"")"),382.8)</f>
        <v>382.8</v>
      </c>
      <c r="E185" s="14">
        <f>IFERROR(__xludf.DUMMYFUNCTION("GOOGLEFINANCE(A185,""LOW"")"),379.0)</f>
        <v>379</v>
      </c>
      <c r="F185" s="15" t="str">
        <f t="shared" si="8"/>
        <v/>
      </c>
      <c r="G185" s="16">
        <f>IFERROR(__xludf.DUMMYFUNCTION("GOOGLEFINANCE(A185,""CLOSEYEST"")"),379.6)</f>
        <v>379.6</v>
      </c>
      <c r="H185" s="17" t="str">
        <f t="shared" si="14"/>
        <v/>
      </c>
      <c r="I185" s="18">
        <f t="shared" si="9"/>
        <v>380.4666667</v>
      </c>
      <c r="J185" s="19">
        <f t="shared" si="10"/>
        <v>381.9333333</v>
      </c>
      <c r="K185" s="19"/>
      <c r="L185" s="19">
        <f t="shared" si="11"/>
        <v>378.1333333</v>
      </c>
      <c r="M185" s="19">
        <f t="shared" si="12"/>
        <v>384.2666667</v>
      </c>
      <c r="N185" s="19">
        <f t="shared" si="13"/>
        <v>376.6666667</v>
      </c>
    </row>
    <row r="186" ht="24.75" customHeight="1">
      <c r="A186" s="21" t="s">
        <v>150</v>
      </c>
      <c r="B186" s="13">
        <f>IFERROR(__xludf.DUMMYFUNCTION("GOOGLEFINANCE(A186,""PRICE"")"),1077.0)</f>
        <v>1077</v>
      </c>
      <c r="C186" s="14">
        <f>IFERROR(__xludf.DUMMYFUNCTION("GOOGLEFINANCE(A186,""PRICEOPEN"")"),1063.0)</f>
        <v>1063</v>
      </c>
      <c r="D186" s="14">
        <f>IFERROR(__xludf.DUMMYFUNCTION("GOOGLEFINANCE(A186,""HIGH"")"),1087.6)</f>
        <v>1087.6</v>
      </c>
      <c r="E186" s="14">
        <f>IFERROR(__xludf.DUMMYFUNCTION("GOOGLEFINANCE(A186,""LOW"")"),1049.3)</f>
        <v>1049.3</v>
      </c>
      <c r="F186" s="15" t="str">
        <f t="shared" si="8"/>
        <v/>
      </c>
      <c r="G186" s="16">
        <f>IFERROR(__xludf.DUMMYFUNCTION("GOOGLEFINANCE(A186,""CLOSEYEST"")"),1065.0)</f>
        <v>1065</v>
      </c>
      <c r="H186" s="17" t="str">
        <f t="shared" si="14"/>
        <v/>
      </c>
      <c r="I186" s="18">
        <f t="shared" si="9"/>
        <v>1067.3</v>
      </c>
      <c r="J186" s="19">
        <f t="shared" si="10"/>
        <v>1085.3</v>
      </c>
      <c r="K186" s="19"/>
      <c r="L186" s="19">
        <f t="shared" si="11"/>
        <v>1047</v>
      </c>
      <c r="M186" s="19">
        <f t="shared" si="12"/>
        <v>1105.6</v>
      </c>
      <c r="N186" s="19">
        <f t="shared" si="13"/>
        <v>1029</v>
      </c>
    </row>
    <row r="187" ht="24.75" customHeight="1">
      <c r="A187" s="21" t="s">
        <v>151</v>
      </c>
      <c r="B187" s="13">
        <f>IFERROR(__xludf.DUMMYFUNCTION("GOOGLEFINANCE(A187,""PRICE"")"),2214.5)</f>
        <v>2214.5</v>
      </c>
      <c r="C187" s="14">
        <f>IFERROR(__xludf.DUMMYFUNCTION("GOOGLEFINANCE(A187,""PRICEOPEN"")"),2228.8)</f>
        <v>2228.8</v>
      </c>
      <c r="D187" s="14">
        <f>IFERROR(__xludf.DUMMYFUNCTION("GOOGLEFINANCE(A187,""HIGH"")"),2229.0)</f>
        <v>2229</v>
      </c>
      <c r="E187" s="14">
        <f>IFERROR(__xludf.DUMMYFUNCTION("GOOGLEFINANCE(A187,""LOW"")"),2191.6)</f>
        <v>2191.6</v>
      </c>
      <c r="F187" s="15" t="str">
        <f t="shared" si="8"/>
        <v/>
      </c>
      <c r="G187" s="16">
        <f>IFERROR(__xludf.DUMMYFUNCTION("GOOGLEFINANCE(A187,""CLOSEYEST"")"),2224.9)</f>
        <v>2224.9</v>
      </c>
      <c r="H187" s="17" t="str">
        <f t="shared" si="14"/>
        <v/>
      </c>
      <c r="I187" s="18">
        <f t="shared" si="9"/>
        <v>2215.166667</v>
      </c>
      <c r="J187" s="19">
        <f t="shared" si="10"/>
        <v>2238.733333</v>
      </c>
      <c r="K187" s="19"/>
      <c r="L187" s="19">
        <f t="shared" si="11"/>
        <v>2201.333333</v>
      </c>
      <c r="M187" s="19">
        <f t="shared" si="12"/>
        <v>2252.566667</v>
      </c>
      <c r="N187" s="19">
        <f t="shared" si="13"/>
        <v>2177.766667</v>
      </c>
    </row>
    <row r="188" ht="24.75" customHeight="1">
      <c r="A188" s="21" t="s">
        <v>152</v>
      </c>
      <c r="B188" s="13">
        <f>IFERROR(__xludf.DUMMYFUNCTION("GOOGLEFINANCE(A188,""PRICE"")"),443.45)</f>
        <v>443.45</v>
      </c>
      <c r="C188" s="14">
        <f>IFERROR(__xludf.DUMMYFUNCTION("GOOGLEFINANCE(A188,""PRICEOPEN"")"),442.95)</f>
        <v>442.95</v>
      </c>
      <c r="D188" s="14">
        <f>IFERROR(__xludf.DUMMYFUNCTION("GOOGLEFINANCE(A188,""HIGH"")"),445.2)</f>
        <v>445.2</v>
      </c>
      <c r="E188" s="14">
        <f>IFERROR(__xludf.DUMMYFUNCTION("GOOGLEFINANCE(A188,""LOW"")"),437.55)</f>
        <v>437.55</v>
      </c>
      <c r="F188" s="15" t="str">
        <f t="shared" si="8"/>
        <v/>
      </c>
      <c r="G188" s="16">
        <f>IFERROR(__xludf.DUMMYFUNCTION("GOOGLEFINANCE(A188,""CLOSEYEST"")"),442.95)</f>
        <v>442.95</v>
      </c>
      <c r="H188" s="17" t="str">
        <f t="shared" si="14"/>
        <v/>
      </c>
      <c r="I188" s="18">
        <f t="shared" si="9"/>
        <v>441.9</v>
      </c>
      <c r="J188" s="19">
        <f t="shared" si="10"/>
        <v>446.25</v>
      </c>
      <c r="K188" s="19"/>
      <c r="L188" s="19">
        <f t="shared" si="11"/>
        <v>438.6</v>
      </c>
      <c r="M188" s="19">
        <f t="shared" si="12"/>
        <v>449.55</v>
      </c>
      <c r="N188" s="19">
        <f t="shared" si="13"/>
        <v>434.25</v>
      </c>
    </row>
    <row r="189" ht="24.75" customHeight="1">
      <c r="A189" s="21" t="s">
        <v>153</v>
      </c>
      <c r="B189" s="13">
        <f>IFERROR(__xludf.DUMMYFUNCTION("GOOGLEFINANCE(A189,""PRICE"")"),1070.0)</f>
        <v>1070</v>
      </c>
      <c r="C189" s="14">
        <f>IFERROR(__xludf.DUMMYFUNCTION("GOOGLEFINANCE(A189,""PRICEOPEN"")"),1098.0)</f>
        <v>1098</v>
      </c>
      <c r="D189" s="14">
        <f>IFERROR(__xludf.DUMMYFUNCTION("GOOGLEFINANCE(A189,""HIGH"")"),1110.3)</f>
        <v>1110.3</v>
      </c>
      <c r="E189" s="14">
        <f>IFERROR(__xludf.DUMMYFUNCTION("GOOGLEFINANCE(A189,""LOW"")"),1060.0)</f>
        <v>1060</v>
      </c>
      <c r="F189" s="15" t="str">
        <f t="shared" si="8"/>
        <v/>
      </c>
      <c r="G189" s="16">
        <f>IFERROR(__xludf.DUMMYFUNCTION("GOOGLEFINANCE(A189,""CLOSEYEST"")"),1113.2)</f>
        <v>1113.2</v>
      </c>
      <c r="H189" s="17" t="str">
        <f t="shared" si="14"/>
        <v>GAP DOWN</v>
      </c>
      <c r="I189" s="18">
        <f t="shared" si="9"/>
        <v>1094.5</v>
      </c>
      <c r="J189" s="19">
        <f t="shared" si="10"/>
        <v>1129</v>
      </c>
      <c r="K189" s="19"/>
      <c r="L189" s="19">
        <f t="shared" si="11"/>
        <v>1078.7</v>
      </c>
      <c r="M189" s="19">
        <f t="shared" si="12"/>
        <v>1144.8</v>
      </c>
      <c r="N189" s="19">
        <f t="shared" si="13"/>
        <v>1044.2</v>
      </c>
    </row>
    <row r="190" ht="24.75" customHeight="1">
      <c r="A190" s="21" t="s">
        <v>154</v>
      </c>
      <c r="B190" s="13">
        <f>IFERROR(__xludf.DUMMYFUNCTION("GOOGLEFINANCE(A190,""PRICE"")"),35690.0)</f>
        <v>35690</v>
      </c>
      <c r="C190" s="14">
        <f>IFERROR(__xludf.DUMMYFUNCTION("GOOGLEFINANCE(A190,""PRICEOPEN"")"),36400.0)</f>
        <v>36400</v>
      </c>
      <c r="D190" s="14">
        <f>IFERROR(__xludf.DUMMYFUNCTION("GOOGLEFINANCE(A190,""HIGH"")"),36400.0)</f>
        <v>36400</v>
      </c>
      <c r="E190" s="14">
        <f>IFERROR(__xludf.DUMMYFUNCTION("GOOGLEFINANCE(A190,""LOW"")"),35520.0)</f>
        <v>35520</v>
      </c>
      <c r="F190" s="15" t="str">
        <f t="shared" si="8"/>
        <v>SELL</v>
      </c>
      <c r="G190" s="16">
        <f>IFERROR(__xludf.DUMMYFUNCTION("GOOGLEFINANCE(A190,""CLOSEYEST"")"),35970.0)</f>
        <v>35970</v>
      </c>
      <c r="H190" s="17" t="str">
        <f t="shared" si="14"/>
        <v>GAP UP</v>
      </c>
      <c r="I190" s="18">
        <f t="shared" si="9"/>
        <v>35963.33333</v>
      </c>
      <c r="J190" s="19">
        <f t="shared" si="10"/>
        <v>36406.66667</v>
      </c>
      <c r="K190" s="19"/>
      <c r="L190" s="19">
        <f t="shared" si="11"/>
        <v>35526.66667</v>
      </c>
      <c r="M190" s="19">
        <f t="shared" si="12"/>
        <v>36843.33333</v>
      </c>
      <c r="N190" s="19">
        <f t="shared" si="13"/>
        <v>35083.33333</v>
      </c>
    </row>
    <row r="191" ht="24.75" customHeight="1">
      <c r="A191" s="21" t="s">
        <v>155</v>
      </c>
      <c r="B191" s="13">
        <f>IFERROR(__xludf.DUMMYFUNCTION("GOOGLEFINANCE(A191,""PRICE"")"),29900.0)</f>
        <v>29900</v>
      </c>
      <c r="C191" s="14">
        <f>IFERROR(__xludf.DUMMYFUNCTION("GOOGLEFINANCE(A191,""PRICEOPEN"")"),30080.0)</f>
        <v>30080</v>
      </c>
      <c r="D191" s="14">
        <f>IFERROR(__xludf.DUMMYFUNCTION("GOOGLEFINANCE(A191,""HIGH"")"),30400.0)</f>
        <v>30400</v>
      </c>
      <c r="E191" s="14">
        <f>IFERROR(__xludf.DUMMYFUNCTION("GOOGLEFINANCE(A191,""LOW"")"),29830.0)</f>
        <v>29830</v>
      </c>
      <c r="F191" s="15" t="str">
        <f t="shared" si="8"/>
        <v/>
      </c>
      <c r="G191" s="16">
        <f>IFERROR(__xludf.DUMMYFUNCTION("GOOGLEFINANCE(A191,""CLOSEYEST"")"),29890.0)</f>
        <v>29890</v>
      </c>
      <c r="H191" s="17" t="str">
        <f t="shared" si="14"/>
        <v/>
      </c>
      <c r="I191" s="18">
        <f t="shared" si="9"/>
        <v>30040</v>
      </c>
      <c r="J191" s="19">
        <f t="shared" si="10"/>
        <v>30250</v>
      </c>
      <c r="K191" s="19"/>
      <c r="L191" s="19">
        <f t="shared" si="11"/>
        <v>29680</v>
      </c>
      <c r="M191" s="19">
        <f t="shared" si="12"/>
        <v>30610</v>
      </c>
      <c r="N191" s="19">
        <f t="shared" si="13"/>
        <v>29470</v>
      </c>
    </row>
    <row r="192" ht="24.75" customHeight="1">
      <c r="A192" s="21" t="s">
        <v>156</v>
      </c>
      <c r="B192" s="13">
        <f>IFERROR(__xludf.DUMMYFUNCTION("GOOGLEFINANCE(A192,""PRICE"")"),2250.0)</f>
        <v>2250</v>
      </c>
      <c r="C192" s="14">
        <f>IFERROR(__xludf.DUMMYFUNCTION("GOOGLEFINANCE(A192,""PRICEOPEN"")"),2231.8)</f>
        <v>2231.8</v>
      </c>
      <c r="D192" s="14">
        <f>IFERROR(__xludf.DUMMYFUNCTION("GOOGLEFINANCE(A192,""HIGH"")"),2264.9)</f>
        <v>2264.9</v>
      </c>
      <c r="E192" s="14">
        <f>IFERROR(__xludf.DUMMYFUNCTION("GOOGLEFINANCE(A192,""LOW"")"),2231.8)</f>
        <v>2231.8</v>
      </c>
      <c r="F192" s="15" t="str">
        <f t="shared" si="8"/>
        <v>BUY</v>
      </c>
      <c r="G192" s="16">
        <f>IFERROR(__xludf.DUMMYFUNCTION("GOOGLEFINANCE(A192,""CLOSEYEST"")"),2229.4)</f>
        <v>2229.4</v>
      </c>
      <c r="H192" s="17" t="str">
        <f t="shared" si="14"/>
        <v/>
      </c>
      <c r="I192" s="18">
        <f t="shared" si="9"/>
        <v>2242.033333</v>
      </c>
      <c r="J192" s="19">
        <f t="shared" si="10"/>
        <v>2252.266667</v>
      </c>
      <c r="K192" s="19"/>
      <c r="L192" s="19">
        <f t="shared" si="11"/>
        <v>2219.166667</v>
      </c>
      <c r="M192" s="19">
        <f t="shared" si="12"/>
        <v>2275.133333</v>
      </c>
      <c r="N192" s="19">
        <f t="shared" si="13"/>
        <v>2208.933333</v>
      </c>
    </row>
    <row r="193" ht="24.75" customHeight="1">
      <c r="A193" s="21" t="s">
        <v>157</v>
      </c>
      <c r="B193" s="13">
        <f>IFERROR(__xludf.DUMMYFUNCTION("GOOGLEFINANCE(A193,""PRICE"")"),7385.0)</f>
        <v>7385</v>
      </c>
      <c r="C193" s="14">
        <f>IFERROR(__xludf.DUMMYFUNCTION("GOOGLEFINANCE(A193,""PRICEOPEN"")"),7390.0)</f>
        <v>7390</v>
      </c>
      <c r="D193" s="14">
        <f>IFERROR(__xludf.DUMMYFUNCTION("GOOGLEFINANCE(A193,""HIGH"")"),7415.0)</f>
        <v>7415</v>
      </c>
      <c r="E193" s="14">
        <f>IFERROR(__xludf.DUMMYFUNCTION("GOOGLEFINANCE(A193,""LOW"")"),7309.5)</f>
        <v>7309.5</v>
      </c>
      <c r="F193" s="15" t="str">
        <f t="shared" si="8"/>
        <v/>
      </c>
      <c r="G193" s="16">
        <f>IFERROR(__xludf.DUMMYFUNCTION("GOOGLEFINANCE(A193,""CLOSEYEST"")"),7351.0)</f>
        <v>7351</v>
      </c>
      <c r="H193" s="17" t="str">
        <f t="shared" si="14"/>
        <v/>
      </c>
      <c r="I193" s="18">
        <f t="shared" si="9"/>
        <v>7358.5</v>
      </c>
      <c r="J193" s="19">
        <f t="shared" si="10"/>
        <v>7407.5</v>
      </c>
      <c r="K193" s="19"/>
      <c r="L193" s="19">
        <f t="shared" si="11"/>
        <v>7302</v>
      </c>
      <c r="M193" s="19">
        <f t="shared" si="12"/>
        <v>7464</v>
      </c>
      <c r="N193" s="19">
        <f t="shared" si="13"/>
        <v>7253</v>
      </c>
    </row>
    <row r="194" ht="24.75" customHeight="1">
      <c r="A194" s="21" t="s">
        <v>158</v>
      </c>
      <c r="B194" s="13">
        <f>IFERROR(__xludf.DUMMYFUNCTION("GOOGLEFINANCE(A194,""PRICE"")"),5350.0)</f>
        <v>5350</v>
      </c>
      <c r="C194" s="14">
        <f>IFERROR(__xludf.DUMMYFUNCTION("GOOGLEFINANCE(A194,""PRICEOPEN"")"),5222.5)</f>
        <v>5222.5</v>
      </c>
      <c r="D194" s="14">
        <f>IFERROR(__xludf.DUMMYFUNCTION("GOOGLEFINANCE(A194,""HIGH"")"),5369.0)</f>
        <v>5369</v>
      </c>
      <c r="E194" s="14">
        <f>IFERROR(__xludf.DUMMYFUNCTION("GOOGLEFINANCE(A194,""LOW"")"),5190.0)</f>
        <v>5190</v>
      </c>
      <c r="F194" s="15" t="str">
        <f t="shared" si="8"/>
        <v/>
      </c>
      <c r="G194" s="16">
        <f>IFERROR(__xludf.DUMMYFUNCTION("GOOGLEFINANCE(A194,""CLOSEYEST"")"),5226.0)</f>
        <v>5226</v>
      </c>
      <c r="H194" s="17" t="str">
        <f t="shared" si="14"/>
        <v/>
      </c>
      <c r="I194" s="18">
        <f t="shared" si="9"/>
        <v>5261.666667</v>
      </c>
      <c r="J194" s="19">
        <f t="shared" si="10"/>
        <v>5333.333333</v>
      </c>
      <c r="K194" s="19"/>
      <c r="L194" s="19">
        <f t="shared" si="11"/>
        <v>5154.333333</v>
      </c>
      <c r="M194" s="19">
        <f t="shared" si="12"/>
        <v>5440.666667</v>
      </c>
      <c r="N194" s="19">
        <f t="shared" si="13"/>
        <v>5082.666667</v>
      </c>
    </row>
    <row r="195" ht="24.75" customHeight="1">
      <c r="A195" s="21" t="s">
        <v>159</v>
      </c>
      <c r="B195" s="13">
        <f>IFERROR(__xludf.DUMMYFUNCTION("GOOGLEFINANCE(A195,""PRICE"")"),8941.0)</f>
        <v>8941</v>
      </c>
      <c r="C195" s="14">
        <f>IFERROR(__xludf.DUMMYFUNCTION("GOOGLEFINANCE(A195,""PRICEOPEN"")"),8724.0)</f>
        <v>8724</v>
      </c>
      <c r="D195" s="14">
        <f>IFERROR(__xludf.DUMMYFUNCTION("GOOGLEFINANCE(A195,""HIGH"")"),8984.0)</f>
        <v>8984</v>
      </c>
      <c r="E195" s="14">
        <f>IFERROR(__xludf.DUMMYFUNCTION("GOOGLEFINANCE(A195,""LOW"")"),8641.0)</f>
        <v>8641</v>
      </c>
      <c r="F195" s="15" t="str">
        <f t="shared" si="8"/>
        <v/>
      </c>
      <c r="G195" s="16">
        <f>IFERROR(__xludf.DUMMYFUNCTION("GOOGLEFINANCE(A195,""CLOSEYEST"")"),8724.0)</f>
        <v>8724</v>
      </c>
      <c r="H195" s="17" t="str">
        <f t="shared" si="14"/>
        <v/>
      </c>
      <c r="I195" s="18">
        <f t="shared" si="9"/>
        <v>8783</v>
      </c>
      <c r="J195" s="19">
        <f t="shared" si="10"/>
        <v>8925</v>
      </c>
      <c r="K195" s="19"/>
      <c r="L195" s="19">
        <f t="shared" si="11"/>
        <v>8582</v>
      </c>
      <c r="M195" s="19">
        <f t="shared" si="12"/>
        <v>9126</v>
      </c>
      <c r="N195" s="19">
        <f t="shared" si="13"/>
        <v>8440</v>
      </c>
    </row>
    <row r="196" ht="24.75" customHeight="1">
      <c r="A196" s="21" t="s">
        <v>160</v>
      </c>
      <c r="B196" s="13">
        <f>IFERROR(__xludf.DUMMYFUNCTION("GOOGLEFINANCE(A196,""PRICE"")"),1604.5)</f>
        <v>1604.5</v>
      </c>
      <c r="C196" s="14">
        <f>IFERROR(__xludf.DUMMYFUNCTION("GOOGLEFINANCE(A196,""PRICEOPEN"")"),1622.0)</f>
        <v>1622</v>
      </c>
      <c r="D196" s="14">
        <f>IFERROR(__xludf.DUMMYFUNCTION("GOOGLEFINANCE(A196,""HIGH"")"),1647.9)</f>
        <v>1647.9</v>
      </c>
      <c r="E196" s="14">
        <f>IFERROR(__xludf.DUMMYFUNCTION("GOOGLEFINANCE(A196,""LOW"")"),1599.9)</f>
        <v>1599.9</v>
      </c>
      <c r="F196" s="15" t="str">
        <f t="shared" si="8"/>
        <v/>
      </c>
      <c r="G196" s="16">
        <f>IFERROR(__xludf.DUMMYFUNCTION("GOOGLEFINANCE(A196,""CLOSEYEST"")"),1621.9)</f>
        <v>1621.9</v>
      </c>
      <c r="H196" s="17" t="str">
        <f t="shared" si="14"/>
        <v/>
      </c>
      <c r="I196" s="18">
        <f t="shared" si="9"/>
        <v>1623.233333</v>
      </c>
      <c r="J196" s="19">
        <f t="shared" si="10"/>
        <v>1646.566667</v>
      </c>
      <c r="K196" s="19"/>
      <c r="L196" s="19">
        <f t="shared" si="11"/>
        <v>1598.566667</v>
      </c>
      <c r="M196" s="19">
        <f t="shared" si="12"/>
        <v>1671.233333</v>
      </c>
      <c r="N196" s="19">
        <f t="shared" si="13"/>
        <v>1575.233333</v>
      </c>
    </row>
    <row r="197" ht="24.75" customHeight="1">
      <c r="A197" s="21" t="s">
        <v>161</v>
      </c>
      <c r="B197" s="13">
        <f>IFERROR(__xludf.DUMMYFUNCTION("GOOGLEFINANCE(A197,""PRICE"")"),0.03)</f>
        <v>0.03</v>
      </c>
      <c r="C197" s="14">
        <f>IFERROR(__xludf.DUMMYFUNCTION("GOOGLEFINANCE(A197,""PRICEOPEN"")"),0.02)</f>
        <v>0.02</v>
      </c>
      <c r="D197" s="14">
        <f>IFERROR(__xludf.DUMMYFUNCTION("GOOGLEFINANCE(A197,""HIGH"")"),0.03)</f>
        <v>0.03</v>
      </c>
      <c r="E197" s="14">
        <f>IFERROR(__xludf.DUMMYFUNCTION("GOOGLEFINANCE(A197,""LOW"")"),0.02)</f>
        <v>0.02</v>
      </c>
      <c r="F197" s="15" t="str">
        <f t="shared" si="8"/>
        <v>BUY</v>
      </c>
      <c r="G197" s="16">
        <f>IFERROR(__xludf.DUMMYFUNCTION("GOOGLEFINANCE(A197,""CLOSEYEST"")"),0.02)</f>
        <v>0.02</v>
      </c>
      <c r="H197" s="17" t="str">
        <f t="shared" si="14"/>
        <v/>
      </c>
      <c r="I197" s="18">
        <f t="shared" si="9"/>
        <v>0.02333333333</v>
      </c>
      <c r="J197" s="19">
        <f t="shared" si="10"/>
        <v>0.02666666667</v>
      </c>
      <c r="K197" s="19"/>
      <c r="L197" s="19">
        <f t="shared" si="11"/>
        <v>0.01666666667</v>
      </c>
      <c r="M197" s="19">
        <f t="shared" si="12"/>
        <v>0.03333333333</v>
      </c>
      <c r="N197" s="19">
        <f t="shared" si="13"/>
        <v>0.01333333333</v>
      </c>
    </row>
    <row r="198" ht="24.75" customHeight="1">
      <c r="A198" s="21" t="s">
        <v>162</v>
      </c>
      <c r="B198" s="13">
        <f>IFERROR(__xludf.DUMMYFUNCTION("GOOGLEFINANCE(A198,""PRICE"")"),1849.0)</f>
        <v>1849</v>
      </c>
      <c r="C198" s="14">
        <f>IFERROR(__xludf.DUMMYFUNCTION("GOOGLEFINANCE(A198,""PRICEOPEN"")"),1841.5)</f>
        <v>1841.5</v>
      </c>
      <c r="D198" s="14">
        <f>IFERROR(__xludf.DUMMYFUNCTION("GOOGLEFINANCE(A198,""HIGH"")"),1858.0)</f>
        <v>1858</v>
      </c>
      <c r="E198" s="14">
        <f>IFERROR(__xludf.DUMMYFUNCTION("GOOGLEFINANCE(A198,""LOW"")"),1841.5)</f>
        <v>1841.5</v>
      </c>
      <c r="F198" s="15" t="str">
        <f t="shared" si="8"/>
        <v>BUY</v>
      </c>
      <c r="G198" s="16">
        <f>IFERROR(__xludf.DUMMYFUNCTION("GOOGLEFINANCE(A198,""CLOSEYEST"")"),1841.5)</f>
        <v>1841.5</v>
      </c>
      <c r="H198" s="17" t="str">
        <f t="shared" si="14"/>
        <v/>
      </c>
      <c r="I198" s="18">
        <f t="shared" si="9"/>
        <v>1847</v>
      </c>
      <c r="J198" s="19">
        <f t="shared" si="10"/>
        <v>1852.5</v>
      </c>
      <c r="K198" s="19"/>
      <c r="L198" s="19">
        <f t="shared" si="11"/>
        <v>1836</v>
      </c>
      <c r="M198" s="19">
        <f t="shared" si="12"/>
        <v>1863.5</v>
      </c>
      <c r="N198" s="19">
        <f t="shared" si="13"/>
        <v>1830.5</v>
      </c>
    </row>
    <row r="199" ht="24.75" customHeight="1">
      <c r="A199" s="21" t="s">
        <v>163</v>
      </c>
      <c r="B199" s="13">
        <f>IFERROR(__xludf.DUMMYFUNCTION("GOOGLEFINANCE(A199,""PRICE"")"),1614.9)</f>
        <v>1614.9</v>
      </c>
      <c r="C199" s="14">
        <f>IFERROR(__xludf.DUMMYFUNCTION("GOOGLEFINANCE(A199,""PRICEOPEN"")"),1595.0)</f>
        <v>1595</v>
      </c>
      <c r="D199" s="14">
        <f>IFERROR(__xludf.DUMMYFUNCTION("GOOGLEFINANCE(A199,""HIGH"")"),1619.8)</f>
        <v>1619.8</v>
      </c>
      <c r="E199" s="14">
        <f>IFERROR(__xludf.DUMMYFUNCTION("GOOGLEFINANCE(A199,""LOW"")"),1588.5)</f>
        <v>1588.5</v>
      </c>
      <c r="F199" s="15" t="str">
        <f t="shared" si="8"/>
        <v/>
      </c>
      <c r="G199" s="16">
        <f>IFERROR(__xludf.DUMMYFUNCTION("GOOGLEFINANCE(A199,""CLOSEYEST"")"),1600.8)</f>
        <v>1600.8</v>
      </c>
      <c r="H199" s="17" t="str">
        <f t="shared" si="14"/>
        <v/>
      </c>
      <c r="I199" s="18">
        <f t="shared" si="9"/>
        <v>1603.033333</v>
      </c>
      <c r="J199" s="19">
        <f t="shared" si="10"/>
        <v>1617.566667</v>
      </c>
      <c r="K199" s="19"/>
      <c r="L199" s="19">
        <f t="shared" si="11"/>
        <v>1586.266667</v>
      </c>
      <c r="M199" s="19">
        <f t="shared" si="12"/>
        <v>1634.333333</v>
      </c>
      <c r="N199" s="19">
        <f t="shared" si="13"/>
        <v>1571.733333</v>
      </c>
    </row>
    <row r="200" ht="24.75" customHeight="1">
      <c r="A200" s="21" t="s">
        <v>164</v>
      </c>
      <c r="B200" s="13">
        <f>IFERROR(__xludf.DUMMYFUNCTION("GOOGLEFINANCE(A200,""PRICE"")"),1222.0)</f>
        <v>1222</v>
      </c>
      <c r="C200" s="14">
        <f>IFERROR(__xludf.DUMMYFUNCTION("GOOGLEFINANCE(A200,""PRICEOPEN"")"),1219.6)</f>
        <v>1219.6</v>
      </c>
      <c r="D200" s="14">
        <f>IFERROR(__xludf.DUMMYFUNCTION("GOOGLEFINANCE(A200,""HIGH"")"),1230.0)</f>
        <v>1230</v>
      </c>
      <c r="E200" s="14">
        <f>IFERROR(__xludf.DUMMYFUNCTION("GOOGLEFINANCE(A200,""LOW"")"),1210.2)</f>
        <v>1210.2</v>
      </c>
      <c r="F200" s="15" t="str">
        <f t="shared" si="8"/>
        <v/>
      </c>
      <c r="G200" s="16">
        <f>IFERROR(__xludf.DUMMYFUNCTION("GOOGLEFINANCE(A200,""CLOSEYEST"")"),1219.6)</f>
        <v>1219.6</v>
      </c>
      <c r="H200" s="17" t="str">
        <f t="shared" si="14"/>
        <v/>
      </c>
      <c r="I200" s="18">
        <f t="shared" si="9"/>
        <v>1219.933333</v>
      </c>
      <c r="J200" s="19">
        <f t="shared" si="10"/>
        <v>1229.666667</v>
      </c>
      <c r="K200" s="19"/>
      <c r="L200" s="19">
        <f t="shared" si="11"/>
        <v>1209.866667</v>
      </c>
      <c r="M200" s="19">
        <f t="shared" si="12"/>
        <v>1239.733333</v>
      </c>
      <c r="N200" s="19">
        <f t="shared" si="13"/>
        <v>1200.133333</v>
      </c>
    </row>
    <row r="201" ht="24.75" customHeight="1">
      <c r="A201" s="21" t="s">
        <v>165</v>
      </c>
      <c r="B201" s="13">
        <f>IFERROR(__xludf.DUMMYFUNCTION("GOOGLEFINANCE(A201,""PRICE"")"),1606.0)</f>
        <v>1606</v>
      </c>
      <c r="C201" s="14">
        <f>IFERROR(__xludf.DUMMYFUNCTION("GOOGLEFINANCE(A201,""PRICEOPEN"")"),1609.8)</f>
        <v>1609.8</v>
      </c>
      <c r="D201" s="14">
        <f>IFERROR(__xludf.DUMMYFUNCTION("GOOGLEFINANCE(A201,""HIGH"")"),1613.3)</f>
        <v>1613.3</v>
      </c>
      <c r="E201" s="14">
        <f>IFERROR(__xludf.DUMMYFUNCTION("GOOGLEFINANCE(A201,""LOW"")"),1583.7)</f>
        <v>1583.7</v>
      </c>
      <c r="F201" s="15" t="str">
        <f t="shared" si="8"/>
        <v/>
      </c>
      <c r="G201" s="16">
        <f>IFERROR(__xludf.DUMMYFUNCTION("GOOGLEFINANCE(A201,""CLOSEYEST"")"),1595.6)</f>
        <v>1595.6</v>
      </c>
      <c r="H201" s="17" t="str">
        <f t="shared" si="14"/>
        <v/>
      </c>
      <c r="I201" s="18">
        <f t="shared" si="9"/>
        <v>1597.533333</v>
      </c>
      <c r="J201" s="19">
        <f t="shared" si="10"/>
        <v>1611.366667</v>
      </c>
      <c r="K201" s="19"/>
      <c r="L201" s="19">
        <f t="shared" si="11"/>
        <v>1581.766667</v>
      </c>
      <c r="M201" s="19">
        <f t="shared" si="12"/>
        <v>1627.133333</v>
      </c>
      <c r="N201" s="19">
        <f t="shared" si="13"/>
        <v>1567.933333</v>
      </c>
    </row>
    <row r="202" ht="24.75" customHeight="1">
      <c r="A202" s="21" t="s">
        <v>166</v>
      </c>
      <c r="B202" s="13">
        <f>IFERROR(__xludf.DUMMYFUNCTION("GOOGLEFINANCE(A202,""PRICE"")"),21.84)</f>
        <v>21.84</v>
      </c>
      <c r="C202" s="14">
        <f>IFERROR(__xludf.DUMMYFUNCTION("GOOGLEFINANCE(A202,""PRICEOPEN"")"),21.76)</f>
        <v>21.76</v>
      </c>
      <c r="D202" s="14">
        <f>IFERROR(__xludf.DUMMYFUNCTION("GOOGLEFINANCE(A202,""HIGH"")"),21.97)</f>
        <v>21.97</v>
      </c>
      <c r="E202" s="14">
        <f>IFERROR(__xludf.DUMMYFUNCTION("GOOGLEFINANCE(A202,""LOW"")"),21.68)</f>
        <v>21.68</v>
      </c>
      <c r="F202" s="15" t="str">
        <f t="shared" si="8"/>
        <v/>
      </c>
      <c r="G202" s="16">
        <f>IFERROR(__xludf.DUMMYFUNCTION("GOOGLEFINANCE(A202,""CLOSEYEST"")"),21.76)</f>
        <v>21.76</v>
      </c>
      <c r="H202" s="17" t="str">
        <f t="shared" si="14"/>
        <v/>
      </c>
      <c r="I202" s="18">
        <f t="shared" si="9"/>
        <v>21.80333333</v>
      </c>
      <c r="J202" s="19">
        <f t="shared" si="10"/>
        <v>21.92666667</v>
      </c>
      <c r="K202" s="19"/>
      <c r="L202" s="19">
        <f t="shared" si="11"/>
        <v>21.63666667</v>
      </c>
      <c r="M202" s="19">
        <f t="shared" si="12"/>
        <v>22.09333333</v>
      </c>
      <c r="N202" s="19">
        <f t="shared" si="13"/>
        <v>21.51333333</v>
      </c>
    </row>
    <row r="203" ht="24.75" customHeight="1">
      <c r="A203" s="21" t="s">
        <v>167</v>
      </c>
      <c r="B203" s="13">
        <f>IFERROR(__xludf.DUMMYFUNCTION("GOOGLEFINANCE(A203,""PRICE"")"),5072.0)</f>
        <v>5072</v>
      </c>
      <c r="C203" s="14">
        <f>IFERROR(__xludf.DUMMYFUNCTION("GOOGLEFINANCE(A203,""PRICEOPEN"")"),4975.0)</f>
        <v>4975</v>
      </c>
      <c r="D203" s="14">
        <f>IFERROR(__xludf.DUMMYFUNCTION("GOOGLEFINANCE(A203,""HIGH"")"),5077.1)</f>
        <v>5077.1</v>
      </c>
      <c r="E203" s="14">
        <f>IFERROR(__xludf.DUMMYFUNCTION("GOOGLEFINANCE(A203,""LOW"")"),4953.7)</f>
        <v>4953.7</v>
      </c>
      <c r="F203" s="15" t="str">
        <f t="shared" si="8"/>
        <v/>
      </c>
      <c r="G203" s="16">
        <f>IFERROR(__xludf.DUMMYFUNCTION("GOOGLEFINANCE(A203,""CLOSEYEST"")"),4955.4)</f>
        <v>4955.4</v>
      </c>
      <c r="H203" s="17" t="str">
        <f t="shared" si="14"/>
        <v/>
      </c>
      <c r="I203" s="18">
        <f t="shared" si="9"/>
        <v>4995.4</v>
      </c>
      <c r="J203" s="19">
        <f t="shared" si="10"/>
        <v>5037.1</v>
      </c>
      <c r="K203" s="19"/>
      <c r="L203" s="19">
        <f t="shared" si="11"/>
        <v>4913.7</v>
      </c>
      <c r="M203" s="19">
        <f t="shared" si="12"/>
        <v>5118.8</v>
      </c>
      <c r="N203" s="19">
        <f t="shared" si="13"/>
        <v>4872</v>
      </c>
    </row>
    <row r="204" ht="24.75" customHeight="1">
      <c r="A204" s="21" t="s">
        <v>168</v>
      </c>
      <c r="B204" s="13">
        <f>IFERROR(__xludf.DUMMYFUNCTION("GOOGLEFINANCE(A204,""PRICE"")"),3130.0)</f>
        <v>3130</v>
      </c>
      <c r="C204" s="14">
        <f>IFERROR(__xludf.DUMMYFUNCTION("GOOGLEFINANCE(A204,""PRICEOPEN"")"),3090.0)</f>
        <v>3090</v>
      </c>
      <c r="D204" s="14">
        <f>IFERROR(__xludf.DUMMYFUNCTION("GOOGLEFINANCE(A204,""HIGH"")"),3150.0)</f>
        <v>3150</v>
      </c>
      <c r="E204" s="14">
        <f>IFERROR(__xludf.DUMMYFUNCTION("GOOGLEFINANCE(A204,""LOW"")"),3082.2)</f>
        <v>3082.2</v>
      </c>
      <c r="F204" s="15" t="str">
        <f t="shared" si="8"/>
        <v/>
      </c>
      <c r="G204" s="16">
        <f>IFERROR(__xludf.DUMMYFUNCTION("GOOGLEFINANCE(A204,""CLOSEYEST"")"),3084.1)</f>
        <v>3084.1</v>
      </c>
      <c r="H204" s="17" t="str">
        <f t="shared" si="14"/>
        <v/>
      </c>
      <c r="I204" s="18">
        <f t="shared" si="9"/>
        <v>3105.433333</v>
      </c>
      <c r="J204" s="19">
        <f t="shared" si="10"/>
        <v>3128.666667</v>
      </c>
      <c r="K204" s="19"/>
      <c r="L204" s="19">
        <f t="shared" si="11"/>
        <v>3060.866667</v>
      </c>
      <c r="M204" s="19">
        <f t="shared" si="12"/>
        <v>3173.233333</v>
      </c>
      <c r="N204" s="19">
        <f t="shared" si="13"/>
        <v>3037.633333</v>
      </c>
    </row>
    <row r="205" ht="24.75" customHeight="1">
      <c r="A205" s="21" t="s">
        <v>169</v>
      </c>
      <c r="B205" s="13" t="str">
        <f>IFERROR(__xludf.DUMMYFUNCTION("GOOGLEFINANCE(A205,""PRICE"")"),"#N/A")</f>
        <v>#N/A</v>
      </c>
      <c r="C205" s="14" t="str">
        <f>IFERROR(__xludf.DUMMYFUNCTION("GOOGLEFINANCE(A205,""PRICEOPEN"")"),"#N/A")</f>
        <v>#N/A</v>
      </c>
      <c r="D205" s="14" t="str">
        <f>IFERROR(__xludf.DUMMYFUNCTION("GOOGLEFINANCE(A205,""HIGH"")"),"#N/A")</f>
        <v>#N/A</v>
      </c>
      <c r="E205" s="14" t="str">
        <f>IFERROR(__xludf.DUMMYFUNCTION("GOOGLEFINANCE(A205,""LOW"")"),"#N/A")</f>
        <v>#N/A</v>
      </c>
      <c r="F205" s="15" t="str">
        <f t="shared" si="8"/>
        <v>#N/A</v>
      </c>
      <c r="G205" s="16" t="str">
        <f>IFERROR(__xludf.DUMMYFUNCTION("GOOGLEFINANCE(A205,""CLOSEYEST"")"),"#N/A")</f>
        <v>#N/A</v>
      </c>
      <c r="H205" s="17" t="str">
        <f t="shared" si="14"/>
        <v>#N/A</v>
      </c>
      <c r="I205" s="18" t="str">
        <f t="shared" si="9"/>
        <v>#N/A</v>
      </c>
      <c r="J205" s="19" t="str">
        <f t="shared" si="10"/>
        <v>#N/A</v>
      </c>
      <c r="K205" s="19"/>
      <c r="L205" s="19" t="str">
        <f t="shared" si="11"/>
        <v>#N/A</v>
      </c>
      <c r="M205" s="19" t="str">
        <f t="shared" si="12"/>
        <v>#N/A</v>
      </c>
      <c r="N205" s="19" t="str">
        <f t="shared" si="13"/>
        <v>#N/A</v>
      </c>
    </row>
    <row r="206" ht="24.75" customHeight="1">
      <c r="A206" s="21" t="s">
        <v>170</v>
      </c>
      <c r="B206" s="13">
        <f>IFERROR(__xludf.DUMMYFUNCTION("GOOGLEFINANCE(A206,""PRICE"")"),277.85)</f>
        <v>277.85</v>
      </c>
      <c r="C206" s="14">
        <f>IFERROR(__xludf.DUMMYFUNCTION("GOOGLEFINANCE(A206,""PRICEOPEN"")"),274.5)</f>
        <v>274.5</v>
      </c>
      <c r="D206" s="14">
        <f>IFERROR(__xludf.DUMMYFUNCTION("GOOGLEFINANCE(A206,""HIGH"")"),279.95)</f>
        <v>279.95</v>
      </c>
      <c r="E206" s="14">
        <f>IFERROR(__xludf.DUMMYFUNCTION("GOOGLEFINANCE(A206,""LOW"")"),273.75)</f>
        <v>273.75</v>
      </c>
      <c r="F206" s="15" t="str">
        <f t="shared" si="8"/>
        <v/>
      </c>
      <c r="G206" s="16">
        <f>IFERROR(__xludf.DUMMYFUNCTION("GOOGLEFINANCE(A206,""CLOSEYEST"")"),274.5)</f>
        <v>274.5</v>
      </c>
      <c r="H206" s="17" t="str">
        <f t="shared" si="14"/>
        <v/>
      </c>
      <c r="I206" s="18">
        <f t="shared" si="9"/>
        <v>276.0666667</v>
      </c>
      <c r="J206" s="19">
        <f t="shared" si="10"/>
        <v>278.3833333</v>
      </c>
      <c r="K206" s="19"/>
      <c r="L206" s="19">
        <f t="shared" si="11"/>
        <v>272.1833333</v>
      </c>
      <c r="M206" s="19">
        <f t="shared" si="12"/>
        <v>282.2666667</v>
      </c>
      <c r="N206" s="19">
        <f t="shared" si="13"/>
        <v>269.8666667</v>
      </c>
    </row>
    <row r="207" ht="24.75" customHeight="1">
      <c r="A207" s="21" t="s">
        <v>171</v>
      </c>
      <c r="B207" s="13">
        <f>IFERROR(__xludf.DUMMYFUNCTION("GOOGLEFINANCE(A207,""PRICE"")"),252.59)</f>
        <v>252.59</v>
      </c>
      <c r="C207" s="14">
        <f>IFERROR(__xludf.DUMMYFUNCTION("GOOGLEFINANCE(A207,""PRICEOPEN"")"),248.5)</f>
        <v>248.5</v>
      </c>
      <c r="D207" s="14">
        <f>IFERROR(__xludf.DUMMYFUNCTION("GOOGLEFINANCE(A207,""HIGH"")"),254.95)</f>
        <v>254.95</v>
      </c>
      <c r="E207" s="14">
        <f>IFERROR(__xludf.DUMMYFUNCTION("GOOGLEFINANCE(A207,""LOW"")"),247.9)</f>
        <v>247.9</v>
      </c>
      <c r="F207" s="15" t="str">
        <f t="shared" si="8"/>
        <v/>
      </c>
      <c r="G207" s="16">
        <f>IFERROR(__xludf.DUMMYFUNCTION("GOOGLEFINANCE(A207,""CLOSEYEST"")"),249.22)</f>
        <v>249.22</v>
      </c>
      <c r="H207" s="17" t="str">
        <f t="shared" si="14"/>
        <v/>
      </c>
      <c r="I207" s="18">
        <f t="shared" si="9"/>
        <v>250.69</v>
      </c>
      <c r="J207" s="19">
        <f t="shared" si="10"/>
        <v>253.48</v>
      </c>
      <c r="K207" s="19"/>
      <c r="L207" s="19">
        <f t="shared" si="11"/>
        <v>246.43</v>
      </c>
      <c r="M207" s="19">
        <f t="shared" si="12"/>
        <v>257.74</v>
      </c>
      <c r="N207" s="19">
        <f t="shared" si="13"/>
        <v>243.64</v>
      </c>
    </row>
    <row r="208" ht="24.75" customHeight="1">
      <c r="A208" s="21" t="s">
        <v>172</v>
      </c>
      <c r="B208" s="13">
        <f>IFERROR(__xludf.DUMMYFUNCTION("GOOGLEFINANCE(A208,""PRICE"")"),442.5)</f>
        <v>442.5</v>
      </c>
      <c r="C208" s="14">
        <f>IFERROR(__xludf.DUMMYFUNCTION("GOOGLEFINANCE(A208,""PRICEOPEN"")"),445.6)</f>
        <v>445.6</v>
      </c>
      <c r="D208" s="14">
        <f>IFERROR(__xludf.DUMMYFUNCTION("GOOGLEFINANCE(A208,""HIGH"")"),447.7)</f>
        <v>447.7</v>
      </c>
      <c r="E208" s="14">
        <f>IFERROR(__xludf.DUMMYFUNCTION("GOOGLEFINANCE(A208,""LOW"")"),440.0)</f>
        <v>440</v>
      </c>
      <c r="F208" s="15" t="str">
        <f t="shared" si="8"/>
        <v/>
      </c>
      <c r="G208" s="16">
        <f>IFERROR(__xludf.DUMMYFUNCTION("GOOGLEFINANCE(A208,""CLOSEYEST"")"),445.6)</f>
        <v>445.6</v>
      </c>
      <c r="H208" s="17" t="str">
        <f t="shared" si="14"/>
        <v/>
      </c>
      <c r="I208" s="18">
        <f t="shared" si="9"/>
        <v>444.4333333</v>
      </c>
      <c r="J208" s="19">
        <f t="shared" si="10"/>
        <v>448.8666667</v>
      </c>
      <c r="K208" s="19"/>
      <c r="L208" s="19">
        <f t="shared" si="11"/>
        <v>441.1666667</v>
      </c>
      <c r="M208" s="19">
        <f t="shared" si="12"/>
        <v>452.1333333</v>
      </c>
      <c r="N208" s="19">
        <f t="shared" si="13"/>
        <v>436.7333333</v>
      </c>
    </row>
    <row r="209" ht="24.75" customHeight="1">
      <c r="A209" s="21" t="s">
        <v>173</v>
      </c>
      <c r="B209" s="13" t="str">
        <f>IFERROR(__xludf.DUMMYFUNCTION("GOOGLEFINANCE(A209,""PRICE"")"),"#N/A")</f>
        <v>#N/A</v>
      </c>
      <c r="C209" s="14" t="str">
        <f>IFERROR(__xludf.DUMMYFUNCTION("GOOGLEFINANCE(A209,""PRICEOPEN"")"),"#N/A")</f>
        <v>#N/A</v>
      </c>
      <c r="D209" s="14" t="str">
        <f>IFERROR(__xludf.DUMMYFUNCTION("GOOGLEFINANCE(A209,""HIGH"")"),"#N/A")</f>
        <v>#N/A</v>
      </c>
      <c r="E209" s="14" t="str">
        <f>IFERROR(__xludf.DUMMYFUNCTION("GOOGLEFINANCE(A209,""LOW"")"),"#N/A")</f>
        <v>#N/A</v>
      </c>
      <c r="F209" s="15" t="str">
        <f t="shared" si="8"/>
        <v>#N/A</v>
      </c>
      <c r="G209" s="16" t="str">
        <f>IFERROR(__xludf.DUMMYFUNCTION("GOOGLEFINANCE(A209,""CLOSEYEST"")"),"#N/A")</f>
        <v>#N/A</v>
      </c>
      <c r="H209" s="17" t="str">
        <f t="shared" si="14"/>
        <v>#N/A</v>
      </c>
      <c r="I209" s="18" t="str">
        <f t="shared" si="9"/>
        <v>#N/A</v>
      </c>
      <c r="J209" s="19" t="str">
        <f t="shared" si="10"/>
        <v>#N/A</v>
      </c>
      <c r="K209" s="19"/>
      <c r="L209" s="19" t="str">
        <f t="shared" si="11"/>
        <v>#N/A</v>
      </c>
      <c r="M209" s="19" t="str">
        <f t="shared" si="12"/>
        <v>#N/A</v>
      </c>
      <c r="N209" s="19" t="str">
        <f t="shared" si="13"/>
        <v>#N/A</v>
      </c>
    </row>
    <row r="210" ht="24.75" customHeight="1">
      <c r="A210" s="21" t="s">
        <v>174</v>
      </c>
      <c r="B210" s="13">
        <f>IFERROR(__xludf.DUMMYFUNCTION("GOOGLEFINANCE(A210,""PRICE"")"),4.0)</f>
        <v>4</v>
      </c>
      <c r="C210" s="14" t="str">
        <f>IFERROR(__xludf.DUMMYFUNCTION("GOOGLEFINANCE(A210,""PRICEOPEN"")"),"#N/A")</f>
        <v>#N/A</v>
      </c>
      <c r="D210" s="14" t="str">
        <f>IFERROR(__xludf.DUMMYFUNCTION("GOOGLEFINANCE(A210,""HIGH"")"),"#N/A")</f>
        <v>#N/A</v>
      </c>
      <c r="E210" s="14" t="str">
        <f>IFERROR(__xludf.DUMMYFUNCTION("GOOGLEFINANCE(A210,""LOW"")"),"#N/A")</f>
        <v>#N/A</v>
      </c>
      <c r="F210" s="15" t="str">
        <f t="shared" si="8"/>
        <v>#N/A</v>
      </c>
      <c r="G210" s="16">
        <f>IFERROR(__xludf.DUMMYFUNCTION("GOOGLEFINANCE(A210,""CLOSEYEST"")"),4.0)</f>
        <v>4</v>
      </c>
      <c r="H210" s="17" t="str">
        <f t="shared" si="14"/>
        <v>#N/A</v>
      </c>
      <c r="I210" s="18" t="str">
        <f t="shared" si="9"/>
        <v>#N/A</v>
      </c>
      <c r="J210" s="19" t="str">
        <f t="shared" si="10"/>
        <v>#N/A</v>
      </c>
      <c r="K210" s="19"/>
      <c r="L210" s="19" t="str">
        <f t="shared" si="11"/>
        <v>#N/A</v>
      </c>
      <c r="M210" s="19" t="str">
        <f t="shared" si="12"/>
        <v>#N/A</v>
      </c>
      <c r="N210" s="19" t="str">
        <f t="shared" si="13"/>
        <v>#N/A</v>
      </c>
    </row>
    <row r="211" ht="24.75" customHeight="1">
      <c r="A211" s="21" t="s">
        <v>175</v>
      </c>
      <c r="B211" s="13">
        <f>IFERROR(__xludf.DUMMYFUNCTION("GOOGLEFINANCE(A211,""PRICE"")"),2.84)</f>
        <v>2.84</v>
      </c>
      <c r="C211" s="14">
        <f>IFERROR(__xludf.DUMMYFUNCTION("GOOGLEFINANCE(A211,""PRICEOPEN"")"),2.8)</f>
        <v>2.8</v>
      </c>
      <c r="D211" s="14">
        <f>IFERROR(__xludf.DUMMYFUNCTION("GOOGLEFINANCE(A211,""HIGH"")"),2.84)</f>
        <v>2.84</v>
      </c>
      <c r="E211" s="14">
        <f>IFERROR(__xludf.DUMMYFUNCTION("GOOGLEFINANCE(A211,""LOW"")"),2.79)</f>
        <v>2.79</v>
      </c>
      <c r="F211" s="15" t="str">
        <f t="shared" si="8"/>
        <v/>
      </c>
      <c r="G211" s="16">
        <f>IFERROR(__xludf.DUMMYFUNCTION("GOOGLEFINANCE(A211,""CLOSEYEST"")"),2.8)</f>
        <v>2.8</v>
      </c>
      <c r="H211" s="17" t="str">
        <f t="shared" si="14"/>
        <v/>
      </c>
      <c r="I211" s="18">
        <f t="shared" si="9"/>
        <v>2.81</v>
      </c>
      <c r="J211" s="19">
        <f t="shared" si="10"/>
        <v>2.83</v>
      </c>
      <c r="K211" s="19"/>
      <c r="L211" s="19">
        <f t="shared" si="11"/>
        <v>2.78</v>
      </c>
      <c r="M211" s="19">
        <f t="shared" si="12"/>
        <v>2.86</v>
      </c>
      <c r="N211" s="19">
        <f t="shared" si="13"/>
        <v>2.76</v>
      </c>
    </row>
    <row r="212" ht="24.75" customHeight="1">
      <c r="A212" s="21" t="s">
        <v>176</v>
      </c>
      <c r="B212" s="13">
        <f>IFERROR(__xludf.DUMMYFUNCTION("GOOGLEFINANCE(A212,""PRICE"")"),304.5)</f>
        <v>304.5</v>
      </c>
      <c r="C212" s="14">
        <f>IFERROR(__xludf.DUMMYFUNCTION("GOOGLEFINANCE(A212,""PRICEOPEN"")"),300.6)</f>
        <v>300.6</v>
      </c>
      <c r="D212" s="14">
        <f>IFERROR(__xludf.DUMMYFUNCTION("GOOGLEFINANCE(A212,""HIGH"")"),304.95)</f>
        <v>304.95</v>
      </c>
      <c r="E212" s="14">
        <f>IFERROR(__xludf.DUMMYFUNCTION("GOOGLEFINANCE(A212,""LOW"")"),297.6)</f>
        <v>297.6</v>
      </c>
      <c r="F212" s="15" t="str">
        <f t="shared" si="8"/>
        <v/>
      </c>
      <c r="G212" s="16">
        <f>IFERROR(__xludf.DUMMYFUNCTION("GOOGLEFINANCE(A212,""CLOSEYEST"")"),299.85)</f>
        <v>299.85</v>
      </c>
      <c r="H212" s="17" t="str">
        <f t="shared" si="14"/>
        <v/>
      </c>
      <c r="I212" s="18">
        <f t="shared" si="9"/>
        <v>300.8</v>
      </c>
      <c r="J212" s="19">
        <f t="shared" si="10"/>
        <v>304</v>
      </c>
      <c r="K212" s="19"/>
      <c r="L212" s="19">
        <f t="shared" si="11"/>
        <v>296.65</v>
      </c>
      <c r="M212" s="19">
        <f t="shared" si="12"/>
        <v>308.15</v>
      </c>
      <c r="N212" s="19">
        <f t="shared" si="13"/>
        <v>293.45</v>
      </c>
    </row>
    <row r="213" ht="24.75" customHeight="1">
      <c r="A213" s="21" t="s">
        <v>64</v>
      </c>
      <c r="B213" s="13">
        <f>IFERROR(__xludf.DUMMYFUNCTION("GOOGLEFINANCE(A213,""PRICE"")"),114.15)</f>
        <v>114.15</v>
      </c>
      <c r="C213" s="14">
        <f>IFERROR(__xludf.DUMMYFUNCTION("GOOGLEFINANCE(A213,""PRICEOPEN"")"),114.49)</f>
        <v>114.49</v>
      </c>
      <c r="D213" s="14">
        <f>IFERROR(__xludf.DUMMYFUNCTION("GOOGLEFINANCE(A213,""HIGH"")"),115.07)</f>
        <v>115.07</v>
      </c>
      <c r="E213" s="14">
        <f>IFERROR(__xludf.DUMMYFUNCTION("GOOGLEFINANCE(A213,""LOW"")"),112.63)</f>
        <v>112.63</v>
      </c>
      <c r="F213" s="15" t="str">
        <f t="shared" si="8"/>
        <v/>
      </c>
      <c r="G213" s="16">
        <f>IFERROR(__xludf.DUMMYFUNCTION("GOOGLEFINANCE(A213,""CLOSEYEST"")"),114.21)</f>
        <v>114.21</v>
      </c>
      <c r="H213" s="17" t="str">
        <f t="shared" si="14"/>
        <v/>
      </c>
      <c r="I213" s="18">
        <f t="shared" si="9"/>
        <v>113.97</v>
      </c>
      <c r="J213" s="19">
        <f t="shared" si="10"/>
        <v>115.31</v>
      </c>
      <c r="K213" s="19"/>
      <c r="L213" s="19">
        <f t="shared" si="11"/>
        <v>112.87</v>
      </c>
      <c r="M213" s="19">
        <f t="shared" si="12"/>
        <v>116.41</v>
      </c>
      <c r="N213" s="19">
        <f t="shared" si="13"/>
        <v>111.53</v>
      </c>
    </row>
    <row r="214" ht="24.75" customHeight="1">
      <c r="A214" s="21" t="s">
        <v>177</v>
      </c>
      <c r="B214" s="13">
        <f>IFERROR(__xludf.DUMMYFUNCTION("GOOGLEFINANCE(A214,""PRICE"")"),114.0)</f>
        <v>114</v>
      </c>
      <c r="C214" s="14">
        <f>IFERROR(__xludf.DUMMYFUNCTION("GOOGLEFINANCE(A214,""PRICEOPEN"")"),112.0)</f>
        <v>112</v>
      </c>
      <c r="D214" s="14">
        <f>IFERROR(__xludf.DUMMYFUNCTION("GOOGLEFINANCE(A214,""HIGH"")"),114.0)</f>
        <v>114</v>
      </c>
      <c r="E214" s="14">
        <f>IFERROR(__xludf.DUMMYFUNCTION("GOOGLEFINANCE(A214,""LOW"")"),110.0)</f>
        <v>110</v>
      </c>
      <c r="F214" s="15" t="str">
        <f t="shared" si="8"/>
        <v/>
      </c>
      <c r="G214" s="16">
        <f>IFERROR(__xludf.DUMMYFUNCTION("GOOGLEFINANCE(A214,""CLOSEYEST"")"),114.0)</f>
        <v>114</v>
      </c>
      <c r="H214" s="17" t="str">
        <f t="shared" si="14"/>
        <v>GAP DOWN</v>
      </c>
      <c r="I214" s="18">
        <f t="shared" si="9"/>
        <v>112.6666667</v>
      </c>
      <c r="J214" s="19">
        <f t="shared" si="10"/>
        <v>115.3333333</v>
      </c>
      <c r="K214" s="19"/>
      <c r="L214" s="19">
        <f t="shared" si="11"/>
        <v>111.3333333</v>
      </c>
      <c r="M214" s="19">
        <f t="shared" si="12"/>
        <v>116.6666667</v>
      </c>
      <c r="N214" s="19">
        <f t="shared" si="13"/>
        <v>108.6666667</v>
      </c>
    </row>
    <row r="215" ht="24.75" customHeight="1">
      <c r="A215" s="21" t="s">
        <v>178</v>
      </c>
      <c r="B215" s="13">
        <f>IFERROR(__xludf.DUMMYFUNCTION("GOOGLEFINANCE(A215,""PRICE"")"),16597.0)</f>
        <v>16597</v>
      </c>
      <c r="C215" s="14">
        <f>IFERROR(__xludf.DUMMYFUNCTION("GOOGLEFINANCE(A215,""PRICEOPEN"")"),16500.0)</f>
        <v>16500</v>
      </c>
      <c r="D215" s="14">
        <f>IFERROR(__xludf.DUMMYFUNCTION("GOOGLEFINANCE(A215,""HIGH"")"),16649.0)</f>
        <v>16649</v>
      </c>
      <c r="E215" s="14">
        <f>IFERROR(__xludf.DUMMYFUNCTION("GOOGLEFINANCE(A215,""LOW"")"),16393.0)</f>
        <v>16393</v>
      </c>
      <c r="F215" s="15" t="str">
        <f t="shared" si="8"/>
        <v/>
      </c>
      <c r="G215" s="16">
        <f>IFERROR(__xludf.DUMMYFUNCTION("GOOGLEFINANCE(A215,""CLOSEYEST"")"),16453.0)</f>
        <v>16453</v>
      </c>
      <c r="H215" s="17" t="str">
        <f t="shared" si="14"/>
        <v/>
      </c>
      <c r="I215" s="18">
        <f t="shared" si="9"/>
        <v>16498.33333</v>
      </c>
      <c r="J215" s="19">
        <f t="shared" si="10"/>
        <v>16603.66667</v>
      </c>
      <c r="K215" s="19"/>
      <c r="L215" s="19">
        <f t="shared" si="11"/>
        <v>16347.66667</v>
      </c>
      <c r="M215" s="19">
        <f t="shared" si="12"/>
        <v>16754.33333</v>
      </c>
      <c r="N215" s="19">
        <f t="shared" si="13"/>
        <v>16242.33333</v>
      </c>
    </row>
    <row r="216" ht="24.75" customHeight="1">
      <c r="A216" s="21" t="s">
        <v>179</v>
      </c>
      <c r="B216" s="13">
        <f>IFERROR(__xludf.DUMMYFUNCTION("GOOGLEFINANCE(A216,""PRICE"")"),87.0)</f>
        <v>87</v>
      </c>
      <c r="C216" s="14">
        <f>IFERROR(__xludf.DUMMYFUNCTION("GOOGLEFINANCE(A216,""PRICEOPEN"")"),86.5)</f>
        <v>86.5</v>
      </c>
      <c r="D216" s="14">
        <f>IFERROR(__xludf.DUMMYFUNCTION("GOOGLEFINANCE(A216,""HIGH"")"),87.15)</f>
        <v>87.15</v>
      </c>
      <c r="E216" s="14">
        <f>IFERROR(__xludf.DUMMYFUNCTION("GOOGLEFINANCE(A216,""LOW"")"),85.6)</f>
        <v>85.6</v>
      </c>
      <c r="F216" s="15" t="str">
        <f t="shared" si="8"/>
        <v/>
      </c>
      <c r="G216" s="16">
        <f>IFERROR(__xludf.DUMMYFUNCTION("GOOGLEFINANCE(A216,""CLOSEYEST"")"),86.37)</f>
        <v>86.37</v>
      </c>
      <c r="H216" s="17" t="str">
        <f t="shared" si="14"/>
        <v/>
      </c>
      <c r="I216" s="18">
        <f t="shared" si="9"/>
        <v>86.37333333</v>
      </c>
      <c r="J216" s="19">
        <f t="shared" si="10"/>
        <v>87.14666667</v>
      </c>
      <c r="K216" s="19"/>
      <c r="L216" s="19">
        <f t="shared" si="11"/>
        <v>85.59666667</v>
      </c>
      <c r="M216" s="19">
        <f t="shared" si="12"/>
        <v>87.92333333</v>
      </c>
      <c r="N216" s="19">
        <f t="shared" si="13"/>
        <v>84.82333333</v>
      </c>
    </row>
    <row r="217" ht="24.75" customHeight="1">
      <c r="A217" s="21" t="s">
        <v>180</v>
      </c>
      <c r="B217" s="13">
        <f>IFERROR(__xludf.DUMMYFUNCTION("GOOGLEFINANCE(A217,""PRICE"")"),137.7)</f>
        <v>137.7</v>
      </c>
      <c r="C217" s="14">
        <f>IFERROR(__xludf.DUMMYFUNCTION("GOOGLEFINANCE(A217,""PRICEOPEN"")"),138.78)</f>
        <v>138.78</v>
      </c>
      <c r="D217" s="14">
        <f>IFERROR(__xludf.DUMMYFUNCTION("GOOGLEFINANCE(A217,""HIGH"")"),140.45)</f>
        <v>140.45</v>
      </c>
      <c r="E217" s="14">
        <f>IFERROR(__xludf.DUMMYFUNCTION("GOOGLEFINANCE(A217,""LOW"")"),135.29)</f>
        <v>135.29</v>
      </c>
      <c r="F217" s="15" t="str">
        <f t="shared" si="8"/>
        <v/>
      </c>
      <c r="G217" s="16">
        <f>IFERROR(__xludf.DUMMYFUNCTION("GOOGLEFINANCE(A217,""CLOSEYEST"")"),138.75)</f>
        <v>138.75</v>
      </c>
      <c r="H217" s="17" t="str">
        <f t="shared" si="14"/>
        <v/>
      </c>
      <c r="I217" s="18">
        <f t="shared" si="9"/>
        <v>138.1633333</v>
      </c>
      <c r="J217" s="19">
        <f t="shared" si="10"/>
        <v>141.0366667</v>
      </c>
      <c r="K217" s="19"/>
      <c r="L217" s="19">
        <f t="shared" si="11"/>
        <v>135.8766667</v>
      </c>
      <c r="M217" s="19">
        <f t="shared" si="12"/>
        <v>143.3233333</v>
      </c>
      <c r="N217" s="19">
        <f t="shared" si="13"/>
        <v>133.0033333</v>
      </c>
    </row>
    <row r="218" ht="24.75" customHeight="1">
      <c r="A218" s="21" t="s">
        <v>181</v>
      </c>
      <c r="B218" s="13">
        <f>IFERROR(__xludf.DUMMYFUNCTION("GOOGLEFINANCE(A218,""PRICE"")"),3125.0)</f>
        <v>3125</v>
      </c>
      <c r="C218" s="14">
        <f>IFERROR(__xludf.DUMMYFUNCTION("GOOGLEFINANCE(A218,""PRICEOPEN"")"),3151.0)</f>
        <v>3151</v>
      </c>
      <c r="D218" s="14">
        <f>IFERROR(__xludf.DUMMYFUNCTION("GOOGLEFINANCE(A218,""HIGH"")"),3168.7)</f>
        <v>3168.7</v>
      </c>
      <c r="E218" s="14">
        <f>IFERROR(__xludf.DUMMYFUNCTION("GOOGLEFINANCE(A218,""LOW"")"),3117.0)</f>
        <v>3117</v>
      </c>
      <c r="F218" s="15" t="str">
        <f t="shared" si="8"/>
        <v/>
      </c>
      <c r="G218" s="16">
        <f>IFERROR(__xludf.DUMMYFUNCTION("GOOGLEFINANCE(A218,""CLOSEYEST"")"),3168.7)</f>
        <v>3168.7</v>
      </c>
      <c r="H218" s="17" t="str">
        <f t="shared" si="14"/>
        <v/>
      </c>
      <c r="I218" s="18">
        <f t="shared" si="9"/>
        <v>3151.466667</v>
      </c>
      <c r="J218" s="19">
        <f t="shared" si="10"/>
        <v>3185.933333</v>
      </c>
      <c r="K218" s="19"/>
      <c r="L218" s="19">
        <f t="shared" si="11"/>
        <v>3134.233333</v>
      </c>
      <c r="M218" s="19">
        <f t="shared" si="12"/>
        <v>3203.166667</v>
      </c>
      <c r="N218" s="19">
        <f t="shared" si="13"/>
        <v>3099.766667</v>
      </c>
    </row>
    <row r="219" ht="24.75" customHeight="1">
      <c r="A219" s="21" t="s">
        <v>182</v>
      </c>
      <c r="B219" s="13">
        <f>IFERROR(__xludf.DUMMYFUNCTION("GOOGLEFINANCE(A219,""PRICE"")"),69.15)</f>
        <v>69.15</v>
      </c>
      <c r="C219" s="14">
        <f>IFERROR(__xludf.DUMMYFUNCTION("GOOGLEFINANCE(A219,""PRICEOPEN"")"),68.99)</f>
        <v>68.99</v>
      </c>
      <c r="D219" s="14">
        <f>IFERROR(__xludf.DUMMYFUNCTION("GOOGLEFINANCE(A219,""HIGH"")"),69.77)</f>
        <v>69.77</v>
      </c>
      <c r="E219" s="14">
        <f>IFERROR(__xludf.DUMMYFUNCTION("GOOGLEFINANCE(A219,""LOW"")"),68.77)</f>
        <v>68.77</v>
      </c>
      <c r="F219" s="15" t="str">
        <f t="shared" si="8"/>
        <v/>
      </c>
      <c r="G219" s="16">
        <f>IFERROR(__xludf.DUMMYFUNCTION("GOOGLEFINANCE(A219,""CLOSEYEST"")"),69.02)</f>
        <v>69.02</v>
      </c>
      <c r="H219" s="17" t="str">
        <f t="shared" si="14"/>
        <v/>
      </c>
      <c r="I219" s="18">
        <f t="shared" si="9"/>
        <v>69.18666667</v>
      </c>
      <c r="J219" s="19">
        <f t="shared" si="10"/>
        <v>69.60333333</v>
      </c>
      <c r="K219" s="19"/>
      <c r="L219" s="19">
        <f t="shared" si="11"/>
        <v>68.60333333</v>
      </c>
      <c r="M219" s="19">
        <f t="shared" si="12"/>
        <v>70.18666667</v>
      </c>
      <c r="N219" s="19">
        <f t="shared" si="13"/>
        <v>68.18666667</v>
      </c>
    </row>
    <row r="220" ht="24.75" customHeight="1">
      <c r="A220" s="21" t="s">
        <v>183</v>
      </c>
      <c r="B220" s="13">
        <f>IFERROR(__xludf.DUMMYFUNCTION("GOOGLEFINANCE(A220,""PRICE"")"),3447.6)</f>
        <v>3447.6</v>
      </c>
      <c r="C220" s="14">
        <f>IFERROR(__xludf.DUMMYFUNCTION("GOOGLEFINANCE(A220,""PRICEOPEN"")"),3460.0)</f>
        <v>3460</v>
      </c>
      <c r="D220" s="14">
        <f>IFERROR(__xludf.DUMMYFUNCTION("GOOGLEFINANCE(A220,""HIGH"")"),3465.0)</f>
        <v>3465</v>
      </c>
      <c r="E220" s="14">
        <f>IFERROR(__xludf.DUMMYFUNCTION("GOOGLEFINANCE(A220,""LOW"")"),3367.2)</f>
        <v>3367.2</v>
      </c>
      <c r="F220" s="15" t="str">
        <f t="shared" si="8"/>
        <v/>
      </c>
      <c r="G220" s="16">
        <f>IFERROR(__xludf.DUMMYFUNCTION("GOOGLEFINANCE(A220,""CLOSEYEST"")"),3457.8)</f>
        <v>3457.8</v>
      </c>
      <c r="H220" s="17" t="str">
        <f t="shared" si="14"/>
        <v/>
      </c>
      <c r="I220" s="18">
        <f t="shared" si="9"/>
        <v>3430</v>
      </c>
      <c r="J220" s="19">
        <f t="shared" si="10"/>
        <v>3492.8</v>
      </c>
      <c r="K220" s="19"/>
      <c r="L220" s="19">
        <f t="shared" si="11"/>
        <v>3395</v>
      </c>
      <c r="M220" s="19">
        <f t="shared" si="12"/>
        <v>3527.8</v>
      </c>
      <c r="N220" s="19">
        <f t="shared" si="13"/>
        <v>3332.2</v>
      </c>
    </row>
    <row r="221" ht="24.75" customHeight="1">
      <c r="A221" s="21" t="s">
        <v>184</v>
      </c>
      <c r="B221" s="13">
        <f>IFERROR(__xludf.DUMMYFUNCTION("GOOGLEFINANCE(A221,""PRICE"")"),3700.0)</f>
        <v>3700</v>
      </c>
      <c r="C221" s="14">
        <f>IFERROR(__xludf.DUMMYFUNCTION("GOOGLEFINANCE(A221,""PRICEOPEN"")"),3714.0)</f>
        <v>3714</v>
      </c>
      <c r="D221" s="14">
        <f>IFERROR(__xludf.DUMMYFUNCTION("GOOGLEFINANCE(A221,""HIGH"")"),3755.0)</f>
        <v>3755</v>
      </c>
      <c r="E221" s="14">
        <f>IFERROR(__xludf.DUMMYFUNCTION("GOOGLEFINANCE(A221,""LOW"")"),3695.0)</f>
        <v>3695</v>
      </c>
      <c r="F221" s="15" t="str">
        <f t="shared" si="8"/>
        <v/>
      </c>
      <c r="G221" s="16">
        <f>IFERROR(__xludf.DUMMYFUNCTION("GOOGLEFINANCE(A221,""CLOSEYEST"")"),3714.0)</f>
        <v>3714</v>
      </c>
      <c r="H221" s="17" t="str">
        <f t="shared" si="14"/>
        <v/>
      </c>
      <c r="I221" s="18">
        <f t="shared" si="9"/>
        <v>3721.333333</v>
      </c>
      <c r="J221" s="19">
        <f t="shared" si="10"/>
        <v>3747.666667</v>
      </c>
      <c r="K221" s="19"/>
      <c r="L221" s="19">
        <f t="shared" si="11"/>
        <v>3687.666667</v>
      </c>
      <c r="M221" s="19">
        <f t="shared" si="12"/>
        <v>3781.333333</v>
      </c>
      <c r="N221" s="19">
        <f t="shared" si="13"/>
        <v>3661.333333</v>
      </c>
    </row>
    <row r="222" ht="24.75" customHeight="1">
      <c r="A222" s="21" t="s">
        <v>185</v>
      </c>
      <c r="B222" s="13">
        <f>IFERROR(__xludf.DUMMYFUNCTION("GOOGLEFINANCE(A222,""PRICE"")"),126.0)</f>
        <v>126</v>
      </c>
      <c r="C222" s="14">
        <f>IFERROR(__xludf.DUMMYFUNCTION("GOOGLEFINANCE(A222,""PRICEOPEN"")"),125.54)</f>
        <v>125.54</v>
      </c>
      <c r="D222" s="14">
        <f>IFERROR(__xludf.DUMMYFUNCTION("GOOGLEFINANCE(A222,""HIGH"")"),127.18)</f>
        <v>127.18</v>
      </c>
      <c r="E222" s="14">
        <f>IFERROR(__xludf.DUMMYFUNCTION("GOOGLEFINANCE(A222,""LOW"")"),125.01)</f>
        <v>125.01</v>
      </c>
      <c r="F222" s="15" t="str">
        <f t="shared" si="8"/>
        <v/>
      </c>
      <c r="G222" s="16">
        <f>IFERROR(__xludf.DUMMYFUNCTION("GOOGLEFINANCE(A222,""CLOSEYEST"")"),125.54)</f>
        <v>125.54</v>
      </c>
      <c r="H222" s="17" t="str">
        <f t="shared" si="14"/>
        <v/>
      </c>
      <c r="I222" s="18">
        <f t="shared" si="9"/>
        <v>125.91</v>
      </c>
      <c r="J222" s="19">
        <f t="shared" si="10"/>
        <v>126.81</v>
      </c>
      <c r="K222" s="19"/>
      <c r="L222" s="19">
        <f t="shared" si="11"/>
        <v>124.64</v>
      </c>
      <c r="M222" s="19">
        <f t="shared" si="12"/>
        <v>128.08</v>
      </c>
      <c r="N222" s="19">
        <f t="shared" si="13"/>
        <v>123.74</v>
      </c>
    </row>
    <row r="223" ht="24.75" customHeight="1">
      <c r="A223" s="21" t="s">
        <v>186</v>
      </c>
      <c r="B223" s="13">
        <f>IFERROR(__xludf.DUMMYFUNCTION("GOOGLEFINANCE(A223,""PRICE"")"),28.69)</f>
        <v>28.69</v>
      </c>
      <c r="C223" s="14">
        <f>IFERROR(__xludf.DUMMYFUNCTION("GOOGLEFINANCE(A223,""PRICEOPEN"")"),28.31)</f>
        <v>28.31</v>
      </c>
      <c r="D223" s="14">
        <f>IFERROR(__xludf.DUMMYFUNCTION("GOOGLEFINANCE(A223,""HIGH"")"),28.69)</f>
        <v>28.69</v>
      </c>
      <c r="E223" s="14">
        <f>IFERROR(__xludf.DUMMYFUNCTION("GOOGLEFINANCE(A223,""LOW"")"),28.25)</f>
        <v>28.25</v>
      </c>
      <c r="F223" s="15" t="str">
        <f t="shared" si="8"/>
        <v/>
      </c>
      <c r="G223" s="16">
        <f>IFERROR(__xludf.DUMMYFUNCTION("GOOGLEFINANCE(A223,""CLOSEYEST"")"),28.31)</f>
        <v>28.31</v>
      </c>
      <c r="H223" s="17" t="str">
        <f t="shared" si="14"/>
        <v/>
      </c>
      <c r="I223" s="18">
        <f t="shared" si="9"/>
        <v>28.41666667</v>
      </c>
      <c r="J223" s="19">
        <f t="shared" si="10"/>
        <v>28.58333333</v>
      </c>
      <c r="K223" s="19"/>
      <c r="L223" s="19">
        <f t="shared" si="11"/>
        <v>28.14333333</v>
      </c>
      <c r="M223" s="19">
        <f t="shared" si="12"/>
        <v>28.85666667</v>
      </c>
      <c r="N223" s="19">
        <f t="shared" si="13"/>
        <v>27.97666667</v>
      </c>
    </row>
    <row r="224" ht="24.75" customHeight="1">
      <c r="A224" s="21" t="s">
        <v>187</v>
      </c>
      <c r="B224" s="13">
        <f>IFERROR(__xludf.DUMMYFUNCTION("GOOGLEFINANCE(A224,""PRICE"")"),2741.0)</f>
        <v>2741</v>
      </c>
      <c r="C224" s="14">
        <f>IFERROR(__xludf.DUMMYFUNCTION("GOOGLEFINANCE(A224,""PRICEOPEN"")"),2693.0)</f>
        <v>2693</v>
      </c>
      <c r="D224" s="14">
        <f>IFERROR(__xludf.DUMMYFUNCTION("GOOGLEFINANCE(A224,""HIGH"")"),2759.9)</f>
        <v>2759.9</v>
      </c>
      <c r="E224" s="14">
        <f>IFERROR(__xludf.DUMMYFUNCTION("GOOGLEFINANCE(A224,""LOW"")"),2686.0)</f>
        <v>2686</v>
      </c>
      <c r="F224" s="15" t="str">
        <f t="shared" si="8"/>
        <v/>
      </c>
      <c r="G224" s="16">
        <f>IFERROR(__xludf.DUMMYFUNCTION("GOOGLEFINANCE(A224,""CLOSEYEST"")"),2697.2)</f>
        <v>2697.2</v>
      </c>
      <c r="H224" s="17" t="str">
        <f t="shared" si="14"/>
        <v/>
      </c>
      <c r="I224" s="18">
        <f t="shared" si="9"/>
        <v>2714.366667</v>
      </c>
      <c r="J224" s="19">
        <f t="shared" si="10"/>
        <v>2742.733333</v>
      </c>
      <c r="K224" s="19"/>
      <c r="L224" s="19">
        <f t="shared" si="11"/>
        <v>2668.833333</v>
      </c>
      <c r="M224" s="19">
        <f t="shared" si="12"/>
        <v>2788.266667</v>
      </c>
      <c r="N224" s="19">
        <f t="shared" si="13"/>
        <v>2640.466667</v>
      </c>
    </row>
    <row r="225" ht="24.75" customHeight="1">
      <c r="A225" s="21" t="s">
        <v>188</v>
      </c>
      <c r="B225" s="13">
        <f>IFERROR(__xludf.DUMMYFUNCTION("GOOGLEFINANCE(A225,""PRICE"")"),4244.4)</f>
        <v>4244.4</v>
      </c>
      <c r="C225" s="14">
        <f>IFERROR(__xludf.DUMMYFUNCTION("GOOGLEFINANCE(A225,""PRICEOPEN"")"),4142.2)</f>
        <v>4142.2</v>
      </c>
      <c r="D225" s="14">
        <f>IFERROR(__xludf.DUMMYFUNCTION("GOOGLEFINANCE(A225,""HIGH"")"),4302.0)</f>
        <v>4302</v>
      </c>
      <c r="E225" s="14">
        <f>IFERROR(__xludf.DUMMYFUNCTION("GOOGLEFINANCE(A225,""LOW"")"),4142.2)</f>
        <v>4142.2</v>
      </c>
      <c r="F225" s="15" t="str">
        <f t="shared" si="8"/>
        <v>BUY</v>
      </c>
      <c r="G225" s="16">
        <f>IFERROR(__xludf.DUMMYFUNCTION("GOOGLEFINANCE(A225,""CLOSEYEST"")"),4182.5)</f>
        <v>4182.5</v>
      </c>
      <c r="H225" s="17" t="str">
        <f t="shared" si="14"/>
        <v/>
      </c>
      <c r="I225" s="18">
        <f t="shared" si="9"/>
        <v>4208.9</v>
      </c>
      <c r="J225" s="19">
        <f t="shared" si="10"/>
        <v>4275.6</v>
      </c>
      <c r="K225" s="19"/>
      <c r="L225" s="19">
        <f t="shared" si="11"/>
        <v>4115.8</v>
      </c>
      <c r="M225" s="19">
        <f t="shared" si="12"/>
        <v>4368.7</v>
      </c>
      <c r="N225" s="19">
        <f t="shared" si="13"/>
        <v>4049.1</v>
      </c>
    </row>
    <row r="226" ht="24.75" customHeight="1">
      <c r="A226" s="21" t="s">
        <v>189</v>
      </c>
      <c r="B226" s="13">
        <f>IFERROR(__xludf.DUMMYFUNCTION("GOOGLEFINANCE(A226,""PRICE"")"),87.4)</f>
        <v>87.4</v>
      </c>
      <c r="C226" s="14">
        <f>IFERROR(__xludf.DUMMYFUNCTION("GOOGLEFINANCE(A226,""PRICEOPEN"")"),86.69)</f>
        <v>86.69</v>
      </c>
      <c r="D226" s="14">
        <f>IFERROR(__xludf.DUMMYFUNCTION("GOOGLEFINANCE(A226,""HIGH"")"),88.99)</f>
        <v>88.99</v>
      </c>
      <c r="E226" s="14">
        <f>IFERROR(__xludf.DUMMYFUNCTION("GOOGLEFINANCE(A226,""LOW"")"),86.4)</f>
        <v>86.4</v>
      </c>
      <c r="F226" s="15" t="str">
        <f t="shared" si="8"/>
        <v/>
      </c>
      <c r="G226" s="16">
        <f>IFERROR(__xludf.DUMMYFUNCTION("GOOGLEFINANCE(A226,""CLOSEYEST"")"),86.39)</f>
        <v>86.39</v>
      </c>
      <c r="H226" s="17" t="str">
        <f t="shared" si="14"/>
        <v/>
      </c>
      <c r="I226" s="18">
        <f t="shared" si="9"/>
        <v>87.26</v>
      </c>
      <c r="J226" s="19">
        <f t="shared" si="10"/>
        <v>88.12</v>
      </c>
      <c r="K226" s="19"/>
      <c r="L226" s="19">
        <f t="shared" si="11"/>
        <v>85.53</v>
      </c>
      <c r="M226" s="19">
        <f t="shared" si="12"/>
        <v>89.85</v>
      </c>
      <c r="N226" s="19">
        <f t="shared" si="13"/>
        <v>84.67</v>
      </c>
    </row>
    <row r="227" ht="24.75" customHeight="1">
      <c r="A227" s="21" t="s">
        <v>190</v>
      </c>
      <c r="B227" s="13">
        <f>IFERROR(__xludf.DUMMYFUNCTION("GOOGLEFINANCE(A227,""PRICE"")"),4200.0)</f>
        <v>4200</v>
      </c>
      <c r="C227" s="14">
        <f>IFERROR(__xludf.DUMMYFUNCTION("GOOGLEFINANCE(A227,""PRICEOPEN"")"),4190.0)</f>
        <v>4190</v>
      </c>
      <c r="D227" s="14">
        <f>IFERROR(__xludf.DUMMYFUNCTION("GOOGLEFINANCE(A227,""HIGH"")"),4223.0)</f>
        <v>4223</v>
      </c>
      <c r="E227" s="14">
        <f>IFERROR(__xludf.DUMMYFUNCTION("GOOGLEFINANCE(A227,""LOW"")"),4141.8)</f>
        <v>4141.8</v>
      </c>
      <c r="F227" s="15" t="str">
        <f t="shared" si="8"/>
        <v/>
      </c>
      <c r="G227" s="16">
        <f>IFERROR(__xludf.DUMMYFUNCTION("GOOGLEFINANCE(A227,""CLOSEYEST"")"),4190.2)</f>
        <v>4190.2</v>
      </c>
      <c r="H227" s="17" t="str">
        <f t="shared" si="14"/>
        <v/>
      </c>
      <c r="I227" s="18">
        <f t="shared" si="9"/>
        <v>4185</v>
      </c>
      <c r="J227" s="19">
        <f t="shared" si="10"/>
        <v>4228.2</v>
      </c>
      <c r="K227" s="19"/>
      <c r="L227" s="19">
        <f t="shared" si="11"/>
        <v>4147</v>
      </c>
      <c r="M227" s="19">
        <f t="shared" si="12"/>
        <v>4266.2</v>
      </c>
      <c r="N227" s="19">
        <f t="shared" si="13"/>
        <v>4103.8</v>
      </c>
    </row>
    <row r="228" ht="24.75" customHeight="1">
      <c r="A228" s="21" t="s">
        <v>191</v>
      </c>
      <c r="B228" s="13">
        <f>IFERROR(__xludf.DUMMYFUNCTION("GOOGLEFINANCE(A228,""PRICE"")"),6106.0)</f>
        <v>6106</v>
      </c>
      <c r="C228" s="14">
        <f>IFERROR(__xludf.DUMMYFUNCTION("GOOGLEFINANCE(A228,""PRICEOPEN"")"),6185.0)</f>
        <v>6185</v>
      </c>
      <c r="D228" s="14">
        <f>IFERROR(__xludf.DUMMYFUNCTION("GOOGLEFINANCE(A228,""HIGH"")"),6185.0)</f>
        <v>6185</v>
      </c>
      <c r="E228" s="14">
        <f>IFERROR(__xludf.DUMMYFUNCTION("GOOGLEFINANCE(A228,""LOW"")"),6086.0)</f>
        <v>6086</v>
      </c>
      <c r="F228" s="15" t="str">
        <f t="shared" si="8"/>
        <v>SELL</v>
      </c>
      <c r="G228" s="16">
        <f>IFERROR(__xludf.DUMMYFUNCTION("GOOGLEFINANCE(A228,""CLOSEYEST"")"),6186.5)</f>
        <v>6186.5</v>
      </c>
      <c r="H228" s="17" t="str">
        <f t="shared" si="14"/>
        <v/>
      </c>
      <c r="I228" s="18">
        <f t="shared" si="9"/>
        <v>6152.5</v>
      </c>
      <c r="J228" s="19">
        <f t="shared" si="10"/>
        <v>6219</v>
      </c>
      <c r="K228" s="19"/>
      <c r="L228" s="19">
        <f t="shared" si="11"/>
        <v>6120</v>
      </c>
      <c r="M228" s="19">
        <f t="shared" si="12"/>
        <v>6251.5</v>
      </c>
      <c r="N228" s="19">
        <f t="shared" si="13"/>
        <v>6053.5</v>
      </c>
    </row>
    <row r="229" ht="24.75" customHeight="1">
      <c r="A229" s="21" t="s">
        <v>192</v>
      </c>
      <c r="B229" s="13">
        <f>IFERROR(__xludf.DUMMYFUNCTION("GOOGLEFINANCE(A229,""PRICE"")"),29130.0)</f>
        <v>29130</v>
      </c>
      <c r="C229" s="14">
        <f>IFERROR(__xludf.DUMMYFUNCTION("GOOGLEFINANCE(A229,""PRICEOPEN"")"),29400.0)</f>
        <v>29400</v>
      </c>
      <c r="D229" s="14">
        <f>IFERROR(__xludf.DUMMYFUNCTION("GOOGLEFINANCE(A229,""HIGH"")"),29400.0)</f>
        <v>29400</v>
      </c>
      <c r="E229" s="14">
        <f>IFERROR(__xludf.DUMMYFUNCTION("GOOGLEFINANCE(A229,""LOW"")"),28855.0)</f>
        <v>28855</v>
      </c>
      <c r="F229" s="15" t="str">
        <f t="shared" si="8"/>
        <v>SELL</v>
      </c>
      <c r="G229" s="16">
        <f>IFERROR(__xludf.DUMMYFUNCTION("GOOGLEFINANCE(A229,""CLOSEYEST"")"),29135.0)</f>
        <v>29135</v>
      </c>
      <c r="H229" s="17" t="str">
        <f t="shared" si="14"/>
        <v/>
      </c>
      <c r="I229" s="18">
        <f t="shared" si="9"/>
        <v>29130</v>
      </c>
      <c r="J229" s="19">
        <f t="shared" si="10"/>
        <v>29405</v>
      </c>
      <c r="K229" s="19"/>
      <c r="L229" s="19">
        <f t="shared" si="11"/>
        <v>28860</v>
      </c>
      <c r="M229" s="19">
        <f t="shared" si="12"/>
        <v>29675</v>
      </c>
      <c r="N229" s="19">
        <f t="shared" si="13"/>
        <v>28585</v>
      </c>
    </row>
    <row r="230" ht="24.75" customHeight="1">
      <c r="A230" s="21" t="s">
        <v>193</v>
      </c>
      <c r="B230" s="13">
        <f>IFERROR(__xludf.DUMMYFUNCTION("GOOGLEFINANCE(A230,""PRICE"")"),295.0)</f>
        <v>295</v>
      </c>
      <c r="C230" s="14">
        <f>IFERROR(__xludf.DUMMYFUNCTION("GOOGLEFINANCE(A230,""PRICEOPEN"")"),295.0)</f>
        <v>295</v>
      </c>
      <c r="D230" s="14">
        <f>IFERROR(__xludf.DUMMYFUNCTION("GOOGLEFINANCE(A230,""HIGH"")"),296.05)</f>
        <v>296.05</v>
      </c>
      <c r="E230" s="14">
        <f>IFERROR(__xludf.DUMMYFUNCTION("GOOGLEFINANCE(A230,""LOW"")"),292.35)</f>
        <v>292.35</v>
      </c>
      <c r="F230" s="15" t="str">
        <f t="shared" si="8"/>
        <v/>
      </c>
      <c r="G230" s="16">
        <f>IFERROR(__xludf.DUMMYFUNCTION("GOOGLEFINANCE(A230,""CLOSEYEST"")"),293.1)</f>
        <v>293.1</v>
      </c>
      <c r="H230" s="17" t="str">
        <f t="shared" si="14"/>
        <v/>
      </c>
      <c r="I230" s="18">
        <f t="shared" si="9"/>
        <v>293.8333333</v>
      </c>
      <c r="J230" s="19">
        <f t="shared" si="10"/>
        <v>295.3166667</v>
      </c>
      <c r="K230" s="19"/>
      <c r="L230" s="19">
        <f t="shared" si="11"/>
        <v>291.6166667</v>
      </c>
      <c r="M230" s="19">
        <f t="shared" si="12"/>
        <v>297.5333333</v>
      </c>
      <c r="N230" s="19">
        <f t="shared" si="13"/>
        <v>290.1333333</v>
      </c>
    </row>
    <row r="231" ht="24.75" customHeight="1">
      <c r="A231" s="21" t="s">
        <v>194</v>
      </c>
      <c r="B231" s="13">
        <f>IFERROR(__xludf.DUMMYFUNCTION("GOOGLEFINANCE(A231,""PRICE"")"),869.9)</f>
        <v>869.9</v>
      </c>
      <c r="C231" s="14">
        <f>IFERROR(__xludf.DUMMYFUNCTION("GOOGLEFINANCE(A231,""PRICEOPEN"")"),872.0)</f>
        <v>872</v>
      </c>
      <c r="D231" s="14">
        <f>IFERROR(__xludf.DUMMYFUNCTION("GOOGLEFINANCE(A231,""HIGH"")"),881.3)</f>
        <v>881.3</v>
      </c>
      <c r="E231" s="14">
        <f>IFERROR(__xludf.DUMMYFUNCTION("GOOGLEFINANCE(A231,""LOW"")"),862.3)</f>
        <v>862.3</v>
      </c>
      <c r="F231" s="15" t="str">
        <f t="shared" si="8"/>
        <v/>
      </c>
      <c r="G231" s="16">
        <f>IFERROR(__xludf.DUMMYFUNCTION("GOOGLEFINANCE(A231,""CLOSEYEST"")"),872.0)</f>
        <v>872</v>
      </c>
      <c r="H231" s="17" t="str">
        <f t="shared" si="14"/>
        <v/>
      </c>
      <c r="I231" s="18">
        <f t="shared" si="9"/>
        <v>871.8666667</v>
      </c>
      <c r="J231" s="19">
        <f t="shared" si="10"/>
        <v>881.4333333</v>
      </c>
      <c r="K231" s="19"/>
      <c r="L231" s="19">
        <f t="shared" si="11"/>
        <v>862.4333333</v>
      </c>
      <c r="M231" s="19">
        <f t="shared" si="12"/>
        <v>890.8666667</v>
      </c>
      <c r="N231" s="19">
        <f t="shared" si="13"/>
        <v>852.8666667</v>
      </c>
    </row>
    <row r="232" ht="24.75" customHeight="1">
      <c r="A232" s="21" t="s">
        <v>195</v>
      </c>
      <c r="B232" s="13">
        <f>IFERROR(__xludf.DUMMYFUNCTION("GOOGLEFINANCE(A232,""PRICE"")"),1219.0)</f>
        <v>1219</v>
      </c>
      <c r="C232" s="14">
        <f>IFERROR(__xludf.DUMMYFUNCTION("GOOGLEFINANCE(A232,""PRICEOPEN"")"),1216.0)</f>
        <v>1216</v>
      </c>
      <c r="D232" s="14">
        <f>IFERROR(__xludf.DUMMYFUNCTION("GOOGLEFINANCE(A232,""HIGH"")"),1227.0)</f>
        <v>1227</v>
      </c>
      <c r="E232" s="14">
        <f>IFERROR(__xludf.DUMMYFUNCTION("GOOGLEFINANCE(A232,""LOW"")"),1210.1)</f>
        <v>1210.1</v>
      </c>
      <c r="F232" s="15" t="str">
        <f t="shared" si="8"/>
        <v/>
      </c>
      <c r="G232" s="16">
        <f>IFERROR(__xludf.DUMMYFUNCTION("GOOGLEFINANCE(A232,""CLOSEYEST"")"),1216.0)</f>
        <v>1216</v>
      </c>
      <c r="H232" s="17" t="str">
        <f t="shared" si="14"/>
        <v/>
      </c>
      <c r="I232" s="18">
        <f t="shared" si="9"/>
        <v>1217.7</v>
      </c>
      <c r="J232" s="19">
        <f t="shared" si="10"/>
        <v>1225.3</v>
      </c>
      <c r="K232" s="19"/>
      <c r="L232" s="19">
        <f t="shared" si="11"/>
        <v>1208.4</v>
      </c>
      <c r="M232" s="19">
        <f t="shared" si="12"/>
        <v>1234.6</v>
      </c>
      <c r="N232" s="19">
        <f t="shared" si="13"/>
        <v>1200.8</v>
      </c>
    </row>
    <row r="233" ht="24.75" customHeight="1">
      <c r="A233" s="21" t="s">
        <v>196</v>
      </c>
      <c r="B233" s="13">
        <f>IFERROR(__xludf.DUMMYFUNCTION("GOOGLEFINANCE(A233,""PRICE"")"),2235.35)</f>
        <v>2235.35</v>
      </c>
      <c r="C233" s="14">
        <f>IFERROR(__xludf.DUMMYFUNCTION("GOOGLEFINANCE(A233,""PRICEOPEN"")"),2231.57)</f>
        <v>2231.57</v>
      </c>
      <c r="D233" s="14">
        <f>IFERROR(__xludf.DUMMYFUNCTION("GOOGLEFINANCE(A233,""HIGH"")"),2243.15)</f>
        <v>2243.15</v>
      </c>
      <c r="E233" s="14">
        <f>IFERROR(__xludf.DUMMYFUNCTION("GOOGLEFINANCE(A233,""LOW"")"),2220.1)</f>
        <v>2220.1</v>
      </c>
      <c r="F233" s="15" t="str">
        <f t="shared" si="8"/>
        <v/>
      </c>
      <c r="G233" s="16">
        <f>IFERROR(__xludf.DUMMYFUNCTION("GOOGLEFINANCE(A233,""CLOSEYEST"")"),2231.41)</f>
        <v>2231.41</v>
      </c>
      <c r="H233" s="17" t="str">
        <f t="shared" si="14"/>
        <v/>
      </c>
      <c r="I233" s="18">
        <f t="shared" si="9"/>
        <v>2231.553333</v>
      </c>
      <c r="J233" s="19">
        <f t="shared" si="10"/>
        <v>2243.006667</v>
      </c>
      <c r="K233" s="19"/>
      <c r="L233" s="19">
        <f t="shared" si="11"/>
        <v>2219.956667</v>
      </c>
      <c r="M233" s="19">
        <f t="shared" si="12"/>
        <v>2254.603333</v>
      </c>
      <c r="N233" s="19">
        <f t="shared" si="13"/>
        <v>2208.503333</v>
      </c>
    </row>
    <row r="234" ht="24.75" customHeight="1">
      <c r="A234" s="21" t="s">
        <v>197</v>
      </c>
      <c r="B234" s="13">
        <f>IFERROR(__xludf.DUMMYFUNCTION("GOOGLEFINANCE(A234,""PRICE"")"),380.5)</f>
        <v>380.5</v>
      </c>
      <c r="C234" s="14">
        <f>IFERROR(__xludf.DUMMYFUNCTION("GOOGLEFINANCE(A234,""PRICEOPEN"")"),378.3)</f>
        <v>378.3</v>
      </c>
      <c r="D234" s="14">
        <f>IFERROR(__xludf.DUMMYFUNCTION("GOOGLEFINANCE(A234,""HIGH"")"),381.2)</f>
        <v>381.2</v>
      </c>
      <c r="E234" s="14">
        <f>IFERROR(__xludf.DUMMYFUNCTION("GOOGLEFINANCE(A234,""LOW"")"),375.05)</f>
        <v>375.05</v>
      </c>
      <c r="F234" s="15" t="str">
        <f t="shared" si="8"/>
        <v/>
      </c>
      <c r="G234" s="16">
        <f>IFERROR(__xludf.DUMMYFUNCTION("GOOGLEFINANCE(A234,""CLOSEYEST"")"),377.55)</f>
        <v>377.55</v>
      </c>
      <c r="H234" s="17" t="str">
        <f t="shared" si="14"/>
        <v/>
      </c>
      <c r="I234" s="18">
        <f t="shared" si="9"/>
        <v>377.9333333</v>
      </c>
      <c r="J234" s="19">
        <f t="shared" si="10"/>
        <v>380.8166667</v>
      </c>
      <c r="K234" s="19"/>
      <c r="L234" s="19">
        <f t="shared" si="11"/>
        <v>374.6666667</v>
      </c>
      <c r="M234" s="19">
        <f t="shared" si="12"/>
        <v>384.0833333</v>
      </c>
      <c r="N234" s="19">
        <f t="shared" si="13"/>
        <v>371.7833333</v>
      </c>
    </row>
    <row r="235" ht="24.75" customHeight="1">
      <c r="A235" s="21" t="s">
        <v>198</v>
      </c>
      <c r="B235" s="13">
        <f>IFERROR(__xludf.DUMMYFUNCTION("GOOGLEFINANCE(A235,""PRICE"")"),1311.2)</f>
        <v>1311.2</v>
      </c>
      <c r="C235" s="14">
        <f>IFERROR(__xludf.DUMMYFUNCTION("GOOGLEFINANCE(A235,""PRICEOPEN"")"),1337.0)</f>
        <v>1337</v>
      </c>
      <c r="D235" s="14">
        <f>IFERROR(__xludf.DUMMYFUNCTION("GOOGLEFINANCE(A235,""HIGH"")"),1339.0)</f>
        <v>1339</v>
      </c>
      <c r="E235" s="14">
        <f>IFERROR(__xludf.DUMMYFUNCTION("GOOGLEFINANCE(A235,""LOW"")"),1307.3)</f>
        <v>1307.3</v>
      </c>
      <c r="F235" s="15" t="str">
        <f t="shared" si="8"/>
        <v/>
      </c>
      <c r="G235" s="16">
        <f>IFERROR(__xludf.DUMMYFUNCTION("GOOGLEFINANCE(A235,""CLOSEYEST"")"),1327.3)</f>
        <v>1327.3</v>
      </c>
      <c r="H235" s="17" t="str">
        <f t="shared" si="14"/>
        <v/>
      </c>
      <c r="I235" s="18">
        <f t="shared" si="9"/>
        <v>1324.533333</v>
      </c>
      <c r="J235" s="19">
        <f t="shared" si="10"/>
        <v>1341.766667</v>
      </c>
      <c r="K235" s="19"/>
      <c r="L235" s="19">
        <f t="shared" si="11"/>
        <v>1310.066667</v>
      </c>
      <c r="M235" s="19">
        <f t="shared" si="12"/>
        <v>1356.233333</v>
      </c>
      <c r="N235" s="19">
        <f t="shared" si="13"/>
        <v>1292.833333</v>
      </c>
    </row>
    <row r="236" ht="24.75" customHeight="1">
      <c r="A236" s="21" t="s">
        <v>199</v>
      </c>
      <c r="B236" s="13">
        <f>IFERROR(__xludf.DUMMYFUNCTION("GOOGLEFINANCE(A236,""PRICE"")"),725.0)</f>
        <v>725</v>
      </c>
      <c r="C236" s="14">
        <f>IFERROR(__xludf.DUMMYFUNCTION("GOOGLEFINANCE(A236,""PRICEOPEN"")"),725.05)</f>
        <v>725.05</v>
      </c>
      <c r="D236" s="14">
        <f>IFERROR(__xludf.DUMMYFUNCTION("GOOGLEFINANCE(A236,""HIGH"")"),727.3)</f>
        <v>727.3</v>
      </c>
      <c r="E236" s="14">
        <f>IFERROR(__xludf.DUMMYFUNCTION("GOOGLEFINANCE(A236,""LOW"")"),720.2)</f>
        <v>720.2</v>
      </c>
      <c r="F236" s="15" t="str">
        <f t="shared" si="8"/>
        <v/>
      </c>
      <c r="G236" s="16">
        <f>IFERROR(__xludf.DUMMYFUNCTION("GOOGLEFINANCE(A236,""CLOSEYEST"")"),723.25)</f>
        <v>723.25</v>
      </c>
      <c r="H236" s="17" t="str">
        <f t="shared" si="14"/>
        <v/>
      </c>
      <c r="I236" s="18">
        <f t="shared" si="9"/>
        <v>723.5833333</v>
      </c>
      <c r="J236" s="19">
        <f t="shared" si="10"/>
        <v>726.9666667</v>
      </c>
      <c r="K236" s="19"/>
      <c r="L236" s="19">
        <f t="shared" si="11"/>
        <v>719.8666667</v>
      </c>
      <c r="M236" s="19">
        <f t="shared" si="12"/>
        <v>730.6833333</v>
      </c>
      <c r="N236" s="19">
        <f t="shared" si="13"/>
        <v>716.4833333</v>
      </c>
    </row>
    <row r="237" ht="24.75" customHeight="1">
      <c r="A237" s="21" t="s">
        <v>200</v>
      </c>
      <c r="B237" s="13" t="str">
        <f>IFERROR(__xludf.DUMMYFUNCTION("GOOGLEFINANCE(A237,""PRICE"")"),"#N/A")</f>
        <v>#N/A</v>
      </c>
      <c r="C237" s="14" t="str">
        <f>IFERROR(__xludf.DUMMYFUNCTION("GOOGLEFINANCE(A237,""PRICEOPEN"")"),"#N/A")</f>
        <v>#N/A</v>
      </c>
      <c r="D237" s="14" t="str">
        <f>IFERROR(__xludf.DUMMYFUNCTION("GOOGLEFINANCE(A237,""HIGH"")"),"#N/A")</f>
        <v>#N/A</v>
      </c>
      <c r="E237" s="14" t="str">
        <f>IFERROR(__xludf.DUMMYFUNCTION("GOOGLEFINANCE(A237,""LOW"")"),"#N/A")</f>
        <v>#N/A</v>
      </c>
      <c r="F237" s="15" t="str">
        <f t="shared" si="8"/>
        <v>#N/A</v>
      </c>
      <c r="G237" s="16" t="str">
        <f>IFERROR(__xludf.DUMMYFUNCTION("GOOGLEFINANCE(A237,""CLOSEYEST"")"),"#N/A")</f>
        <v>#N/A</v>
      </c>
      <c r="H237" s="17" t="str">
        <f t="shared" si="14"/>
        <v>#N/A</v>
      </c>
      <c r="I237" s="18" t="str">
        <f t="shared" si="9"/>
        <v>#N/A</v>
      </c>
      <c r="J237" s="19" t="str">
        <f t="shared" si="10"/>
        <v>#N/A</v>
      </c>
      <c r="K237" s="19"/>
      <c r="L237" s="19" t="str">
        <f t="shared" si="11"/>
        <v>#N/A</v>
      </c>
      <c r="M237" s="19" t="str">
        <f t="shared" si="12"/>
        <v>#N/A</v>
      </c>
      <c r="N237" s="19" t="str">
        <f t="shared" si="13"/>
        <v>#N/A</v>
      </c>
    </row>
    <row r="238" ht="24.75" customHeight="1">
      <c r="A238" s="21" t="s">
        <v>201</v>
      </c>
      <c r="B238" s="13">
        <f>IFERROR(__xludf.DUMMYFUNCTION("GOOGLEFINANCE(A238,""PRICE"")"),3929.0)</f>
        <v>3929</v>
      </c>
      <c r="C238" s="14">
        <f>IFERROR(__xludf.DUMMYFUNCTION("GOOGLEFINANCE(A238,""PRICEOPEN"")"),3849.4)</f>
        <v>3849.4</v>
      </c>
      <c r="D238" s="14">
        <f>IFERROR(__xludf.DUMMYFUNCTION("GOOGLEFINANCE(A238,""HIGH"")"),3950.7)</f>
        <v>3950.7</v>
      </c>
      <c r="E238" s="14">
        <f>IFERROR(__xludf.DUMMYFUNCTION("GOOGLEFINANCE(A238,""LOW"")"),3833.0)</f>
        <v>3833</v>
      </c>
      <c r="F238" s="15" t="str">
        <f t="shared" si="8"/>
        <v/>
      </c>
      <c r="G238" s="16">
        <f>IFERROR(__xludf.DUMMYFUNCTION("GOOGLEFINANCE(A238,""CLOSEYEST"")"),3849.0)</f>
        <v>3849</v>
      </c>
      <c r="H238" s="17" t="str">
        <f t="shared" si="14"/>
        <v/>
      </c>
      <c r="I238" s="18">
        <f t="shared" si="9"/>
        <v>3877.566667</v>
      </c>
      <c r="J238" s="19">
        <f t="shared" si="10"/>
        <v>3922.133333</v>
      </c>
      <c r="K238" s="19"/>
      <c r="L238" s="19">
        <f t="shared" si="11"/>
        <v>3804.433333</v>
      </c>
      <c r="M238" s="19">
        <f t="shared" si="12"/>
        <v>3995.266667</v>
      </c>
      <c r="N238" s="19">
        <f t="shared" si="13"/>
        <v>3759.866667</v>
      </c>
    </row>
    <row r="239" ht="24.75" customHeight="1">
      <c r="A239" s="21" t="s">
        <v>202</v>
      </c>
      <c r="B239" s="13">
        <f>IFERROR(__xludf.DUMMYFUNCTION("GOOGLEFINANCE(A239,""PRICE"")"),6325.0)</f>
        <v>6325</v>
      </c>
      <c r="C239" s="14">
        <f>IFERROR(__xludf.DUMMYFUNCTION("GOOGLEFINANCE(A239,""PRICEOPEN"")"),6300.0)</f>
        <v>6300</v>
      </c>
      <c r="D239" s="14">
        <f>IFERROR(__xludf.DUMMYFUNCTION("GOOGLEFINANCE(A239,""HIGH"")"),6391.0)</f>
        <v>6391</v>
      </c>
      <c r="E239" s="14">
        <f>IFERROR(__xludf.DUMMYFUNCTION("GOOGLEFINANCE(A239,""LOW"")"),6255.0)</f>
        <v>6255</v>
      </c>
      <c r="F239" s="15" t="str">
        <f t="shared" si="8"/>
        <v/>
      </c>
      <c r="G239" s="16">
        <f>IFERROR(__xludf.DUMMYFUNCTION("GOOGLEFINANCE(A239,""CLOSEYEST"")"),6305.0)</f>
        <v>6305</v>
      </c>
      <c r="H239" s="17" t="str">
        <f t="shared" si="14"/>
        <v/>
      </c>
      <c r="I239" s="18">
        <f t="shared" si="9"/>
        <v>6317</v>
      </c>
      <c r="J239" s="19">
        <f t="shared" si="10"/>
        <v>6379</v>
      </c>
      <c r="K239" s="19"/>
      <c r="L239" s="19">
        <f t="shared" si="11"/>
        <v>6243</v>
      </c>
      <c r="M239" s="19">
        <f t="shared" si="12"/>
        <v>6453</v>
      </c>
      <c r="N239" s="19">
        <f t="shared" si="13"/>
        <v>6181</v>
      </c>
    </row>
    <row r="240" ht="24.75" customHeight="1">
      <c r="A240" s="21" t="s">
        <v>203</v>
      </c>
      <c r="B240" s="13">
        <f>IFERROR(__xludf.DUMMYFUNCTION("GOOGLEFINANCE(A240,""PRICE"")"),919.0)</f>
        <v>919</v>
      </c>
      <c r="C240" s="14">
        <f>IFERROR(__xludf.DUMMYFUNCTION("GOOGLEFINANCE(A240,""PRICEOPEN"")"),927.7)</f>
        <v>927.7</v>
      </c>
      <c r="D240" s="14">
        <f>IFERROR(__xludf.DUMMYFUNCTION("GOOGLEFINANCE(A240,""HIGH"")"),930.0)</f>
        <v>930</v>
      </c>
      <c r="E240" s="14">
        <f>IFERROR(__xludf.DUMMYFUNCTION("GOOGLEFINANCE(A240,""LOW"")"),912.8)</f>
        <v>912.8</v>
      </c>
      <c r="F240" s="15" t="str">
        <f t="shared" si="8"/>
        <v/>
      </c>
      <c r="G240" s="16">
        <f>IFERROR(__xludf.DUMMYFUNCTION("GOOGLEFINANCE(A240,""CLOSEYEST"")"),912.95)</f>
        <v>912.95</v>
      </c>
      <c r="H240" s="17" t="str">
        <f t="shared" si="14"/>
        <v>GAP UP</v>
      </c>
      <c r="I240" s="18">
        <f t="shared" si="9"/>
        <v>918.5833333</v>
      </c>
      <c r="J240" s="19">
        <f t="shared" si="10"/>
        <v>924.3666667</v>
      </c>
      <c r="K240" s="19"/>
      <c r="L240" s="19">
        <f t="shared" si="11"/>
        <v>907.1666667</v>
      </c>
      <c r="M240" s="19">
        <f t="shared" si="12"/>
        <v>935.7833333</v>
      </c>
      <c r="N240" s="19">
        <f t="shared" si="13"/>
        <v>901.3833333</v>
      </c>
    </row>
    <row r="241" ht="24.75" customHeight="1">
      <c r="A241" s="21" t="s">
        <v>204</v>
      </c>
      <c r="B241" s="13">
        <f>IFERROR(__xludf.DUMMYFUNCTION("GOOGLEFINANCE(A241,""PRICE"")"),4419.0)</f>
        <v>4419</v>
      </c>
      <c r="C241" s="14">
        <f>IFERROR(__xludf.DUMMYFUNCTION("GOOGLEFINANCE(A241,""PRICEOPEN"")"),4424.1)</f>
        <v>4424.1</v>
      </c>
      <c r="D241" s="14">
        <f>IFERROR(__xludf.DUMMYFUNCTION("GOOGLEFINANCE(A241,""HIGH"")"),4469.9)</f>
        <v>4469.9</v>
      </c>
      <c r="E241" s="14">
        <f>IFERROR(__xludf.DUMMYFUNCTION("GOOGLEFINANCE(A241,""LOW"")"),4360.7)</f>
        <v>4360.7</v>
      </c>
      <c r="F241" s="15" t="str">
        <f t="shared" si="8"/>
        <v/>
      </c>
      <c r="G241" s="16">
        <f>IFERROR(__xludf.DUMMYFUNCTION("GOOGLEFINANCE(A241,""CLOSEYEST"")"),4385.2)</f>
        <v>4385.2</v>
      </c>
      <c r="H241" s="17" t="str">
        <f t="shared" si="14"/>
        <v/>
      </c>
      <c r="I241" s="18">
        <f t="shared" si="9"/>
        <v>4405.266667</v>
      </c>
      <c r="J241" s="19">
        <f t="shared" si="10"/>
        <v>4449.833333</v>
      </c>
      <c r="K241" s="19"/>
      <c r="L241" s="19">
        <f t="shared" si="11"/>
        <v>4340.633333</v>
      </c>
      <c r="M241" s="19">
        <f t="shared" si="12"/>
        <v>4514.466667</v>
      </c>
      <c r="N241" s="19">
        <f t="shared" si="13"/>
        <v>4296.066667</v>
      </c>
    </row>
    <row r="242" ht="24.75" customHeight="1">
      <c r="A242" s="21" t="s">
        <v>205</v>
      </c>
      <c r="B242" s="13">
        <f>IFERROR(__xludf.DUMMYFUNCTION("GOOGLEFINANCE(A242,""PRICE"")"),1071.6)</f>
        <v>1071.6</v>
      </c>
      <c r="C242" s="14">
        <f>IFERROR(__xludf.DUMMYFUNCTION("GOOGLEFINANCE(A242,""PRICEOPEN"")"),1053.1)</f>
        <v>1053.1</v>
      </c>
      <c r="D242" s="14">
        <f>IFERROR(__xludf.DUMMYFUNCTION("GOOGLEFINANCE(A242,""HIGH"")"),1075.8)</f>
        <v>1075.8</v>
      </c>
      <c r="E242" s="14">
        <f>IFERROR(__xludf.DUMMYFUNCTION("GOOGLEFINANCE(A242,""LOW"")"),1044.8)</f>
        <v>1044.8</v>
      </c>
      <c r="F242" s="15" t="str">
        <f t="shared" si="8"/>
        <v/>
      </c>
      <c r="G242" s="16">
        <f>IFERROR(__xludf.DUMMYFUNCTION("GOOGLEFINANCE(A242,""CLOSEYEST"")"),1053.2)</f>
        <v>1053.2</v>
      </c>
      <c r="H242" s="17" t="str">
        <f t="shared" si="14"/>
        <v/>
      </c>
      <c r="I242" s="18">
        <f t="shared" si="9"/>
        <v>1057.933333</v>
      </c>
      <c r="J242" s="19">
        <f t="shared" si="10"/>
        <v>1071.066667</v>
      </c>
      <c r="K242" s="19"/>
      <c r="L242" s="19">
        <f t="shared" si="11"/>
        <v>1040.066667</v>
      </c>
      <c r="M242" s="19">
        <f t="shared" si="12"/>
        <v>1088.933333</v>
      </c>
      <c r="N242" s="19">
        <f t="shared" si="13"/>
        <v>1026.933333</v>
      </c>
    </row>
    <row r="243" ht="24.75" customHeight="1">
      <c r="A243" s="21" t="s">
        <v>206</v>
      </c>
      <c r="B243" s="13" t="str">
        <f>IFERROR(__xludf.DUMMYFUNCTION("GOOGLEFINANCE(A243,""PRICE"")"),"#N/A")</f>
        <v>#N/A</v>
      </c>
      <c r="C243" s="14" t="str">
        <f>IFERROR(__xludf.DUMMYFUNCTION("GOOGLEFINANCE(A243,""PRICEOPEN"")"),"#N/A")</f>
        <v>#N/A</v>
      </c>
      <c r="D243" s="14" t="str">
        <f>IFERROR(__xludf.DUMMYFUNCTION("GOOGLEFINANCE(A243,""HIGH"")"),"#N/A")</f>
        <v>#N/A</v>
      </c>
      <c r="E243" s="14" t="str">
        <f>IFERROR(__xludf.DUMMYFUNCTION("GOOGLEFINANCE(A243,""LOW"")"),"#N/A")</f>
        <v>#N/A</v>
      </c>
      <c r="F243" s="15" t="str">
        <f t="shared" si="8"/>
        <v>#N/A</v>
      </c>
      <c r="G243" s="16" t="str">
        <f>IFERROR(__xludf.DUMMYFUNCTION("GOOGLEFINANCE(A243,""CLOSEYEST"")"),"#N/A")</f>
        <v>#N/A</v>
      </c>
      <c r="H243" s="17" t="str">
        <f t="shared" si="14"/>
        <v>#N/A</v>
      </c>
      <c r="I243" s="18" t="str">
        <f t="shared" si="9"/>
        <v>#N/A</v>
      </c>
      <c r="J243" s="19" t="str">
        <f t="shared" si="10"/>
        <v>#N/A</v>
      </c>
      <c r="K243" s="19"/>
      <c r="L243" s="19" t="str">
        <f t="shared" si="11"/>
        <v>#N/A</v>
      </c>
      <c r="M243" s="19" t="str">
        <f t="shared" si="12"/>
        <v>#N/A</v>
      </c>
      <c r="N243" s="19" t="str">
        <f t="shared" si="13"/>
        <v>#N/A</v>
      </c>
    </row>
    <row r="244" ht="24.75" customHeight="1">
      <c r="A244" s="21" t="s">
        <v>207</v>
      </c>
      <c r="B244" s="13">
        <f>IFERROR(__xludf.DUMMYFUNCTION("GOOGLEFINANCE(A244,""PRICE"")"),748.35)</f>
        <v>748.35</v>
      </c>
      <c r="C244" s="14">
        <f>IFERROR(__xludf.DUMMYFUNCTION("GOOGLEFINANCE(A244,""PRICEOPEN"")"),745.0)</f>
        <v>745</v>
      </c>
      <c r="D244" s="14">
        <f>IFERROR(__xludf.DUMMYFUNCTION("GOOGLEFINANCE(A244,""HIGH"")"),751.7)</f>
        <v>751.7</v>
      </c>
      <c r="E244" s="14">
        <f>IFERROR(__xludf.DUMMYFUNCTION("GOOGLEFINANCE(A244,""LOW"")"),737.3)</f>
        <v>737.3</v>
      </c>
      <c r="F244" s="15" t="str">
        <f t="shared" si="8"/>
        <v/>
      </c>
      <c r="G244" s="16">
        <f>IFERROR(__xludf.DUMMYFUNCTION("GOOGLEFINANCE(A244,""CLOSEYEST"")"),739.8)</f>
        <v>739.8</v>
      </c>
      <c r="H244" s="17" t="str">
        <f t="shared" si="14"/>
        <v/>
      </c>
      <c r="I244" s="18">
        <f t="shared" si="9"/>
        <v>742.9333333</v>
      </c>
      <c r="J244" s="19">
        <f t="shared" si="10"/>
        <v>748.5666667</v>
      </c>
      <c r="K244" s="19"/>
      <c r="L244" s="19">
        <f t="shared" si="11"/>
        <v>734.1666667</v>
      </c>
      <c r="M244" s="19">
        <f t="shared" si="12"/>
        <v>757.3333333</v>
      </c>
      <c r="N244" s="19">
        <f t="shared" si="13"/>
        <v>728.5333333</v>
      </c>
    </row>
    <row r="245" ht="24.75" customHeight="1">
      <c r="A245" s="21" t="s">
        <v>208</v>
      </c>
      <c r="B245" s="13">
        <f>IFERROR(__xludf.DUMMYFUNCTION("GOOGLEFINANCE(A245,""PRICE"")"),100.83)</f>
        <v>100.83</v>
      </c>
      <c r="C245" s="14">
        <f>IFERROR(__xludf.DUMMYFUNCTION("GOOGLEFINANCE(A245,""PRICEOPEN"")"),100.82)</f>
        <v>100.82</v>
      </c>
      <c r="D245" s="14">
        <f>IFERROR(__xludf.DUMMYFUNCTION("GOOGLEFINANCE(A245,""HIGH"")"),100.83)</f>
        <v>100.83</v>
      </c>
      <c r="E245" s="14">
        <f>IFERROR(__xludf.DUMMYFUNCTION("GOOGLEFINANCE(A245,""LOW"")"),100.79)</f>
        <v>100.79</v>
      </c>
      <c r="F245" s="15" t="str">
        <f t="shared" si="8"/>
        <v/>
      </c>
      <c r="G245" s="16">
        <f>IFERROR(__xludf.DUMMYFUNCTION("GOOGLEFINANCE(A245,""CLOSEYEST"")"),100.83)</f>
        <v>100.83</v>
      </c>
      <c r="H245" s="17" t="str">
        <f t="shared" si="14"/>
        <v/>
      </c>
      <c r="I245" s="18">
        <f t="shared" si="9"/>
        <v>100.8166667</v>
      </c>
      <c r="J245" s="19">
        <f t="shared" si="10"/>
        <v>100.8433333</v>
      </c>
      <c r="K245" s="19"/>
      <c r="L245" s="19">
        <f t="shared" si="11"/>
        <v>100.8033333</v>
      </c>
      <c r="M245" s="19">
        <f t="shared" si="12"/>
        <v>100.8566667</v>
      </c>
      <c r="N245" s="19">
        <f t="shared" si="13"/>
        <v>100.7766667</v>
      </c>
    </row>
    <row r="246" ht="24.75" customHeight="1">
      <c r="A246" s="21" t="s">
        <v>209</v>
      </c>
      <c r="B246" s="13">
        <f>IFERROR(__xludf.DUMMYFUNCTION("GOOGLEFINANCE(A246,""PRICE"")"),724.0)</f>
        <v>724</v>
      </c>
      <c r="C246" s="14">
        <f>IFERROR(__xludf.DUMMYFUNCTION("GOOGLEFINANCE(A246,""PRICEOPEN"")"),688.0)</f>
        <v>688</v>
      </c>
      <c r="D246" s="14">
        <f>IFERROR(__xludf.DUMMYFUNCTION("GOOGLEFINANCE(A246,""HIGH"")"),729.0)</f>
        <v>729</v>
      </c>
      <c r="E246" s="14">
        <f>IFERROR(__xludf.DUMMYFUNCTION("GOOGLEFINANCE(A246,""LOW"")"),683.65)</f>
        <v>683.65</v>
      </c>
      <c r="F246" s="15" t="str">
        <f t="shared" si="8"/>
        <v/>
      </c>
      <c r="G246" s="16">
        <f>IFERROR(__xludf.DUMMYFUNCTION("GOOGLEFINANCE(A246,""CLOSEYEST"")"),690.4)</f>
        <v>690.4</v>
      </c>
      <c r="H246" s="17" t="str">
        <f t="shared" si="14"/>
        <v/>
      </c>
      <c r="I246" s="18">
        <f t="shared" si="9"/>
        <v>701.0166667</v>
      </c>
      <c r="J246" s="19">
        <f t="shared" si="10"/>
        <v>718.3833333</v>
      </c>
      <c r="K246" s="19"/>
      <c r="L246" s="19">
        <f t="shared" si="11"/>
        <v>673.0333333</v>
      </c>
      <c r="M246" s="19">
        <f t="shared" si="12"/>
        <v>746.3666667</v>
      </c>
      <c r="N246" s="19">
        <f t="shared" si="13"/>
        <v>655.6666667</v>
      </c>
    </row>
    <row r="247" ht="24.75" customHeight="1">
      <c r="A247" s="21" t="s">
        <v>210</v>
      </c>
      <c r="B247" s="13">
        <f>IFERROR(__xludf.DUMMYFUNCTION("GOOGLEFINANCE(A247,""PRICE"")"),1211.0)</f>
        <v>1211</v>
      </c>
      <c r="C247" s="14">
        <f>IFERROR(__xludf.DUMMYFUNCTION("GOOGLEFINANCE(A247,""PRICEOPEN"")"),1188.3)</f>
        <v>1188.3</v>
      </c>
      <c r="D247" s="14">
        <f>IFERROR(__xludf.DUMMYFUNCTION("GOOGLEFINANCE(A247,""HIGH"")"),1235.2)</f>
        <v>1235.2</v>
      </c>
      <c r="E247" s="14">
        <f>IFERROR(__xludf.DUMMYFUNCTION("GOOGLEFINANCE(A247,""LOW"")"),1188.3)</f>
        <v>1188.3</v>
      </c>
      <c r="F247" s="15" t="str">
        <f t="shared" si="8"/>
        <v>BUY</v>
      </c>
      <c r="G247" s="16">
        <f>IFERROR(__xludf.DUMMYFUNCTION("GOOGLEFINANCE(A247,""CLOSEYEST"")"),1188.1)</f>
        <v>1188.1</v>
      </c>
      <c r="H247" s="17" t="str">
        <f t="shared" si="14"/>
        <v/>
      </c>
      <c r="I247" s="18">
        <f t="shared" si="9"/>
        <v>1203.866667</v>
      </c>
      <c r="J247" s="19">
        <f t="shared" si="10"/>
        <v>1219.433333</v>
      </c>
      <c r="K247" s="19"/>
      <c r="L247" s="19">
        <f t="shared" si="11"/>
        <v>1172.533333</v>
      </c>
      <c r="M247" s="19">
        <f t="shared" si="12"/>
        <v>1250.766667</v>
      </c>
      <c r="N247" s="19">
        <f t="shared" si="13"/>
        <v>1156.966667</v>
      </c>
    </row>
    <row r="248" ht="24.75" customHeight="1">
      <c r="A248" s="21" t="s">
        <v>211</v>
      </c>
      <c r="B248" s="13">
        <f>IFERROR(__xludf.DUMMYFUNCTION("GOOGLEFINANCE(A248,""PRICE"")"),633.45)</f>
        <v>633.45</v>
      </c>
      <c r="C248" s="14">
        <f>IFERROR(__xludf.DUMMYFUNCTION("GOOGLEFINANCE(A248,""PRICEOPEN"")"),631.0)</f>
        <v>631</v>
      </c>
      <c r="D248" s="14">
        <f>IFERROR(__xludf.DUMMYFUNCTION("GOOGLEFINANCE(A248,""HIGH"")"),640.6)</f>
        <v>640.6</v>
      </c>
      <c r="E248" s="14">
        <f>IFERROR(__xludf.DUMMYFUNCTION("GOOGLEFINANCE(A248,""LOW"")"),627.5)</f>
        <v>627.5</v>
      </c>
      <c r="F248" s="15" t="str">
        <f t="shared" si="8"/>
        <v/>
      </c>
      <c r="G248" s="16">
        <f>IFERROR(__xludf.DUMMYFUNCTION("GOOGLEFINANCE(A248,""CLOSEYEST"")"),631.6)</f>
        <v>631.6</v>
      </c>
      <c r="H248" s="17" t="str">
        <f t="shared" si="14"/>
        <v/>
      </c>
      <c r="I248" s="18">
        <f t="shared" si="9"/>
        <v>633.2333333</v>
      </c>
      <c r="J248" s="19">
        <f t="shared" si="10"/>
        <v>638.9666667</v>
      </c>
      <c r="K248" s="19"/>
      <c r="L248" s="19">
        <f t="shared" si="11"/>
        <v>625.8666667</v>
      </c>
      <c r="M248" s="19">
        <f t="shared" si="12"/>
        <v>646.3333333</v>
      </c>
      <c r="N248" s="19">
        <f t="shared" si="13"/>
        <v>620.1333333</v>
      </c>
    </row>
    <row r="249" ht="24.75" customHeight="1">
      <c r="A249" s="21" t="s">
        <v>212</v>
      </c>
      <c r="B249" s="13">
        <f>IFERROR(__xludf.DUMMYFUNCTION("GOOGLEFINANCE(A249,""PRICE"")"),3580.0)</f>
        <v>3580</v>
      </c>
      <c r="C249" s="14">
        <f>IFERROR(__xludf.DUMMYFUNCTION("GOOGLEFINANCE(A249,""PRICEOPEN"")"),3670.0)</f>
        <v>3670</v>
      </c>
      <c r="D249" s="14">
        <f>IFERROR(__xludf.DUMMYFUNCTION("GOOGLEFINANCE(A249,""HIGH"")"),3671.9)</f>
        <v>3671.9</v>
      </c>
      <c r="E249" s="14">
        <f>IFERROR(__xludf.DUMMYFUNCTION("GOOGLEFINANCE(A249,""LOW"")"),3557.4)</f>
        <v>3557.4</v>
      </c>
      <c r="F249" s="15" t="str">
        <f t="shared" si="8"/>
        <v/>
      </c>
      <c r="G249" s="16">
        <f>IFERROR(__xludf.DUMMYFUNCTION("GOOGLEFINANCE(A249,""CLOSEYEST"")"),3637.7)</f>
        <v>3637.7</v>
      </c>
      <c r="H249" s="17" t="str">
        <f t="shared" si="14"/>
        <v/>
      </c>
      <c r="I249" s="18">
        <f t="shared" si="9"/>
        <v>3622.333333</v>
      </c>
      <c r="J249" s="19">
        <f t="shared" si="10"/>
        <v>3687.266667</v>
      </c>
      <c r="K249" s="19"/>
      <c r="L249" s="19">
        <f t="shared" si="11"/>
        <v>3572.766667</v>
      </c>
      <c r="M249" s="19">
        <f t="shared" si="12"/>
        <v>3736.833333</v>
      </c>
      <c r="N249" s="19">
        <f t="shared" si="13"/>
        <v>3507.833333</v>
      </c>
    </row>
    <row r="250" ht="24.75" customHeight="1">
      <c r="A250" s="21" t="s">
        <v>213</v>
      </c>
      <c r="B250" s="13">
        <f>IFERROR(__xludf.DUMMYFUNCTION("GOOGLEFINANCE(A250,""PRICE"")"),926.1)</f>
        <v>926.1</v>
      </c>
      <c r="C250" s="14">
        <f>IFERROR(__xludf.DUMMYFUNCTION("GOOGLEFINANCE(A250,""PRICEOPEN"")"),921.5)</f>
        <v>921.5</v>
      </c>
      <c r="D250" s="14">
        <f>IFERROR(__xludf.DUMMYFUNCTION("GOOGLEFINANCE(A250,""HIGH"")"),928.35)</f>
        <v>928.35</v>
      </c>
      <c r="E250" s="14">
        <f>IFERROR(__xludf.DUMMYFUNCTION("GOOGLEFINANCE(A250,""LOW"")"),910.3)</f>
        <v>910.3</v>
      </c>
      <c r="F250" s="15" t="str">
        <f t="shared" si="8"/>
        <v/>
      </c>
      <c r="G250" s="16">
        <f>IFERROR(__xludf.DUMMYFUNCTION("GOOGLEFINANCE(A250,""CLOSEYEST"")"),917.55)</f>
        <v>917.55</v>
      </c>
      <c r="H250" s="17" t="str">
        <f t="shared" si="14"/>
        <v/>
      </c>
      <c r="I250" s="18">
        <f t="shared" si="9"/>
        <v>918.7333333</v>
      </c>
      <c r="J250" s="19">
        <f t="shared" si="10"/>
        <v>927.1666667</v>
      </c>
      <c r="K250" s="19"/>
      <c r="L250" s="19">
        <f t="shared" si="11"/>
        <v>909.1166667</v>
      </c>
      <c r="M250" s="19">
        <f t="shared" si="12"/>
        <v>936.7833333</v>
      </c>
      <c r="N250" s="19">
        <f t="shared" si="13"/>
        <v>900.6833333</v>
      </c>
    </row>
    <row r="251" ht="24.75" customHeight="1">
      <c r="A251" s="21" t="s">
        <v>214</v>
      </c>
      <c r="B251" s="13">
        <f>IFERROR(__xludf.DUMMYFUNCTION("GOOGLEFINANCE(A251,""PRICE"")"),367.2)</f>
        <v>367.2</v>
      </c>
      <c r="C251" s="14">
        <f>IFERROR(__xludf.DUMMYFUNCTION("GOOGLEFINANCE(A251,""PRICEOPEN"")"),367.5)</f>
        <v>367.5</v>
      </c>
      <c r="D251" s="14">
        <f>IFERROR(__xludf.DUMMYFUNCTION("GOOGLEFINANCE(A251,""HIGH"")"),368.55)</f>
        <v>368.55</v>
      </c>
      <c r="E251" s="14">
        <f>IFERROR(__xludf.DUMMYFUNCTION("GOOGLEFINANCE(A251,""LOW"")"),363.6)</f>
        <v>363.6</v>
      </c>
      <c r="F251" s="15" t="str">
        <f t="shared" si="8"/>
        <v/>
      </c>
      <c r="G251" s="16">
        <f>IFERROR(__xludf.DUMMYFUNCTION("GOOGLEFINANCE(A251,""CLOSEYEST"")"),366.3)</f>
        <v>366.3</v>
      </c>
      <c r="H251" s="17" t="str">
        <f t="shared" si="14"/>
        <v/>
      </c>
      <c r="I251" s="18">
        <f t="shared" si="9"/>
        <v>366.15</v>
      </c>
      <c r="J251" s="19">
        <f t="shared" si="10"/>
        <v>368.7</v>
      </c>
      <c r="K251" s="19"/>
      <c r="L251" s="19">
        <f t="shared" si="11"/>
        <v>363.75</v>
      </c>
      <c r="M251" s="19">
        <f t="shared" si="12"/>
        <v>371.1</v>
      </c>
      <c r="N251" s="19">
        <f t="shared" si="13"/>
        <v>361.2</v>
      </c>
    </row>
    <row r="252" ht="24.75" customHeight="1">
      <c r="A252" s="21" t="s">
        <v>215</v>
      </c>
      <c r="B252" s="13">
        <f>IFERROR(__xludf.DUMMYFUNCTION("GOOGLEFINANCE(A252,""PRICE"")"),185.26)</f>
        <v>185.26</v>
      </c>
      <c r="C252" s="14">
        <f>IFERROR(__xludf.DUMMYFUNCTION("GOOGLEFINANCE(A252,""PRICEOPEN"")"),184.8)</f>
        <v>184.8</v>
      </c>
      <c r="D252" s="14">
        <f>IFERROR(__xludf.DUMMYFUNCTION("GOOGLEFINANCE(A252,""HIGH"")"),185.9)</f>
        <v>185.9</v>
      </c>
      <c r="E252" s="14">
        <f>IFERROR(__xludf.DUMMYFUNCTION("GOOGLEFINANCE(A252,""LOW"")"),181.85)</f>
        <v>181.85</v>
      </c>
      <c r="F252" s="15" t="str">
        <f t="shared" si="8"/>
        <v/>
      </c>
      <c r="G252" s="16">
        <f>IFERROR(__xludf.DUMMYFUNCTION("GOOGLEFINANCE(A252,""CLOSEYEST"")"),183.48)</f>
        <v>183.48</v>
      </c>
      <c r="H252" s="17" t="str">
        <f t="shared" si="14"/>
        <v/>
      </c>
      <c r="I252" s="18">
        <f t="shared" si="9"/>
        <v>183.7433333</v>
      </c>
      <c r="J252" s="19">
        <f t="shared" si="10"/>
        <v>185.6366667</v>
      </c>
      <c r="K252" s="19"/>
      <c r="L252" s="19">
        <f t="shared" si="11"/>
        <v>181.5866667</v>
      </c>
      <c r="M252" s="19">
        <f t="shared" si="12"/>
        <v>187.7933333</v>
      </c>
      <c r="N252" s="19">
        <f t="shared" si="13"/>
        <v>179.6933333</v>
      </c>
    </row>
    <row r="253" ht="24.75" customHeight="1">
      <c r="A253" s="21" t="s">
        <v>216</v>
      </c>
      <c r="B253" s="13">
        <f>IFERROR(__xludf.DUMMYFUNCTION("GOOGLEFINANCE(A253,""PRICE"")"),989.4)</f>
        <v>989.4</v>
      </c>
      <c r="C253" s="14">
        <f>IFERROR(__xludf.DUMMYFUNCTION("GOOGLEFINANCE(A253,""PRICEOPEN"")"),993.0)</f>
        <v>993</v>
      </c>
      <c r="D253" s="14">
        <f>IFERROR(__xludf.DUMMYFUNCTION("GOOGLEFINANCE(A253,""HIGH"")"),1004.8)</f>
        <v>1004.8</v>
      </c>
      <c r="E253" s="14">
        <f>IFERROR(__xludf.DUMMYFUNCTION("GOOGLEFINANCE(A253,""LOW"")"),977.35)</f>
        <v>977.35</v>
      </c>
      <c r="F253" s="15" t="str">
        <f t="shared" si="8"/>
        <v/>
      </c>
      <c r="G253" s="16">
        <f>IFERROR(__xludf.DUMMYFUNCTION("GOOGLEFINANCE(A253,""CLOSEYEST"")"),992.7)</f>
        <v>992.7</v>
      </c>
      <c r="H253" s="17" t="str">
        <f t="shared" si="14"/>
        <v/>
      </c>
      <c r="I253" s="18">
        <f t="shared" si="9"/>
        <v>991.6166667</v>
      </c>
      <c r="J253" s="19">
        <f t="shared" si="10"/>
        <v>1005.883333</v>
      </c>
      <c r="K253" s="19"/>
      <c r="L253" s="19">
        <f t="shared" si="11"/>
        <v>978.4333333</v>
      </c>
      <c r="M253" s="19">
        <f t="shared" si="12"/>
        <v>1019.066667</v>
      </c>
      <c r="N253" s="19">
        <f t="shared" si="13"/>
        <v>964.1666667</v>
      </c>
    </row>
    <row r="254" ht="24.75" customHeight="1">
      <c r="A254" s="21" t="s">
        <v>217</v>
      </c>
      <c r="B254" s="13">
        <f>IFERROR(__xludf.DUMMYFUNCTION("GOOGLEFINANCE(A254,""PRICE"")"),4.9)</f>
        <v>4.9</v>
      </c>
      <c r="C254" s="14" t="str">
        <f>IFERROR(__xludf.DUMMYFUNCTION("GOOGLEFINANCE(A254,""PRICEOPEN"")"),"#N/A")</f>
        <v>#N/A</v>
      </c>
      <c r="D254" s="14" t="str">
        <f>IFERROR(__xludf.DUMMYFUNCTION("GOOGLEFINANCE(A254,""HIGH"")"),"#N/A")</f>
        <v>#N/A</v>
      </c>
      <c r="E254" s="14" t="str">
        <f>IFERROR(__xludf.DUMMYFUNCTION("GOOGLEFINANCE(A254,""LOW"")"),"#N/A")</f>
        <v>#N/A</v>
      </c>
      <c r="F254" s="15" t="str">
        <f t="shared" si="8"/>
        <v>#N/A</v>
      </c>
      <c r="G254" s="16">
        <f>IFERROR(__xludf.DUMMYFUNCTION("GOOGLEFINANCE(A254,""CLOSEYEST"")"),4.9)</f>
        <v>4.9</v>
      </c>
      <c r="H254" s="17" t="str">
        <f t="shared" si="14"/>
        <v>#N/A</v>
      </c>
      <c r="I254" s="18" t="str">
        <f t="shared" si="9"/>
        <v>#N/A</v>
      </c>
      <c r="J254" s="19" t="str">
        <f t="shared" si="10"/>
        <v>#N/A</v>
      </c>
      <c r="K254" s="19"/>
      <c r="L254" s="19" t="str">
        <f t="shared" si="11"/>
        <v>#N/A</v>
      </c>
      <c r="M254" s="19" t="str">
        <f t="shared" si="12"/>
        <v>#N/A</v>
      </c>
      <c r="N254" s="19" t="str">
        <f t="shared" si="13"/>
        <v>#N/A</v>
      </c>
    </row>
    <row r="255" ht="24.75" customHeight="1">
      <c r="A255" s="21" t="s">
        <v>218</v>
      </c>
      <c r="B255" s="13">
        <f>IFERROR(__xludf.DUMMYFUNCTION("GOOGLEFINANCE(A255,""PRICE"")"),2889.0)</f>
        <v>2889</v>
      </c>
      <c r="C255" s="14">
        <f>IFERROR(__xludf.DUMMYFUNCTION("GOOGLEFINANCE(A255,""PRICEOPEN"")"),2821.0)</f>
        <v>2821</v>
      </c>
      <c r="D255" s="14">
        <f>IFERROR(__xludf.DUMMYFUNCTION("GOOGLEFINANCE(A255,""HIGH"")"),2903.5)</f>
        <v>2903.5</v>
      </c>
      <c r="E255" s="14">
        <f>IFERROR(__xludf.DUMMYFUNCTION("GOOGLEFINANCE(A255,""LOW"")"),2758.0)</f>
        <v>2758</v>
      </c>
      <c r="F255" s="15" t="str">
        <f t="shared" si="8"/>
        <v/>
      </c>
      <c r="G255" s="16">
        <f>IFERROR(__xludf.DUMMYFUNCTION("GOOGLEFINANCE(A255,""CLOSEYEST"")"),2812.6)</f>
        <v>2812.6</v>
      </c>
      <c r="H255" s="17" t="str">
        <f t="shared" si="14"/>
        <v/>
      </c>
      <c r="I255" s="18">
        <f t="shared" si="9"/>
        <v>2824.7</v>
      </c>
      <c r="J255" s="19">
        <f t="shared" si="10"/>
        <v>2891.4</v>
      </c>
      <c r="K255" s="19"/>
      <c r="L255" s="19">
        <f t="shared" si="11"/>
        <v>2745.9</v>
      </c>
      <c r="M255" s="19">
        <f t="shared" si="12"/>
        <v>2970.2</v>
      </c>
      <c r="N255" s="19">
        <f t="shared" si="13"/>
        <v>2679.2</v>
      </c>
    </row>
    <row r="256" ht="24.75" customHeight="1">
      <c r="A256" s="21" t="s">
        <v>219</v>
      </c>
      <c r="B256" s="13">
        <f>IFERROR(__xludf.DUMMYFUNCTION("GOOGLEFINANCE(A256,""PRICE"")"),1180.0)</f>
        <v>1180</v>
      </c>
      <c r="C256" s="14">
        <f>IFERROR(__xludf.DUMMYFUNCTION("GOOGLEFINANCE(A256,""PRICEOPEN"")"),1170.2)</f>
        <v>1170.2</v>
      </c>
      <c r="D256" s="14">
        <f>IFERROR(__xludf.DUMMYFUNCTION("GOOGLEFINANCE(A256,""HIGH"")"),1185.8)</f>
        <v>1185.8</v>
      </c>
      <c r="E256" s="14">
        <f>IFERROR(__xludf.DUMMYFUNCTION("GOOGLEFINANCE(A256,""LOW"")"),1165.2)</f>
        <v>1165.2</v>
      </c>
      <c r="F256" s="15" t="str">
        <f t="shared" si="8"/>
        <v/>
      </c>
      <c r="G256" s="16">
        <f>IFERROR(__xludf.DUMMYFUNCTION("GOOGLEFINANCE(A256,""CLOSEYEST"")"),1172.4)</f>
        <v>1172.4</v>
      </c>
      <c r="H256" s="17" t="str">
        <f t="shared" si="14"/>
        <v/>
      </c>
      <c r="I256" s="18">
        <f t="shared" si="9"/>
        <v>1174.466667</v>
      </c>
      <c r="J256" s="19">
        <f t="shared" si="10"/>
        <v>1183.733333</v>
      </c>
      <c r="K256" s="19"/>
      <c r="L256" s="19">
        <f t="shared" si="11"/>
        <v>1163.133333</v>
      </c>
      <c r="M256" s="19">
        <f t="shared" si="12"/>
        <v>1195.066667</v>
      </c>
      <c r="N256" s="19">
        <f t="shared" si="13"/>
        <v>1153.866667</v>
      </c>
    </row>
    <row r="257" ht="24.75" customHeight="1">
      <c r="A257" s="21" t="s">
        <v>220</v>
      </c>
      <c r="B257" s="13">
        <f>IFERROR(__xludf.DUMMYFUNCTION("GOOGLEFINANCE(A257,""PRICE"")"),3182.0)</f>
        <v>3182</v>
      </c>
      <c r="C257" s="14">
        <f>IFERROR(__xludf.DUMMYFUNCTION("GOOGLEFINANCE(A257,""PRICEOPEN"")"),3160.0)</f>
        <v>3160</v>
      </c>
      <c r="D257" s="14">
        <f>IFERROR(__xludf.DUMMYFUNCTION("GOOGLEFINANCE(A257,""HIGH"")"),3192.0)</f>
        <v>3192</v>
      </c>
      <c r="E257" s="14">
        <f>IFERROR(__xludf.DUMMYFUNCTION("GOOGLEFINANCE(A257,""LOW"")"),3141.0)</f>
        <v>3141</v>
      </c>
      <c r="F257" s="15" t="str">
        <f t="shared" si="8"/>
        <v/>
      </c>
      <c r="G257" s="16">
        <f>IFERROR(__xludf.DUMMYFUNCTION("GOOGLEFINANCE(A257,""CLOSEYEST"")"),3165.2)</f>
        <v>3165.2</v>
      </c>
      <c r="H257" s="17" t="str">
        <f t="shared" si="14"/>
        <v/>
      </c>
      <c r="I257" s="18">
        <f t="shared" si="9"/>
        <v>3166.066667</v>
      </c>
      <c r="J257" s="19">
        <f t="shared" si="10"/>
        <v>3191.133333</v>
      </c>
      <c r="K257" s="19"/>
      <c r="L257" s="19">
        <f t="shared" si="11"/>
        <v>3140.133333</v>
      </c>
      <c r="M257" s="19">
        <f t="shared" si="12"/>
        <v>3217.066667</v>
      </c>
      <c r="N257" s="19">
        <f t="shared" si="13"/>
        <v>3115.066667</v>
      </c>
    </row>
    <row r="258" ht="24.75" customHeight="1">
      <c r="A258" s="21" t="s">
        <v>221</v>
      </c>
      <c r="B258" s="13">
        <f>IFERROR(__xludf.DUMMYFUNCTION("GOOGLEFINANCE(A258,""PRICE"")"),190.7)</f>
        <v>190.7</v>
      </c>
      <c r="C258" s="14">
        <f>IFERROR(__xludf.DUMMYFUNCTION("GOOGLEFINANCE(A258,""PRICEOPEN"")"),192.0)</f>
        <v>192</v>
      </c>
      <c r="D258" s="14">
        <f>IFERROR(__xludf.DUMMYFUNCTION("GOOGLEFINANCE(A258,""HIGH"")"),192.0)</f>
        <v>192</v>
      </c>
      <c r="E258" s="14">
        <f>IFERROR(__xludf.DUMMYFUNCTION("GOOGLEFINANCE(A258,""LOW"")"),189.55)</f>
        <v>189.55</v>
      </c>
      <c r="F258" s="15" t="str">
        <f t="shared" si="8"/>
        <v>SELL</v>
      </c>
      <c r="G258" s="16">
        <f>IFERROR(__xludf.DUMMYFUNCTION("GOOGLEFINANCE(A258,""CLOSEYEST"")"),190.49)</f>
        <v>190.49</v>
      </c>
      <c r="H258" s="17" t="str">
        <f t="shared" si="14"/>
        <v/>
      </c>
      <c r="I258" s="18">
        <f t="shared" si="9"/>
        <v>190.68</v>
      </c>
      <c r="J258" s="19">
        <f t="shared" si="10"/>
        <v>191.81</v>
      </c>
      <c r="K258" s="19"/>
      <c r="L258" s="19">
        <f t="shared" si="11"/>
        <v>189.36</v>
      </c>
      <c r="M258" s="19">
        <f t="shared" si="12"/>
        <v>193.13</v>
      </c>
      <c r="N258" s="19">
        <f t="shared" si="13"/>
        <v>188.23</v>
      </c>
    </row>
    <row r="259" ht="24.75" customHeight="1">
      <c r="A259" s="21" t="s">
        <v>222</v>
      </c>
      <c r="B259" s="13">
        <f>IFERROR(__xludf.DUMMYFUNCTION("GOOGLEFINANCE(A259,""PRICE"")"),167.0)</f>
        <v>167</v>
      </c>
      <c r="C259" s="14">
        <f>IFERROR(__xludf.DUMMYFUNCTION("GOOGLEFINANCE(A259,""PRICEOPEN"")"),166.73)</f>
        <v>166.73</v>
      </c>
      <c r="D259" s="14">
        <f>IFERROR(__xludf.DUMMYFUNCTION("GOOGLEFINANCE(A259,""HIGH"")"),168.29)</f>
        <v>168.29</v>
      </c>
      <c r="E259" s="14">
        <f>IFERROR(__xludf.DUMMYFUNCTION("GOOGLEFINANCE(A259,""LOW"")"),165.69)</f>
        <v>165.69</v>
      </c>
      <c r="F259" s="15" t="str">
        <f t="shared" si="8"/>
        <v/>
      </c>
      <c r="G259" s="16">
        <f>IFERROR(__xludf.DUMMYFUNCTION("GOOGLEFINANCE(A259,""CLOSEYEST"")"),165.18)</f>
        <v>165.18</v>
      </c>
      <c r="H259" s="17" t="str">
        <f t="shared" si="14"/>
        <v/>
      </c>
      <c r="I259" s="18">
        <f t="shared" si="9"/>
        <v>166.3866667</v>
      </c>
      <c r="J259" s="19">
        <f t="shared" si="10"/>
        <v>167.0833333</v>
      </c>
      <c r="K259" s="19"/>
      <c r="L259" s="19">
        <f t="shared" si="11"/>
        <v>164.4833333</v>
      </c>
      <c r="M259" s="19">
        <f t="shared" si="12"/>
        <v>168.9866667</v>
      </c>
      <c r="N259" s="19">
        <f t="shared" si="13"/>
        <v>163.7866667</v>
      </c>
    </row>
    <row r="260" ht="24.75" customHeight="1">
      <c r="A260" s="21" t="s">
        <v>223</v>
      </c>
      <c r="B260" s="13">
        <f>IFERROR(__xludf.DUMMYFUNCTION("GOOGLEFINANCE(A260,""PRICE"")"),1735.0)</f>
        <v>1735</v>
      </c>
      <c r="C260" s="14">
        <f>IFERROR(__xludf.DUMMYFUNCTION("GOOGLEFINANCE(A260,""PRICEOPEN"")"),1740.0)</f>
        <v>1740</v>
      </c>
      <c r="D260" s="14">
        <f>IFERROR(__xludf.DUMMYFUNCTION("GOOGLEFINANCE(A260,""HIGH"")"),1752.5)</f>
        <v>1752.5</v>
      </c>
      <c r="E260" s="14">
        <f>IFERROR(__xludf.DUMMYFUNCTION("GOOGLEFINANCE(A260,""LOW"")"),1723.8)</f>
        <v>1723.8</v>
      </c>
      <c r="F260" s="15" t="str">
        <f t="shared" si="8"/>
        <v/>
      </c>
      <c r="G260" s="16">
        <f>IFERROR(__xludf.DUMMYFUNCTION("GOOGLEFINANCE(A260,""CLOSEYEST"")"),1731.1)</f>
        <v>1731.1</v>
      </c>
      <c r="H260" s="17" t="str">
        <f t="shared" si="14"/>
        <v/>
      </c>
      <c r="I260" s="18">
        <f t="shared" si="9"/>
        <v>1735.8</v>
      </c>
      <c r="J260" s="19">
        <f t="shared" si="10"/>
        <v>1747.8</v>
      </c>
      <c r="K260" s="19"/>
      <c r="L260" s="19">
        <f t="shared" si="11"/>
        <v>1719.1</v>
      </c>
      <c r="M260" s="19">
        <f t="shared" si="12"/>
        <v>1764.5</v>
      </c>
      <c r="N260" s="19">
        <f t="shared" si="13"/>
        <v>1707.1</v>
      </c>
    </row>
    <row r="261" ht="24.75" customHeight="1">
      <c r="A261" s="21" t="s">
        <v>224</v>
      </c>
      <c r="B261" s="13">
        <f>IFERROR(__xludf.DUMMYFUNCTION("GOOGLEFINANCE(A261,""PRICE"")"),167.46)</f>
        <v>167.46</v>
      </c>
      <c r="C261" s="14">
        <f>IFERROR(__xludf.DUMMYFUNCTION("GOOGLEFINANCE(A261,""PRICEOPEN"")"),172.4)</f>
        <v>172.4</v>
      </c>
      <c r="D261" s="14">
        <f>IFERROR(__xludf.DUMMYFUNCTION("GOOGLEFINANCE(A261,""HIGH"")"),172.4)</f>
        <v>172.4</v>
      </c>
      <c r="E261" s="14">
        <f>IFERROR(__xludf.DUMMYFUNCTION("GOOGLEFINANCE(A261,""LOW"")"),167.05)</f>
        <v>167.05</v>
      </c>
      <c r="F261" s="15" t="str">
        <f t="shared" si="8"/>
        <v>SELL</v>
      </c>
      <c r="G261" s="16">
        <f>IFERROR(__xludf.DUMMYFUNCTION("GOOGLEFINANCE(A261,""CLOSEYEST"")"),171.74)</f>
        <v>171.74</v>
      </c>
      <c r="H261" s="17" t="str">
        <f t="shared" si="14"/>
        <v/>
      </c>
      <c r="I261" s="18">
        <f t="shared" si="9"/>
        <v>170.3966667</v>
      </c>
      <c r="J261" s="19">
        <f t="shared" si="10"/>
        <v>173.7433333</v>
      </c>
      <c r="K261" s="19"/>
      <c r="L261" s="19">
        <f t="shared" si="11"/>
        <v>168.3933333</v>
      </c>
      <c r="M261" s="19">
        <f t="shared" si="12"/>
        <v>175.7466667</v>
      </c>
      <c r="N261" s="19">
        <f t="shared" si="13"/>
        <v>165.0466667</v>
      </c>
    </row>
    <row r="262" ht="24.75" customHeight="1">
      <c r="A262" s="21" t="s">
        <v>225</v>
      </c>
      <c r="B262" s="13">
        <f>IFERROR(__xludf.DUMMYFUNCTION("GOOGLEFINANCE(A262,""PRICE"")"),895.0)</f>
        <v>895</v>
      </c>
      <c r="C262" s="14">
        <f>IFERROR(__xludf.DUMMYFUNCTION("GOOGLEFINANCE(A262,""PRICEOPEN"")"),878.0)</f>
        <v>878</v>
      </c>
      <c r="D262" s="14">
        <f>IFERROR(__xludf.DUMMYFUNCTION("GOOGLEFINANCE(A262,""HIGH"")"),897.9)</f>
        <v>897.9</v>
      </c>
      <c r="E262" s="14">
        <f>IFERROR(__xludf.DUMMYFUNCTION("GOOGLEFINANCE(A262,""LOW"")"),871.0)</f>
        <v>871</v>
      </c>
      <c r="F262" s="15" t="str">
        <f t="shared" si="8"/>
        <v/>
      </c>
      <c r="G262" s="16">
        <f>IFERROR(__xludf.DUMMYFUNCTION("GOOGLEFINANCE(A262,""CLOSEYEST"")"),876.1)</f>
        <v>876.1</v>
      </c>
      <c r="H262" s="17" t="str">
        <f t="shared" si="14"/>
        <v/>
      </c>
      <c r="I262" s="18">
        <f t="shared" si="9"/>
        <v>881.6666667</v>
      </c>
      <c r="J262" s="19">
        <f t="shared" si="10"/>
        <v>892.3333333</v>
      </c>
      <c r="K262" s="19"/>
      <c r="L262" s="19">
        <f t="shared" si="11"/>
        <v>865.4333333</v>
      </c>
      <c r="M262" s="19">
        <f t="shared" si="12"/>
        <v>908.5666667</v>
      </c>
      <c r="N262" s="19">
        <f t="shared" si="13"/>
        <v>854.7666667</v>
      </c>
    </row>
    <row r="263" ht="24.75" customHeight="1">
      <c r="A263" s="21" t="s">
        <v>226</v>
      </c>
      <c r="B263" s="13">
        <f>IFERROR(__xludf.DUMMYFUNCTION("GOOGLEFINANCE(A263,""PRICE"")"),1666.0)</f>
        <v>1666</v>
      </c>
      <c r="C263" s="14">
        <f>IFERROR(__xludf.DUMMYFUNCTION("GOOGLEFINANCE(A263,""PRICEOPEN"")"),1637.8)</f>
        <v>1637.8</v>
      </c>
      <c r="D263" s="14">
        <f>IFERROR(__xludf.DUMMYFUNCTION("GOOGLEFINANCE(A263,""HIGH"")"),1670.0)</f>
        <v>1670</v>
      </c>
      <c r="E263" s="14">
        <f>IFERROR(__xludf.DUMMYFUNCTION("GOOGLEFINANCE(A263,""LOW"")"),1636.9)</f>
        <v>1636.9</v>
      </c>
      <c r="F263" s="15" t="str">
        <f t="shared" si="8"/>
        <v/>
      </c>
      <c r="G263" s="16">
        <f>IFERROR(__xludf.DUMMYFUNCTION("GOOGLEFINANCE(A263,""CLOSEYEST"")"),1637.8)</f>
        <v>1637.8</v>
      </c>
      <c r="H263" s="17" t="str">
        <f t="shared" si="14"/>
        <v/>
      </c>
      <c r="I263" s="18">
        <f t="shared" si="9"/>
        <v>1648.233333</v>
      </c>
      <c r="J263" s="19">
        <f t="shared" si="10"/>
        <v>1659.566667</v>
      </c>
      <c r="K263" s="19"/>
      <c r="L263" s="19">
        <f t="shared" si="11"/>
        <v>1626.466667</v>
      </c>
      <c r="M263" s="19">
        <f t="shared" si="12"/>
        <v>1681.333333</v>
      </c>
      <c r="N263" s="19">
        <f t="shared" si="13"/>
        <v>1615.133333</v>
      </c>
    </row>
    <row r="264" ht="24.75" customHeight="1">
      <c r="A264" s="21" t="s">
        <v>227</v>
      </c>
      <c r="B264" s="13">
        <f>IFERROR(__xludf.DUMMYFUNCTION("GOOGLEFINANCE(A264,""PRICE"")"),2302.0)</f>
        <v>2302</v>
      </c>
      <c r="C264" s="14">
        <f>IFERROR(__xludf.DUMMYFUNCTION("GOOGLEFINANCE(A264,""PRICEOPEN"")"),2254.0)</f>
        <v>2254</v>
      </c>
      <c r="D264" s="14">
        <f>IFERROR(__xludf.DUMMYFUNCTION("GOOGLEFINANCE(A264,""HIGH"")"),2315.0)</f>
        <v>2315</v>
      </c>
      <c r="E264" s="14">
        <f>IFERROR(__xludf.DUMMYFUNCTION("GOOGLEFINANCE(A264,""LOW"")"),2242.0)</f>
        <v>2242</v>
      </c>
      <c r="F264" s="15" t="str">
        <f t="shared" si="8"/>
        <v/>
      </c>
      <c r="G264" s="16">
        <f>IFERROR(__xludf.DUMMYFUNCTION("GOOGLEFINANCE(A264,""CLOSEYEST"")"),2251.0)</f>
        <v>2251</v>
      </c>
      <c r="H264" s="17" t="str">
        <f t="shared" si="14"/>
        <v/>
      </c>
      <c r="I264" s="18">
        <f t="shared" si="9"/>
        <v>2269.333333</v>
      </c>
      <c r="J264" s="19">
        <f t="shared" si="10"/>
        <v>2296.666667</v>
      </c>
      <c r="K264" s="19"/>
      <c r="L264" s="19">
        <f t="shared" si="11"/>
        <v>2223.666667</v>
      </c>
      <c r="M264" s="19">
        <f t="shared" si="12"/>
        <v>2342.333333</v>
      </c>
      <c r="N264" s="19">
        <f t="shared" si="13"/>
        <v>2196.333333</v>
      </c>
    </row>
    <row r="265" ht="24.75" customHeight="1">
      <c r="A265" s="21" t="s">
        <v>228</v>
      </c>
      <c r="B265" s="13">
        <f>IFERROR(__xludf.DUMMYFUNCTION("GOOGLEFINANCE(A265,""PRICE"")"),5075.0)</f>
        <v>5075</v>
      </c>
      <c r="C265" s="14">
        <f>IFERROR(__xludf.DUMMYFUNCTION("GOOGLEFINANCE(A265,""PRICEOPEN"")"),4922.0)</f>
        <v>4922</v>
      </c>
      <c r="D265" s="14">
        <f>IFERROR(__xludf.DUMMYFUNCTION("GOOGLEFINANCE(A265,""HIGH"")"),5082.0)</f>
        <v>5082</v>
      </c>
      <c r="E265" s="14">
        <f>IFERROR(__xludf.DUMMYFUNCTION("GOOGLEFINANCE(A265,""LOW"")"),4902.8)</f>
        <v>4902.8</v>
      </c>
      <c r="F265" s="15" t="str">
        <f t="shared" si="8"/>
        <v/>
      </c>
      <c r="G265" s="16">
        <f>IFERROR(__xludf.DUMMYFUNCTION("GOOGLEFINANCE(A265,""CLOSEYEST"")"),4912.9)</f>
        <v>4912.9</v>
      </c>
      <c r="H265" s="17" t="str">
        <f t="shared" si="14"/>
        <v/>
      </c>
      <c r="I265" s="18">
        <f t="shared" si="9"/>
        <v>4965.9</v>
      </c>
      <c r="J265" s="19">
        <f t="shared" si="10"/>
        <v>5029</v>
      </c>
      <c r="K265" s="19"/>
      <c r="L265" s="19">
        <f t="shared" si="11"/>
        <v>4849.8</v>
      </c>
      <c r="M265" s="19">
        <f t="shared" si="12"/>
        <v>5145.1</v>
      </c>
      <c r="N265" s="19">
        <f t="shared" si="13"/>
        <v>4786.7</v>
      </c>
    </row>
    <row r="266" ht="24.75" customHeight="1">
      <c r="A266" s="21" t="s">
        <v>229</v>
      </c>
      <c r="B266" s="13">
        <f>IFERROR(__xludf.DUMMYFUNCTION("GOOGLEFINANCE(A266,""PRICE"")"),549.0)</f>
        <v>549</v>
      </c>
      <c r="C266" s="14">
        <f>IFERROR(__xludf.DUMMYFUNCTION("GOOGLEFINANCE(A266,""PRICEOPEN"")"),546.8)</f>
        <v>546.8</v>
      </c>
      <c r="D266" s="14">
        <f>IFERROR(__xludf.DUMMYFUNCTION("GOOGLEFINANCE(A266,""HIGH"")"),553.75)</f>
        <v>553.75</v>
      </c>
      <c r="E266" s="14">
        <f>IFERROR(__xludf.DUMMYFUNCTION("GOOGLEFINANCE(A266,""LOW"")"),542.25)</f>
        <v>542.25</v>
      </c>
      <c r="F266" s="15" t="str">
        <f t="shared" si="8"/>
        <v/>
      </c>
      <c r="G266" s="16">
        <f>IFERROR(__xludf.DUMMYFUNCTION("GOOGLEFINANCE(A266,""CLOSEYEST"")"),542.05)</f>
        <v>542.05</v>
      </c>
      <c r="H266" s="17" t="str">
        <f t="shared" si="14"/>
        <v/>
      </c>
      <c r="I266" s="18">
        <f t="shared" si="9"/>
        <v>546.0166667</v>
      </c>
      <c r="J266" s="19">
        <f t="shared" si="10"/>
        <v>549.7833333</v>
      </c>
      <c r="K266" s="19"/>
      <c r="L266" s="19">
        <f t="shared" si="11"/>
        <v>538.2833333</v>
      </c>
      <c r="M266" s="19">
        <f t="shared" si="12"/>
        <v>557.5166667</v>
      </c>
      <c r="N266" s="19">
        <f t="shared" si="13"/>
        <v>534.5166667</v>
      </c>
    </row>
    <row r="267" ht="24.75" customHeight="1">
      <c r="A267" s="21" t="s">
        <v>230</v>
      </c>
      <c r="B267" s="13">
        <f>IFERROR(__xludf.DUMMYFUNCTION("GOOGLEFINANCE(A267,""PRICE"")"),125.41)</f>
        <v>125.41</v>
      </c>
      <c r="C267" s="14">
        <f>IFERROR(__xludf.DUMMYFUNCTION("GOOGLEFINANCE(A267,""PRICEOPEN"")"),124.65)</f>
        <v>124.65</v>
      </c>
      <c r="D267" s="14">
        <f>IFERROR(__xludf.DUMMYFUNCTION("GOOGLEFINANCE(A267,""HIGH"")"),125.95)</f>
        <v>125.95</v>
      </c>
      <c r="E267" s="14">
        <f>IFERROR(__xludf.DUMMYFUNCTION("GOOGLEFINANCE(A267,""LOW"")"),123.65)</f>
        <v>123.65</v>
      </c>
      <c r="F267" s="15" t="str">
        <f t="shared" si="8"/>
        <v/>
      </c>
      <c r="G267" s="16">
        <f>IFERROR(__xludf.DUMMYFUNCTION("GOOGLEFINANCE(A267,""CLOSEYEST"")"),124.63)</f>
        <v>124.63</v>
      </c>
      <c r="H267" s="17" t="str">
        <f t="shared" si="14"/>
        <v/>
      </c>
      <c r="I267" s="18">
        <f t="shared" si="9"/>
        <v>124.7433333</v>
      </c>
      <c r="J267" s="19">
        <f t="shared" si="10"/>
        <v>125.8366667</v>
      </c>
      <c r="K267" s="19"/>
      <c r="L267" s="19">
        <f t="shared" si="11"/>
        <v>123.5366667</v>
      </c>
      <c r="M267" s="19">
        <f t="shared" si="12"/>
        <v>127.0433333</v>
      </c>
      <c r="N267" s="19">
        <f t="shared" si="13"/>
        <v>122.4433333</v>
      </c>
    </row>
    <row r="268" ht="24.75" customHeight="1">
      <c r="A268" s="21" t="s">
        <v>231</v>
      </c>
      <c r="B268" s="13">
        <f>IFERROR(__xludf.DUMMYFUNCTION("GOOGLEFINANCE(A268,""PRICE"")"),5220.5)</f>
        <v>5220.5</v>
      </c>
      <c r="C268" s="14">
        <f>IFERROR(__xludf.DUMMYFUNCTION("GOOGLEFINANCE(A268,""PRICEOPEN"")"),5192.0)</f>
        <v>5192</v>
      </c>
      <c r="D268" s="14">
        <f>IFERROR(__xludf.DUMMYFUNCTION("GOOGLEFINANCE(A268,""HIGH"")"),5252.0)</f>
        <v>5252</v>
      </c>
      <c r="E268" s="14">
        <f>IFERROR(__xludf.DUMMYFUNCTION("GOOGLEFINANCE(A268,""LOW"")"),5162.0)</f>
        <v>5162</v>
      </c>
      <c r="F268" s="15" t="str">
        <f t="shared" si="8"/>
        <v/>
      </c>
      <c r="G268" s="16">
        <f>IFERROR(__xludf.DUMMYFUNCTION("GOOGLEFINANCE(A268,""CLOSEYEST"")"),5151.0)</f>
        <v>5151</v>
      </c>
      <c r="H268" s="17" t="str">
        <f t="shared" si="14"/>
        <v/>
      </c>
      <c r="I268" s="18">
        <f t="shared" si="9"/>
        <v>5188.333333</v>
      </c>
      <c r="J268" s="19">
        <f t="shared" si="10"/>
        <v>5214.666667</v>
      </c>
      <c r="K268" s="19"/>
      <c r="L268" s="19">
        <f t="shared" si="11"/>
        <v>5124.666667</v>
      </c>
      <c r="M268" s="19">
        <f t="shared" si="12"/>
        <v>5278.333333</v>
      </c>
      <c r="N268" s="19">
        <f t="shared" si="13"/>
        <v>5098.333333</v>
      </c>
    </row>
    <row r="269" ht="24.75" customHeight="1">
      <c r="A269" s="21" t="s">
        <v>232</v>
      </c>
      <c r="B269" s="13">
        <f>IFERROR(__xludf.DUMMYFUNCTION("GOOGLEFINANCE(A269,""PRICE"")"),6233.0)</f>
        <v>6233</v>
      </c>
      <c r="C269" s="14">
        <f>IFERROR(__xludf.DUMMYFUNCTION("GOOGLEFINANCE(A269,""PRICEOPEN"")"),6222.0)</f>
        <v>6222</v>
      </c>
      <c r="D269" s="14">
        <f>IFERROR(__xludf.DUMMYFUNCTION("GOOGLEFINANCE(A269,""HIGH"")"),6299.0)</f>
        <v>6299</v>
      </c>
      <c r="E269" s="14">
        <f>IFERROR(__xludf.DUMMYFUNCTION("GOOGLEFINANCE(A269,""LOW"")"),6201.0)</f>
        <v>6201</v>
      </c>
      <c r="F269" s="15" t="str">
        <f t="shared" si="8"/>
        <v/>
      </c>
      <c r="G269" s="16">
        <f>IFERROR(__xludf.DUMMYFUNCTION("GOOGLEFINANCE(A269,""CLOSEYEST"")"),6266.5)</f>
        <v>6266.5</v>
      </c>
      <c r="H269" s="17" t="str">
        <f t="shared" si="14"/>
        <v/>
      </c>
      <c r="I269" s="18">
        <f t="shared" si="9"/>
        <v>6255.5</v>
      </c>
      <c r="J269" s="19">
        <f t="shared" si="10"/>
        <v>6310</v>
      </c>
      <c r="K269" s="19"/>
      <c r="L269" s="19">
        <f t="shared" si="11"/>
        <v>6212</v>
      </c>
      <c r="M269" s="19">
        <f t="shared" si="12"/>
        <v>6353.5</v>
      </c>
      <c r="N269" s="19">
        <f t="shared" si="13"/>
        <v>6157.5</v>
      </c>
    </row>
    <row r="270" ht="24.75" customHeight="1">
      <c r="A270" s="21" t="s">
        <v>233</v>
      </c>
      <c r="B270" s="13">
        <f>IFERROR(__xludf.DUMMYFUNCTION("GOOGLEFINANCE(A270,""PRICE"")"),980.0)</f>
        <v>980</v>
      </c>
      <c r="C270" s="14">
        <f>IFERROR(__xludf.DUMMYFUNCTION("GOOGLEFINANCE(A270,""PRICEOPEN"")"),996.1)</f>
        <v>996.1</v>
      </c>
      <c r="D270" s="14">
        <f>IFERROR(__xludf.DUMMYFUNCTION("GOOGLEFINANCE(A270,""HIGH"")"),1004.7)</f>
        <v>1004.7</v>
      </c>
      <c r="E270" s="14">
        <f>IFERROR(__xludf.DUMMYFUNCTION("GOOGLEFINANCE(A270,""LOW"")"),970.85)</f>
        <v>970.85</v>
      </c>
      <c r="F270" s="15" t="str">
        <f t="shared" si="8"/>
        <v/>
      </c>
      <c r="G270" s="16">
        <f>IFERROR(__xludf.DUMMYFUNCTION("GOOGLEFINANCE(A270,""CLOSEYEST"")"),989.65)</f>
        <v>989.65</v>
      </c>
      <c r="H270" s="17" t="str">
        <f t="shared" si="14"/>
        <v/>
      </c>
      <c r="I270" s="18">
        <f t="shared" si="9"/>
        <v>988.4</v>
      </c>
      <c r="J270" s="19">
        <f t="shared" si="10"/>
        <v>1005.95</v>
      </c>
      <c r="K270" s="19"/>
      <c r="L270" s="19">
        <f t="shared" si="11"/>
        <v>972.1</v>
      </c>
      <c r="M270" s="19">
        <f t="shared" si="12"/>
        <v>1022.25</v>
      </c>
      <c r="N270" s="19">
        <f t="shared" si="13"/>
        <v>954.55</v>
      </c>
    </row>
    <row r="271" ht="24.75" customHeight="1">
      <c r="A271" s="21" t="s">
        <v>234</v>
      </c>
      <c r="B271" s="13">
        <f>IFERROR(__xludf.DUMMYFUNCTION("GOOGLEFINANCE(A271,""PRICE"")"),1207.9)</f>
        <v>1207.9</v>
      </c>
      <c r="C271" s="14">
        <f>IFERROR(__xludf.DUMMYFUNCTION("GOOGLEFINANCE(A271,""PRICEOPEN"")"),1190.1)</f>
        <v>1190.1</v>
      </c>
      <c r="D271" s="14">
        <f>IFERROR(__xludf.DUMMYFUNCTION("GOOGLEFINANCE(A271,""HIGH"")"),1209.8)</f>
        <v>1209.8</v>
      </c>
      <c r="E271" s="14">
        <f>IFERROR(__xludf.DUMMYFUNCTION("GOOGLEFINANCE(A271,""LOW"")"),1172.2)</f>
        <v>1172.2</v>
      </c>
      <c r="F271" s="15" t="str">
        <f t="shared" si="8"/>
        <v/>
      </c>
      <c r="G271" s="16">
        <f>IFERROR(__xludf.DUMMYFUNCTION("GOOGLEFINANCE(A271,""CLOSEYEST"")"),1191.8)</f>
        <v>1191.8</v>
      </c>
      <c r="H271" s="17" t="str">
        <f t="shared" si="14"/>
        <v/>
      </c>
      <c r="I271" s="18">
        <f t="shared" si="9"/>
        <v>1191.266667</v>
      </c>
      <c r="J271" s="19">
        <f t="shared" si="10"/>
        <v>1210.333333</v>
      </c>
      <c r="K271" s="19"/>
      <c r="L271" s="19">
        <f t="shared" si="11"/>
        <v>1172.733333</v>
      </c>
      <c r="M271" s="19">
        <f t="shared" si="12"/>
        <v>1228.866667</v>
      </c>
      <c r="N271" s="19">
        <f t="shared" si="13"/>
        <v>1153.666667</v>
      </c>
    </row>
    <row r="272" ht="24.75" customHeight="1">
      <c r="A272" s="21" t="s">
        <v>235</v>
      </c>
      <c r="B272" s="13">
        <f>IFERROR(__xludf.DUMMYFUNCTION("GOOGLEFINANCE(A272,""PRICE"")"),1662.8)</f>
        <v>1662.8</v>
      </c>
      <c r="C272" s="14">
        <f>IFERROR(__xludf.DUMMYFUNCTION("GOOGLEFINANCE(A272,""PRICEOPEN"")"),1633.8)</f>
        <v>1633.8</v>
      </c>
      <c r="D272" s="14">
        <f>IFERROR(__xludf.DUMMYFUNCTION("GOOGLEFINANCE(A272,""HIGH"")"),1668.0)</f>
        <v>1668</v>
      </c>
      <c r="E272" s="14">
        <f>IFERROR(__xludf.DUMMYFUNCTION("GOOGLEFINANCE(A272,""LOW"")"),1624.3)</f>
        <v>1624.3</v>
      </c>
      <c r="F272" s="15" t="str">
        <f t="shared" si="8"/>
        <v/>
      </c>
      <c r="G272" s="16">
        <f>IFERROR(__xludf.DUMMYFUNCTION("GOOGLEFINANCE(A272,""CLOSEYEST"")"),1633.2)</f>
        <v>1633.2</v>
      </c>
      <c r="H272" s="17" t="str">
        <f t="shared" si="14"/>
        <v/>
      </c>
      <c r="I272" s="18">
        <f t="shared" si="9"/>
        <v>1641.833333</v>
      </c>
      <c r="J272" s="19">
        <f t="shared" si="10"/>
        <v>1659.366667</v>
      </c>
      <c r="K272" s="19"/>
      <c r="L272" s="19">
        <f t="shared" si="11"/>
        <v>1615.666667</v>
      </c>
      <c r="M272" s="19">
        <f t="shared" si="12"/>
        <v>1685.533333</v>
      </c>
      <c r="N272" s="19">
        <f t="shared" si="13"/>
        <v>1598.133333</v>
      </c>
    </row>
    <row r="273" ht="24.75" customHeight="1">
      <c r="A273" s="21" t="s">
        <v>236</v>
      </c>
      <c r="B273" s="13">
        <f>IFERROR(__xludf.DUMMYFUNCTION("GOOGLEFINANCE(A273,""PRICE"")"),1165.0)</f>
        <v>1165</v>
      </c>
      <c r="C273" s="14">
        <f>IFERROR(__xludf.DUMMYFUNCTION("GOOGLEFINANCE(A273,""PRICEOPEN"")"),1196.5)</f>
        <v>1196.5</v>
      </c>
      <c r="D273" s="14">
        <f>IFERROR(__xludf.DUMMYFUNCTION("GOOGLEFINANCE(A273,""HIGH"")"),1199.0)</f>
        <v>1199</v>
      </c>
      <c r="E273" s="14">
        <f>IFERROR(__xludf.DUMMYFUNCTION("GOOGLEFINANCE(A273,""LOW"")"),1157.0)</f>
        <v>1157</v>
      </c>
      <c r="F273" s="15" t="str">
        <f t="shared" si="8"/>
        <v/>
      </c>
      <c r="G273" s="16">
        <f>IFERROR(__xludf.DUMMYFUNCTION("GOOGLEFINANCE(A273,""CLOSEYEST"")"),1188.6)</f>
        <v>1188.6</v>
      </c>
      <c r="H273" s="17" t="str">
        <f t="shared" si="14"/>
        <v/>
      </c>
      <c r="I273" s="18">
        <f t="shared" si="9"/>
        <v>1181.533333</v>
      </c>
      <c r="J273" s="19">
        <f t="shared" si="10"/>
        <v>1206.066667</v>
      </c>
      <c r="K273" s="19"/>
      <c r="L273" s="19">
        <f t="shared" si="11"/>
        <v>1164.066667</v>
      </c>
      <c r="M273" s="19">
        <f t="shared" si="12"/>
        <v>1223.533333</v>
      </c>
      <c r="N273" s="19">
        <f t="shared" si="13"/>
        <v>1139.533333</v>
      </c>
    </row>
    <row r="274" ht="24.75" customHeight="1">
      <c r="A274" s="21" t="s">
        <v>237</v>
      </c>
      <c r="B274" s="13">
        <f>IFERROR(__xludf.DUMMYFUNCTION("GOOGLEFINANCE(A274,""PRICE"")"),244.8)</f>
        <v>244.8</v>
      </c>
      <c r="C274" s="14">
        <f>IFERROR(__xludf.DUMMYFUNCTION("GOOGLEFINANCE(A274,""PRICEOPEN"")"),240.5)</f>
        <v>240.5</v>
      </c>
      <c r="D274" s="14">
        <f>IFERROR(__xludf.DUMMYFUNCTION("GOOGLEFINANCE(A274,""HIGH"")"),246.29)</f>
        <v>246.29</v>
      </c>
      <c r="E274" s="14">
        <f>IFERROR(__xludf.DUMMYFUNCTION("GOOGLEFINANCE(A274,""LOW"")"),240.0)</f>
        <v>240</v>
      </c>
      <c r="F274" s="15" t="str">
        <f t="shared" si="8"/>
        <v/>
      </c>
      <c r="G274" s="16">
        <f>IFERROR(__xludf.DUMMYFUNCTION("GOOGLEFINANCE(A274,""CLOSEYEST"")"),240.17)</f>
        <v>240.17</v>
      </c>
      <c r="H274" s="17" t="str">
        <f t="shared" si="14"/>
        <v/>
      </c>
      <c r="I274" s="18">
        <f t="shared" si="9"/>
        <v>242.1533333</v>
      </c>
      <c r="J274" s="19">
        <f t="shared" si="10"/>
        <v>244.3066667</v>
      </c>
      <c r="K274" s="19"/>
      <c r="L274" s="19">
        <f t="shared" si="11"/>
        <v>238.0166667</v>
      </c>
      <c r="M274" s="19">
        <f t="shared" si="12"/>
        <v>248.4433333</v>
      </c>
      <c r="N274" s="19">
        <f t="shared" si="13"/>
        <v>235.8633333</v>
      </c>
    </row>
    <row r="275" ht="24.75" customHeight="1">
      <c r="A275" s="21" t="s">
        <v>238</v>
      </c>
      <c r="B275" s="13">
        <f>IFERROR(__xludf.DUMMYFUNCTION("GOOGLEFINANCE(A275,""PRICE"")"),4590.0)</f>
        <v>4590</v>
      </c>
      <c r="C275" s="14">
        <f>IFERROR(__xludf.DUMMYFUNCTION("GOOGLEFINANCE(A275,""PRICEOPEN"")"),4495.0)</f>
        <v>4495</v>
      </c>
      <c r="D275" s="14">
        <f>IFERROR(__xludf.DUMMYFUNCTION("GOOGLEFINANCE(A275,""HIGH"")"),4633.0)</f>
        <v>4633</v>
      </c>
      <c r="E275" s="14">
        <f>IFERROR(__xludf.DUMMYFUNCTION("GOOGLEFINANCE(A275,""LOW"")"),4450.0)</f>
        <v>4450</v>
      </c>
      <c r="F275" s="15" t="str">
        <f t="shared" si="8"/>
        <v/>
      </c>
      <c r="G275" s="16">
        <f>IFERROR(__xludf.DUMMYFUNCTION("GOOGLEFINANCE(A275,""CLOSEYEST"")"),4451.4)</f>
        <v>4451.4</v>
      </c>
      <c r="H275" s="17" t="str">
        <f t="shared" si="14"/>
        <v/>
      </c>
      <c r="I275" s="18">
        <f t="shared" si="9"/>
        <v>4511.466667</v>
      </c>
      <c r="J275" s="19">
        <f t="shared" si="10"/>
        <v>4572.933333</v>
      </c>
      <c r="K275" s="19"/>
      <c r="L275" s="19">
        <f t="shared" si="11"/>
        <v>4389.933333</v>
      </c>
      <c r="M275" s="19">
        <f t="shared" si="12"/>
        <v>4694.466667</v>
      </c>
      <c r="N275" s="19">
        <f t="shared" si="13"/>
        <v>4328.466667</v>
      </c>
    </row>
    <row r="276" ht="24.75" customHeight="1">
      <c r="A276" s="21" t="s">
        <v>239</v>
      </c>
      <c r="B276" s="13">
        <f>IFERROR(__xludf.DUMMYFUNCTION("GOOGLEFINANCE(A276,""PRICE"")"),1690.0)</f>
        <v>1690</v>
      </c>
      <c r="C276" s="14">
        <f>IFERROR(__xludf.DUMMYFUNCTION("GOOGLEFINANCE(A276,""PRICEOPEN"")"),1730.5)</f>
        <v>1730.5</v>
      </c>
      <c r="D276" s="14">
        <f>IFERROR(__xludf.DUMMYFUNCTION("GOOGLEFINANCE(A276,""HIGH"")"),1739.0)</f>
        <v>1739</v>
      </c>
      <c r="E276" s="14">
        <f>IFERROR(__xludf.DUMMYFUNCTION("GOOGLEFINANCE(A276,""LOW"")"),1674.2)</f>
        <v>1674.2</v>
      </c>
      <c r="F276" s="15" t="str">
        <f t="shared" si="8"/>
        <v/>
      </c>
      <c r="G276" s="16">
        <f>IFERROR(__xludf.DUMMYFUNCTION("GOOGLEFINANCE(A276,""CLOSEYEST"")"),1730.5)</f>
        <v>1730.5</v>
      </c>
      <c r="H276" s="17" t="str">
        <f t="shared" si="14"/>
        <v/>
      </c>
      <c r="I276" s="18">
        <f t="shared" si="9"/>
        <v>1714.566667</v>
      </c>
      <c r="J276" s="19">
        <f t="shared" si="10"/>
        <v>1754.933333</v>
      </c>
      <c r="K276" s="19"/>
      <c r="L276" s="19">
        <f t="shared" si="11"/>
        <v>1690.133333</v>
      </c>
      <c r="M276" s="19">
        <f t="shared" si="12"/>
        <v>1779.366667</v>
      </c>
      <c r="N276" s="19">
        <f t="shared" si="13"/>
        <v>1649.766667</v>
      </c>
    </row>
    <row r="277" ht="24.75" customHeight="1">
      <c r="A277" s="21" t="s">
        <v>240</v>
      </c>
      <c r="B277" s="13">
        <f>IFERROR(__xludf.DUMMYFUNCTION("GOOGLEFINANCE(A277,""PRICE"")"),524.0)</f>
        <v>524</v>
      </c>
      <c r="C277" s="14">
        <f>IFERROR(__xludf.DUMMYFUNCTION("GOOGLEFINANCE(A277,""PRICEOPEN"")"),505.0)</f>
        <v>505</v>
      </c>
      <c r="D277" s="14">
        <f>IFERROR(__xludf.DUMMYFUNCTION("GOOGLEFINANCE(A277,""HIGH"")"),528.8)</f>
        <v>528.8</v>
      </c>
      <c r="E277" s="14">
        <f>IFERROR(__xludf.DUMMYFUNCTION("GOOGLEFINANCE(A277,""LOW"")"),499.35)</f>
        <v>499.35</v>
      </c>
      <c r="F277" s="15" t="str">
        <f t="shared" si="8"/>
        <v/>
      </c>
      <c r="G277" s="16">
        <f>IFERROR(__xludf.DUMMYFUNCTION("GOOGLEFINANCE(A277,""CLOSEYEST"")"),502.25)</f>
        <v>502.25</v>
      </c>
      <c r="H277" s="17" t="str">
        <f t="shared" si="14"/>
        <v/>
      </c>
      <c r="I277" s="18">
        <f t="shared" si="9"/>
        <v>510.1333333</v>
      </c>
      <c r="J277" s="19">
        <f t="shared" si="10"/>
        <v>520.9166667</v>
      </c>
      <c r="K277" s="19"/>
      <c r="L277" s="19">
        <f t="shared" si="11"/>
        <v>491.4666667</v>
      </c>
      <c r="M277" s="19">
        <f t="shared" si="12"/>
        <v>539.5833333</v>
      </c>
      <c r="N277" s="19">
        <f t="shared" si="13"/>
        <v>480.6833333</v>
      </c>
    </row>
    <row r="278" ht="24.75" customHeight="1">
      <c r="A278" s="21" t="s">
        <v>241</v>
      </c>
      <c r="B278" s="13">
        <f>IFERROR(__xludf.DUMMYFUNCTION("GOOGLEFINANCE(A278,""PRICE"")"),579.5)</f>
        <v>579.5</v>
      </c>
      <c r="C278" s="14">
        <f>IFERROR(__xludf.DUMMYFUNCTION("GOOGLEFINANCE(A278,""PRICEOPEN"")"),579.0)</f>
        <v>579</v>
      </c>
      <c r="D278" s="14">
        <f>IFERROR(__xludf.DUMMYFUNCTION("GOOGLEFINANCE(A278,""HIGH"")"),583.45)</f>
        <v>583.45</v>
      </c>
      <c r="E278" s="14">
        <f>IFERROR(__xludf.DUMMYFUNCTION("GOOGLEFINANCE(A278,""LOW"")"),574.05)</f>
        <v>574.05</v>
      </c>
      <c r="F278" s="15" t="str">
        <f t="shared" si="8"/>
        <v/>
      </c>
      <c r="G278" s="16">
        <f>IFERROR(__xludf.DUMMYFUNCTION("GOOGLEFINANCE(A278,""CLOSEYEST"")"),577.2)</f>
        <v>577.2</v>
      </c>
      <c r="H278" s="17" t="str">
        <f t="shared" si="14"/>
        <v/>
      </c>
      <c r="I278" s="18">
        <f t="shared" si="9"/>
        <v>578.2333333</v>
      </c>
      <c r="J278" s="19">
        <f t="shared" si="10"/>
        <v>582.4166667</v>
      </c>
      <c r="K278" s="19"/>
      <c r="L278" s="19">
        <f t="shared" si="11"/>
        <v>573.0166667</v>
      </c>
      <c r="M278" s="19">
        <f t="shared" si="12"/>
        <v>587.6333333</v>
      </c>
      <c r="N278" s="19">
        <f t="shared" si="13"/>
        <v>568.8333333</v>
      </c>
    </row>
    <row r="279" ht="24.75" customHeight="1">
      <c r="A279" s="21" t="s">
        <v>242</v>
      </c>
      <c r="B279" s="13">
        <f>IFERROR(__xludf.DUMMYFUNCTION("GOOGLEFINANCE(A279,""PRICE"")"),2365.8)</f>
        <v>2365.8</v>
      </c>
      <c r="C279" s="14">
        <f>IFERROR(__xludf.DUMMYFUNCTION("GOOGLEFINANCE(A279,""PRICEOPEN"")"),2395.6)</f>
        <v>2395.6</v>
      </c>
      <c r="D279" s="14">
        <f>IFERROR(__xludf.DUMMYFUNCTION("GOOGLEFINANCE(A279,""HIGH"")"),2409.9)</f>
        <v>2409.9</v>
      </c>
      <c r="E279" s="14">
        <f>IFERROR(__xludf.DUMMYFUNCTION("GOOGLEFINANCE(A279,""LOW"")"),2365.0)</f>
        <v>2365</v>
      </c>
      <c r="F279" s="15" t="str">
        <f t="shared" si="8"/>
        <v/>
      </c>
      <c r="G279" s="16">
        <f>IFERROR(__xludf.DUMMYFUNCTION("GOOGLEFINANCE(A279,""CLOSEYEST"")"),2398.9)</f>
        <v>2398.9</v>
      </c>
      <c r="H279" s="17" t="str">
        <f t="shared" si="14"/>
        <v/>
      </c>
      <c r="I279" s="18">
        <f t="shared" si="9"/>
        <v>2391.266667</v>
      </c>
      <c r="J279" s="19">
        <f t="shared" si="10"/>
        <v>2417.533333</v>
      </c>
      <c r="K279" s="19"/>
      <c r="L279" s="19">
        <f t="shared" si="11"/>
        <v>2372.633333</v>
      </c>
      <c r="M279" s="19">
        <f t="shared" si="12"/>
        <v>2436.166667</v>
      </c>
      <c r="N279" s="19">
        <f t="shared" si="13"/>
        <v>2346.366667</v>
      </c>
    </row>
    <row r="280" ht="24.75" customHeight="1">
      <c r="A280" s="21" t="s">
        <v>243</v>
      </c>
      <c r="B280" s="13">
        <f>IFERROR(__xludf.DUMMYFUNCTION("GOOGLEFINANCE(A280,""PRICE"")"),192.25)</f>
        <v>192.25</v>
      </c>
      <c r="C280" s="14">
        <f>IFERROR(__xludf.DUMMYFUNCTION("GOOGLEFINANCE(A280,""PRICEOPEN"")"),193.61)</f>
        <v>193.61</v>
      </c>
      <c r="D280" s="14">
        <f>IFERROR(__xludf.DUMMYFUNCTION("GOOGLEFINANCE(A280,""HIGH"")"),195.5)</f>
        <v>195.5</v>
      </c>
      <c r="E280" s="14">
        <f>IFERROR(__xludf.DUMMYFUNCTION("GOOGLEFINANCE(A280,""LOW"")"),192.21)</f>
        <v>192.21</v>
      </c>
      <c r="F280" s="15" t="str">
        <f t="shared" si="8"/>
        <v/>
      </c>
      <c r="G280" s="16">
        <f>IFERROR(__xludf.DUMMYFUNCTION("GOOGLEFINANCE(A280,""CLOSEYEST"")"),193.76)</f>
        <v>193.76</v>
      </c>
      <c r="H280" s="17" t="str">
        <f t="shared" si="14"/>
        <v/>
      </c>
      <c r="I280" s="18">
        <f t="shared" si="9"/>
        <v>193.8233333</v>
      </c>
      <c r="J280" s="19">
        <f t="shared" si="10"/>
        <v>195.4366667</v>
      </c>
      <c r="K280" s="19"/>
      <c r="L280" s="19">
        <f t="shared" si="11"/>
        <v>192.1466667</v>
      </c>
      <c r="M280" s="19">
        <f t="shared" si="12"/>
        <v>197.1133333</v>
      </c>
      <c r="N280" s="19">
        <f t="shared" si="13"/>
        <v>190.5333333</v>
      </c>
    </row>
    <row r="281" ht="24.75" customHeight="1">
      <c r="A281" s="21" t="s">
        <v>244</v>
      </c>
      <c r="B281" s="13">
        <f>IFERROR(__xludf.DUMMYFUNCTION("GOOGLEFINANCE(A281,""PRICE"")"),4580.0)</f>
        <v>4580</v>
      </c>
      <c r="C281" s="14">
        <f>IFERROR(__xludf.DUMMYFUNCTION("GOOGLEFINANCE(A281,""PRICEOPEN"")"),4639.0)</f>
        <v>4639</v>
      </c>
      <c r="D281" s="14">
        <f>IFERROR(__xludf.DUMMYFUNCTION("GOOGLEFINANCE(A281,""HIGH"")"),4658.0)</f>
        <v>4658</v>
      </c>
      <c r="E281" s="14">
        <f>IFERROR(__xludf.DUMMYFUNCTION("GOOGLEFINANCE(A281,""LOW"")"),4514.5)</f>
        <v>4514.5</v>
      </c>
      <c r="F281" s="15" t="str">
        <f t="shared" si="8"/>
        <v/>
      </c>
      <c r="G281" s="16">
        <f>IFERROR(__xludf.DUMMYFUNCTION("GOOGLEFINANCE(A281,""CLOSEYEST"")"),4630.1)</f>
        <v>4630.1</v>
      </c>
      <c r="H281" s="17" t="str">
        <f t="shared" si="14"/>
        <v/>
      </c>
      <c r="I281" s="18">
        <f t="shared" si="9"/>
        <v>4600.866667</v>
      </c>
      <c r="J281" s="19">
        <f t="shared" si="10"/>
        <v>4687.233333</v>
      </c>
      <c r="K281" s="19"/>
      <c r="L281" s="19">
        <f t="shared" si="11"/>
        <v>4543.733333</v>
      </c>
      <c r="M281" s="19">
        <f t="shared" si="12"/>
        <v>4744.366667</v>
      </c>
      <c r="N281" s="19">
        <f t="shared" si="13"/>
        <v>4457.366667</v>
      </c>
    </row>
    <row r="282" ht="24.75" customHeight="1">
      <c r="A282" s="21" t="s">
        <v>245</v>
      </c>
      <c r="B282" s="13">
        <f>IFERROR(__xludf.DUMMYFUNCTION("GOOGLEFINANCE(A282,""PRICE"")"),576.1)</f>
        <v>576.1</v>
      </c>
      <c r="C282" s="14">
        <f>IFERROR(__xludf.DUMMYFUNCTION("GOOGLEFINANCE(A282,""PRICEOPEN"")"),585.5)</f>
        <v>585.5</v>
      </c>
      <c r="D282" s="14">
        <f>IFERROR(__xludf.DUMMYFUNCTION("GOOGLEFINANCE(A282,""HIGH"")"),587.8)</f>
        <v>587.8</v>
      </c>
      <c r="E282" s="14">
        <f>IFERROR(__xludf.DUMMYFUNCTION("GOOGLEFINANCE(A282,""LOW"")"),561.8)</f>
        <v>561.8</v>
      </c>
      <c r="F282" s="15" t="str">
        <f t="shared" si="8"/>
        <v/>
      </c>
      <c r="G282" s="16">
        <f>IFERROR(__xludf.DUMMYFUNCTION("GOOGLEFINANCE(A282,""CLOSEYEST"")"),602.9)</f>
        <v>602.9</v>
      </c>
      <c r="H282" s="17" t="str">
        <f t="shared" si="14"/>
        <v>GAP DOWN</v>
      </c>
      <c r="I282" s="18">
        <f t="shared" si="9"/>
        <v>584.1666667</v>
      </c>
      <c r="J282" s="19">
        <f t="shared" si="10"/>
        <v>606.5333333</v>
      </c>
      <c r="K282" s="19"/>
      <c r="L282" s="19">
        <f t="shared" si="11"/>
        <v>580.5333333</v>
      </c>
      <c r="M282" s="19">
        <f t="shared" si="12"/>
        <v>610.1666667</v>
      </c>
      <c r="N282" s="19">
        <f t="shared" si="13"/>
        <v>558.1666667</v>
      </c>
    </row>
    <row r="283" ht="24.75" customHeight="1">
      <c r="A283" s="21" t="s">
        <v>246</v>
      </c>
      <c r="B283" s="13">
        <f>IFERROR(__xludf.DUMMYFUNCTION("GOOGLEFINANCE(A283,""PRICE"")"),221.1)</f>
        <v>221.1</v>
      </c>
      <c r="C283" s="14">
        <f>IFERROR(__xludf.DUMMYFUNCTION("GOOGLEFINANCE(A283,""PRICEOPEN"")"),214.5)</f>
        <v>214.5</v>
      </c>
      <c r="D283" s="14">
        <f>IFERROR(__xludf.DUMMYFUNCTION("GOOGLEFINANCE(A283,""HIGH"")"),224.6)</f>
        <v>224.6</v>
      </c>
      <c r="E283" s="14">
        <f>IFERROR(__xludf.DUMMYFUNCTION("GOOGLEFINANCE(A283,""LOW"")"),214.5)</f>
        <v>214.5</v>
      </c>
      <c r="F283" s="15" t="str">
        <f t="shared" si="8"/>
        <v>BUY</v>
      </c>
      <c r="G283" s="16">
        <f>IFERROR(__xludf.DUMMYFUNCTION("GOOGLEFINANCE(A283,""CLOSEYEST"")"),214.5)</f>
        <v>214.5</v>
      </c>
      <c r="H283" s="17" t="str">
        <f t="shared" si="14"/>
        <v/>
      </c>
      <c r="I283" s="18">
        <f t="shared" si="9"/>
        <v>217.8666667</v>
      </c>
      <c r="J283" s="19">
        <f t="shared" si="10"/>
        <v>221.2333333</v>
      </c>
      <c r="K283" s="19"/>
      <c r="L283" s="19">
        <f t="shared" si="11"/>
        <v>211.1333333</v>
      </c>
      <c r="M283" s="19">
        <f t="shared" si="12"/>
        <v>227.9666667</v>
      </c>
      <c r="N283" s="19">
        <f t="shared" si="13"/>
        <v>207.7666667</v>
      </c>
    </row>
    <row r="284" ht="24.75" customHeight="1">
      <c r="A284" s="21" t="s">
        <v>247</v>
      </c>
      <c r="B284" s="13">
        <f>IFERROR(__xludf.DUMMYFUNCTION("GOOGLEFINANCE(A284,""PRICE"")"),13845.0)</f>
        <v>13845</v>
      </c>
      <c r="C284" s="14">
        <f>IFERROR(__xludf.DUMMYFUNCTION("GOOGLEFINANCE(A284,""PRICEOPEN"")"),13600.0)</f>
        <v>13600</v>
      </c>
      <c r="D284" s="14">
        <f>IFERROR(__xludf.DUMMYFUNCTION("GOOGLEFINANCE(A284,""HIGH"")"),14021.0)</f>
        <v>14021</v>
      </c>
      <c r="E284" s="14">
        <f>IFERROR(__xludf.DUMMYFUNCTION("GOOGLEFINANCE(A284,""LOW"")"),13600.0)</f>
        <v>13600</v>
      </c>
      <c r="F284" s="15" t="str">
        <f t="shared" si="8"/>
        <v>BUY</v>
      </c>
      <c r="G284" s="16">
        <f>IFERROR(__xludf.DUMMYFUNCTION("GOOGLEFINANCE(A284,""CLOSEYEST"")"),13374.0)</f>
        <v>13374</v>
      </c>
      <c r="H284" s="17" t="str">
        <f t="shared" si="14"/>
        <v>GAP UP</v>
      </c>
      <c r="I284" s="18">
        <f t="shared" si="9"/>
        <v>13665</v>
      </c>
      <c r="J284" s="19">
        <f t="shared" si="10"/>
        <v>13730</v>
      </c>
      <c r="K284" s="19"/>
      <c r="L284" s="19">
        <f t="shared" si="11"/>
        <v>13309</v>
      </c>
      <c r="M284" s="19">
        <f t="shared" si="12"/>
        <v>14086</v>
      </c>
      <c r="N284" s="19">
        <f t="shared" si="13"/>
        <v>13244</v>
      </c>
    </row>
    <row r="285" ht="24.75" customHeight="1">
      <c r="A285" s="21" t="s">
        <v>248</v>
      </c>
      <c r="B285" s="13" t="str">
        <f>IFERROR(__xludf.DUMMYFUNCTION("GOOGLEFINANCE(A285,""PRICE"")"),"#N/A")</f>
        <v>#N/A</v>
      </c>
      <c r="C285" s="14" t="str">
        <f>IFERROR(__xludf.DUMMYFUNCTION("GOOGLEFINANCE(A285,""PRICEOPEN"")"),"#N/A")</f>
        <v>#N/A</v>
      </c>
      <c r="D285" s="14" t="str">
        <f>IFERROR(__xludf.DUMMYFUNCTION("GOOGLEFINANCE(A285,""HIGH"")"),"#N/A")</f>
        <v>#N/A</v>
      </c>
      <c r="E285" s="14" t="str">
        <f>IFERROR(__xludf.DUMMYFUNCTION("GOOGLEFINANCE(A285,""LOW"")"),"#N/A")</f>
        <v>#N/A</v>
      </c>
      <c r="F285" s="15" t="str">
        <f t="shared" si="8"/>
        <v>#N/A</v>
      </c>
      <c r="G285" s="16" t="str">
        <f>IFERROR(__xludf.DUMMYFUNCTION("GOOGLEFINANCE(A285,""CLOSEYEST"")"),"#N/A")</f>
        <v>#N/A</v>
      </c>
      <c r="H285" s="17" t="str">
        <f t="shared" si="14"/>
        <v>#N/A</v>
      </c>
      <c r="I285" s="18" t="str">
        <f t="shared" si="9"/>
        <v>#N/A</v>
      </c>
      <c r="J285" s="19" t="str">
        <f t="shared" si="10"/>
        <v>#N/A</v>
      </c>
      <c r="K285" s="19"/>
      <c r="L285" s="19" t="str">
        <f t="shared" si="11"/>
        <v>#N/A</v>
      </c>
      <c r="M285" s="19" t="str">
        <f t="shared" si="12"/>
        <v>#N/A</v>
      </c>
      <c r="N285" s="19" t="str">
        <f t="shared" si="13"/>
        <v>#N/A</v>
      </c>
    </row>
    <row r="286" ht="24.75" customHeight="1">
      <c r="A286" s="21" t="s">
        <v>249</v>
      </c>
      <c r="B286" s="13">
        <f>IFERROR(__xludf.DUMMYFUNCTION("GOOGLEFINANCE(A286,""PRICE"")"),275.75)</f>
        <v>275.75</v>
      </c>
      <c r="C286" s="14">
        <f>IFERROR(__xludf.DUMMYFUNCTION("GOOGLEFINANCE(A286,""PRICEOPEN"")"),275.0)</f>
        <v>275</v>
      </c>
      <c r="D286" s="14">
        <f>IFERROR(__xludf.DUMMYFUNCTION("GOOGLEFINANCE(A286,""HIGH"")"),276.9)</f>
        <v>276.9</v>
      </c>
      <c r="E286" s="14">
        <f>IFERROR(__xludf.DUMMYFUNCTION("GOOGLEFINANCE(A286,""LOW"")"),269.5)</f>
        <v>269.5</v>
      </c>
      <c r="F286" s="15" t="str">
        <f t="shared" si="8"/>
        <v/>
      </c>
      <c r="G286" s="16">
        <f>IFERROR(__xludf.DUMMYFUNCTION("GOOGLEFINANCE(A286,""CLOSEYEST"")"),273.4)</f>
        <v>273.4</v>
      </c>
      <c r="H286" s="17" t="str">
        <f t="shared" si="14"/>
        <v/>
      </c>
      <c r="I286" s="18">
        <f t="shared" si="9"/>
        <v>273.2666667</v>
      </c>
      <c r="J286" s="19">
        <f t="shared" si="10"/>
        <v>277.0333333</v>
      </c>
      <c r="K286" s="19"/>
      <c r="L286" s="19">
        <f t="shared" si="11"/>
        <v>269.6333333</v>
      </c>
      <c r="M286" s="19">
        <f t="shared" si="12"/>
        <v>280.6666667</v>
      </c>
      <c r="N286" s="19">
        <f t="shared" si="13"/>
        <v>265.8666667</v>
      </c>
    </row>
    <row r="287" ht="24.75" customHeight="1">
      <c r="A287" s="21" t="s">
        <v>250</v>
      </c>
      <c r="B287" s="13">
        <f>IFERROR(__xludf.DUMMYFUNCTION("GOOGLEFINANCE(A287,""PRICE"")"),2401.9)</f>
        <v>2401.9</v>
      </c>
      <c r="C287" s="14">
        <f>IFERROR(__xludf.DUMMYFUNCTION("GOOGLEFINANCE(A287,""PRICEOPEN"")"),2412.0)</f>
        <v>2412</v>
      </c>
      <c r="D287" s="14">
        <f>IFERROR(__xludf.DUMMYFUNCTION("GOOGLEFINANCE(A287,""HIGH"")"),2420.7)</f>
        <v>2420.7</v>
      </c>
      <c r="E287" s="14">
        <f>IFERROR(__xludf.DUMMYFUNCTION("GOOGLEFINANCE(A287,""LOW"")"),2379.3)</f>
        <v>2379.3</v>
      </c>
      <c r="F287" s="15" t="str">
        <f t="shared" si="8"/>
        <v/>
      </c>
      <c r="G287" s="16">
        <f>IFERROR(__xludf.DUMMYFUNCTION("GOOGLEFINANCE(A287,""CLOSEYEST"")"),2398.2)</f>
        <v>2398.2</v>
      </c>
      <c r="H287" s="17" t="str">
        <f t="shared" si="14"/>
        <v/>
      </c>
      <c r="I287" s="18">
        <f t="shared" si="9"/>
        <v>2399.4</v>
      </c>
      <c r="J287" s="19">
        <f t="shared" si="10"/>
        <v>2419.5</v>
      </c>
      <c r="K287" s="19"/>
      <c r="L287" s="19">
        <f t="shared" si="11"/>
        <v>2378.1</v>
      </c>
      <c r="M287" s="19">
        <f t="shared" si="12"/>
        <v>2440.8</v>
      </c>
      <c r="N287" s="19">
        <f t="shared" si="13"/>
        <v>2358</v>
      </c>
    </row>
    <row r="288" ht="24.75" customHeight="1">
      <c r="A288" s="21" t="s">
        <v>251</v>
      </c>
      <c r="B288" s="13">
        <f>IFERROR(__xludf.DUMMYFUNCTION("GOOGLEFINANCE(A288,""PRICE"")"),525.95)</f>
        <v>525.95</v>
      </c>
      <c r="C288" s="14">
        <f>IFERROR(__xludf.DUMMYFUNCTION("GOOGLEFINANCE(A288,""PRICEOPEN"")"),528.0)</f>
        <v>528</v>
      </c>
      <c r="D288" s="14">
        <f>IFERROR(__xludf.DUMMYFUNCTION("GOOGLEFINANCE(A288,""HIGH"")"),531.0)</f>
        <v>531</v>
      </c>
      <c r="E288" s="14">
        <f>IFERROR(__xludf.DUMMYFUNCTION("GOOGLEFINANCE(A288,""LOW"")"),522.5)</f>
        <v>522.5</v>
      </c>
      <c r="F288" s="15" t="str">
        <f t="shared" si="8"/>
        <v/>
      </c>
      <c r="G288" s="16">
        <f>IFERROR(__xludf.DUMMYFUNCTION("GOOGLEFINANCE(A288,""CLOSEYEST"")"),525.8)</f>
        <v>525.8</v>
      </c>
      <c r="H288" s="17" t="str">
        <f t="shared" si="14"/>
        <v/>
      </c>
      <c r="I288" s="18">
        <f t="shared" si="9"/>
        <v>526.4333333</v>
      </c>
      <c r="J288" s="19">
        <f t="shared" si="10"/>
        <v>530.3666667</v>
      </c>
      <c r="K288" s="19"/>
      <c r="L288" s="19">
        <f t="shared" si="11"/>
        <v>521.8666667</v>
      </c>
      <c r="M288" s="19">
        <f t="shared" si="12"/>
        <v>534.9333333</v>
      </c>
      <c r="N288" s="19">
        <f t="shared" si="13"/>
        <v>517.9333333</v>
      </c>
    </row>
    <row r="289" ht="24.75" customHeight="1">
      <c r="A289" s="21" t="s">
        <v>252</v>
      </c>
      <c r="B289" s="13">
        <f>IFERROR(__xludf.DUMMYFUNCTION("GOOGLEFINANCE(A289,""PRICE"")"),1156.0)</f>
        <v>1156</v>
      </c>
      <c r="C289" s="14">
        <f>IFERROR(__xludf.DUMMYFUNCTION("GOOGLEFINANCE(A289,""PRICEOPEN"")"),1153.2)</f>
        <v>1153.2</v>
      </c>
      <c r="D289" s="14">
        <f>IFERROR(__xludf.DUMMYFUNCTION("GOOGLEFINANCE(A289,""HIGH"")"),1160.6)</f>
        <v>1160.6</v>
      </c>
      <c r="E289" s="14">
        <f>IFERROR(__xludf.DUMMYFUNCTION("GOOGLEFINANCE(A289,""LOW"")"),1142.0)</f>
        <v>1142</v>
      </c>
      <c r="F289" s="15" t="str">
        <f t="shared" si="8"/>
        <v/>
      </c>
      <c r="G289" s="16">
        <f>IFERROR(__xludf.DUMMYFUNCTION("GOOGLEFINANCE(A289,""CLOSEYEST"")"),1153.2)</f>
        <v>1153.2</v>
      </c>
      <c r="H289" s="17" t="str">
        <f t="shared" si="14"/>
        <v/>
      </c>
      <c r="I289" s="18">
        <f t="shared" si="9"/>
        <v>1151.933333</v>
      </c>
      <c r="J289" s="19">
        <f t="shared" si="10"/>
        <v>1161.866667</v>
      </c>
      <c r="K289" s="19"/>
      <c r="L289" s="19">
        <f t="shared" si="11"/>
        <v>1143.266667</v>
      </c>
      <c r="M289" s="19">
        <f t="shared" si="12"/>
        <v>1170.533333</v>
      </c>
      <c r="N289" s="19">
        <f t="shared" si="13"/>
        <v>1133.333333</v>
      </c>
    </row>
    <row r="290" ht="24.75" customHeight="1">
      <c r="A290" s="21" t="s">
        <v>253</v>
      </c>
      <c r="B290" s="13">
        <f>IFERROR(__xludf.DUMMYFUNCTION("GOOGLEFINANCE(A290,""PRICE"")"),538.15)</f>
        <v>538.15</v>
      </c>
      <c r="C290" s="14">
        <f>IFERROR(__xludf.DUMMYFUNCTION("GOOGLEFINANCE(A290,""PRICEOPEN"")"),549.0)</f>
        <v>549</v>
      </c>
      <c r="D290" s="14">
        <f>IFERROR(__xludf.DUMMYFUNCTION("GOOGLEFINANCE(A290,""HIGH"")"),549.0)</f>
        <v>549</v>
      </c>
      <c r="E290" s="14">
        <f>IFERROR(__xludf.DUMMYFUNCTION("GOOGLEFINANCE(A290,""LOW"")"),533.65)</f>
        <v>533.65</v>
      </c>
      <c r="F290" s="15" t="str">
        <f t="shared" si="8"/>
        <v>SELL</v>
      </c>
      <c r="G290" s="16">
        <f>IFERROR(__xludf.DUMMYFUNCTION("GOOGLEFINANCE(A290,""CLOSEYEST"")"),544.05)</f>
        <v>544.05</v>
      </c>
      <c r="H290" s="17" t="str">
        <f t="shared" si="14"/>
        <v/>
      </c>
      <c r="I290" s="18">
        <f t="shared" si="9"/>
        <v>542.2333333</v>
      </c>
      <c r="J290" s="19">
        <f t="shared" si="10"/>
        <v>550.8166667</v>
      </c>
      <c r="K290" s="19"/>
      <c r="L290" s="19">
        <f t="shared" si="11"/>
        <v>535.4666667</v>
      </c>
      <c r="M290" s="19">
        <f t="shared" si="12"/>
        <v>557.5833333</v>
      </c>
      <c r="N290" s="19">
        <f t="shared" si="13"/>
        <v>526.8833333</v>
      </c>
    </row>
    <row r="291" ht="24.75" customHeight="1">
      <c r="A291" s="21" t="s">
        <v>254</v>
      </c>
      <c r="B291" s="13">
        <f>IFERROR(__xludf.DUMMYFUNCTION("GOOGLEFINANCE(A291,""PRICE"")"),1534.3)</f>
        <v>1534.3</v>
      </c>
      <c r="C291" s="14">
        <f>IFERROR(__xludf.DUMMYFUNCTION("GOOGLEFINANCE(A291,""PRICEOPEN"")"),1549.1)</f>
        <v>1549.1</v>
      </c>
      <c r="D291" s="14">
        <f>IFERROR(__xludf.DUMMYFUNCTION("GOOGLEFINANCE(A291,""HIGH"")"),1554.0)</f>
        <v>1554</v>
      </c>
      <c r="E291" s="14">
        <f>IFERROR(__xludf.DUMMYFUNCTION("GOOGLEFINANCE(A291,""LOW"")"),1510.3)</f>
        <v>1510.3</v>
      </c>
      <c r="F291" s="15" t="str">
        <f t="shared" si="8"/>
        <v/>
      </c>
      <c r="G291" s="16">
        <f>IFERROR(__xludf.DUMMYFUNCTION("GOOGLEFINANCE(A291,""CLOSEYEST"")"),1542.1)</f>
        <v>1542.1</v>
      </c>
      <c r="H291" s="17" t="str">
        <f t="shared" si="14"/>
        <v/>
      </c>
      <c r="I291" s="18">
        <f t="shared" si="9"/>
        <v>1535.466667</v>
      </c>
      <c r="J291" s="19">
        <f t="shared" si="10"/>
        <v>1560.633333</v>
      </c>
      <c r="K291" s="19"/>
      <c r="L291" s="19">
        <f t="shared" si="11"/>
        <v>1516.933333</v>
      </c>
      <c r="M291" s="19">
        <f t="shared" si="12"/>
        <v>1579.166667</v>
      </c>
      <c r="N291" s="19">
        <f t="shared" si="13"/>
        <v>1491.766667</v>
      </c>
    </row>
    <row r="292" ht="24.75" customHeight="1">
      <c r="A292" s="21" t="s">
        <v>255</v>
      </c>
      <c r="B292" s="13">
        <f>IFERROR(__xludf.DUMMYFUNCTION("GOOGLEFINANCE(A292,""PRICE"")"),4869.1)</f>
        <v>4869.1</v>
      </c>
      <c r="C292" s="14">
        <f>IFERROR(__xludf.DUMMYFUNCTION("GOOGLEFINANCE(A292,""PRICEOPEN"")"),4845.0)</f>
        <v>4845</v>
      </c>
      <c r="D292" s="14">
        <f>IFERROR(__xludf.DUMMYFUNCTION("GOOGLEFINANCE(A292,""HIGH"")"),4950.0)</f>
        <v>4950</v>
      </c>
      <c r="E292" s="14">
        <f>IFERROR(__xludf.DUMMYFUNCTION("GOOGLEFINANCE(A292,""LOW"")"),4829.8)</f>
        <v>4829.8</v>
      </c>
      <c r="F292" s="15" t="str">
        <f t="shared" si="8"/>
        <v/>
      </c>
      <c r="G292" s="16">
        <f>IFERROR(__xludf.DUMMYFUNCTION("GOOGLEFINANCE(A292,""CLOSEYEST"")"),4766.2)</f>
        <v>4766.2</v>
      </c>
      <c r="H292" s="17" t="str">
        <f t="shared" si="14"/>
        <v>GAP UP</v>
      </c>
      <c r="I292" s="18">
        <f t="shared" si="9"/>
        <v>4848.666667</v>
      </c>
      <c r="J292" s="19">
        <f t="shared" si="10"/>
        <v>4867.533333</v>
      </c>
      <c r="K292" s="19"/>
      <c r="L292" s="19">
        <f t="shared" si="11"/>
        <v>4747.333333</v>
      </c>
      <c r="M292" s="19">
        <f t="shared" si="12"/>
        <v>4968.866667</v>
      </c>
      <c r="N292" s="19">
        <f t="shared" si="13"/>
        <v>4728.466667</v>
      </c>
    </row>
    <row r="293" ht="24.75" customHeight="1">
      <c r="A293" s="21" t="s">
        <v>256</v>
      </c>
      <c r="B293" s="13">
        <f>IFERROR(__xludf.DUMMYFUNCTION("GOOGLEFINANCE(A293,""PRICE"")"),1.7)</f>
        <v>1.7</v>
      </c>
      <c r="C293" s="14">
        <f>IFERROR(__xludf.DUMMYFUNCTION("GOOGLEFINANCE(A293,""PRICEOPEN"")"),1.7)</f>
        <v>1.7</v>
      </c>
      <c r="D293" s="14">
        <f>IFERROR(__xludf.DUMMYFUNCTION("GOOGLEFINANCE(A293,""HIGH"")"),1.75)</f>
        <v>1.75</v>
      </c>
      <c r="E293" s="14">
        <f>IFERROR(__xludf.DUMMYFUNCTION("GOOGLEFINANCE(A293,""LOW"")"),1.69)</f>
        <v>1.69</v>
      </c>
      <c r="F293" s="15" t="str">
        <f t="shared" si="8"/>
        <v/>
      </c>
      <c r="G293" s="16">
        <f>IFERROR(__xludf.DUMMYFUNCTION("GOOGLEFINANCE(A293,""CLOSEYEST"")"),1.72)</f>
        <v>1.72</v>
      </c>
      <c r="H293" s="17" t="str">
        <f t="shared" si="14"/>
        <v>GAP DOWN</v>
      </c>
      <c r="I293" s="18">
        <f t="shared" si="9"/>
        <v>1.72</v>
      </c>
      <c r="J293" s="19">
        <f t="shared" si="10"/>
        <v>1.75</v>
      </c>
      <c r="K293" s="19"/>
      <c r="L293" s="19">
        <f t="shared" si="11"/>
        <v>1.69</v>
      </c>
      <c r="M293" s="19">
        <f t="shared" si="12"/>
        <v>1.78</v>
      </c>
      <c r="N293" s="19">
        <f t="shared" si="13"/>
        <v>1.66</v>
      </c>
    </row>
    <row r="294" ht="24.75" customHeight="1">
      <c r="A294" s="21" t="s">
        <v>257</v>
      </c>
      <c r="B294" s="13">
        <f>IFERROR(__xludf.DUMMYFUNCTION("GOOGLEFINANCE(A294,""PRICE"")"),1887.0)</f>
        <v>1887</v>
      </c>
      <c r="C294" s="14">
        <f>IFERROR(__xludf.DUMMYFUNCTION("GOOGLEFINANCE(A294,""PRICEOPEN"")"),1910.0)</f>
        <v>1910</v>
      </c>
      <c r="D294" s="14">
        <f>IFERROR(__xludf.DUMMYFUNCTION("GOOGLEFINANCE(A294,""HIGH"")"),1922.3)</f>
        <v>1922.3</v>
      </c>
      <c r="E294" s="14">
        <f>IFERROR(__xludf.DUMMYFUNCTION("GOOGLEFINANCE(A294,""LOW"")"),1880.0)</f>
        <v>1880</v>
      </c>
      <c r="F294" s="15" t="str">
        <f t="shared" si="8"/>
        <v/>
      </c>
      <c r="G294" s="16">
        <f>IFERROR(__xludf.DUMMYFUNCTION("GOOGLEFINANCE(A294,""CLOSEYEST"")"),1899.5)</f>
        <v>1899.5</v>
      </c>
      <c r="H294" s="17" t="str">
        <f t="shared" si="14"/>
        <v/>
      </c>
      <c r="I294" s="18">
        <f t="shared" si="9"/>
        <v>1900.6</v>
      </c>
      <c r="J294" s="19">
        <f t="shared" si="10"/>
        <v>1921.2</v>
      </c>
      <c r="K294" s="19"/>
      <c r="L294" s="19">
        <f t="shared" si="11"/>
        <v>1878.9</v>
      </c>
      <c r="M294" s="19">
        <f t="shared" si="12"/>
        <v>1942.9</v>
      </c>
      <c r="N294" s="19">
        <f t="shared" si="13"/>
        <v>1858.3</v>
      </c>
    </row>
    <row r="295" ht="24.75" customHeight="1">
      <c r="A295" s="21" t="s">
        <v>258</v>
      </c>
      <c r="B295" s="13">
        <f>IFERROR(__xludf.DUMMYFUNCTION("GOOGLEFINANCE(A295,""PRICE"")"),37.8)</f>
        <v>37.8</v>
      </c>
      <c r="C295" s="14">
        <f>IFERROR(__xludf.DUMMYFUNCTION("GOOGLEFINANCE(A295,""PRICEOPEN"")"),37.65)</f>
        <v>37.65</v>
      </c>
      <c r="D295" s="14">
        <f>IFERROR(__xludf.DUMMYFUNCTION("GOOGLEFINANCE(A295,""HIGH"")"),38.06)</f>
        <v>38.06</v>
      </c>
      <c r="E295" s="14">
        <f>IFERROR(__xludf.DUMMYFUNCTION("GOOGLEFINANCE(A295,""LOW"")"),37.51)</f>
        <v>37.51</v>
      </c>
      <c r="F295" s="15" t="str">
        <f t="shared" si="8"/>
        <v/>
      </c>
      <c r="G295" s="16">
        <f>IFERROR(__xludf.DUMMYFUNCTION("GOOGLEFINANCE(A295,""CLOSEYEST"")"),37.63)</f>
        <v>37.63</v>
      </c>
      <c r="H295" s="17" t="str">
        <f t="shared" si="14"/>
        <v/>
      </c>
      <c r="I295" s="18">
        <f t="shared" si="9"/>
        <v>37.73333333</v>
      </c>
      <c r="J295" s="19">
        <f t="shared" si="10"/>
        <v>37.95666667</v>
      </c>
      <c r="K295" s="19"/>
      <c r="L295" s="19">
        <f t="shared" si="11"/>
        <v>37.40666667</v>
      </c>
      <c r="M295" s="19">
        <f t="shared" si="12"/>
        <v>38.28333333</v>
      </c>
      <c r="N295" s="19">
        <f t="shared" si="13"/>
        <v>37.18333333</v>
      </c>
    </row>
    <row r="296" ht="24.75" customHeight="1">
      <c r="A296" s="21" t="s">
        <v>259</v>
      </c>
      <c r="B296" s="13">
        <f>IFERROR(__xludf.DUMMYFUNCTION("GOOGLEFINANCE(A296,""PRICE"")"),938.95)</f>
        <v>938.95</v>
      </c>
      <c r="C296" s="14">
        <f>IFERROR(__xludf.DUMMYFUNCTION("GOOGLEFINANCE(A296,""PRICEOPEN"")"),916.5)</f>
        <v>916.5</v>
      </c>
      <c r="D296" s="14">
        <f>IFERROR(__xludf.DUMMYFUNCTION("GOOGLEFINANCE(A296,""HIGH"")"),939.9)</f>
        <v>939.9</v>
      </c>
      <c r="E296" s="14">
        <f>IFERROR(__xludf.DUMMYFUNCTION("GOOGLEFINANCE(A296,""LOW"")"),916.0)</f>
        <v>916</v>
      </c>
      <c r="F296" s="15" t="str">
        <f t="shared" si="8"/>
        <v/>
      </c>
      <c r="G296" s="16">
        <f>IFERROR(__xludf.DUMMYFUNCTION("GOOGLEFINANCE(A296,""CLOSEYEST"")"),916.45)</f>
        <v>916.45</v>
      </c>
      <c r="H296" s="17" t="str">
        <f t="shared" si="14"/>
        <v/>
      </c>
      <c r="I296" s="18">
        <f t="shared" si="9"/>
        <v>924.1166667</v>
      </c>
      <c r="J296" s="19">
        <f t="shared" si="10"/>
        <v>932.2333333</v>
      </c>
      <c r="K296" s="19"/>
      <c r="L296" s="19">
        <f t="shared" si="11"/>
        <v>908.3333333</v>
      </c>
      <c r="M296" s="19">
        <f t="shared" si="12"/>
        <v>948.0166667</v>
      </c>
      <c r="N296" s="19">
        <f t="shared" si="13"/>
        <v>900.2166667</v>
      </c>
    </row>
    <row r="297" ht="24.75" customHeight="1">
      <c r="A297" s="21" t="s">
        <v>260</v>
      </c>
      <c r="B297" s="13">
        <f>IFERROR(__xludf.DUMMYFUNCTION("GOOGLEFINANCE(A297,""PRICE"")"),1021.0)</f>
        <v>1021</v>
      </c>
      <c r="C297" s="14">
        <f>IFERROR(__xludf.DUMMYFUNCTION("GOOGLEFINANCE(A297,""PRICEOPEN"")"),1010.4)</f>
        <v>1010.4</v>
      </c>
      <c r="D297" s="14">
        <f>IFERROR(__xludf.DUMMYFUNCTION("GOOGLEFINANCE(A297,""HIGH"")"),1028.5)</f>
        <v>1028.5</v>
      </c>
      <c r="E297" s="14">
        <f>IFERROR(__xludf.DUMMYFUNCTION("GOOGLEFINANCE(A297,""LOW"")"),1007.3)</f>
        <v>1007.3</v>
      </c>
      <c r="F297" s="15" t="str">
        <f t="shared" si="8"/>
        <v/>
      </c>
      <c r="G297" s="16">
        <f>IFERROR(__xludf.DUMMYFUNCTION("GOOGLEFINANCE(A297,""CLOSEYEST"")"),1010.4)</f>
        <v>1010.4</v>
      </c>
      <c r="H297" s="17" t="str">
        <f t="shared" si="14"/>
        <v/>
      </c>
      <c r="I297" s="18">
        <f t="shared" si="9"/>
        <v>1015.4</v>
      </c>
      <c r="J297" s="19">
        <f t="shared" si="10"/>
        <v>1023.5</v>
      </c>
      <c r="K297" s="19"/>
      <c r="L297" s="19">
        <f t="shared" si="11"/>
        <v>1002.3</v>
      </c>
      <c r="M297" s="19">
        <f t="shared" si="12"/>
        <v>1036.6</v>
      </c>
      <c r="N297" s="19">
        <f t="shared" si="13"/>
        <v>994.2</v>
      </c>
    </row>
    <row r="298" ht="24.75" customHeight="1">
      <c r="A298" s="21" t="s">
        <v>261</v>
      </c>
      <c r="B298" s="13">
        <f>IFERROR(__xludf.DUMMYFUNCTION("GOOGLEFINANCE(A298,""PRICE"")"),323.0)</f>
        <v>323</v>
      </c>
      <c r="C298" s="14">
        <f>IFERROR(__xludf.DUMMYFUNCTION("GOOGLEFINANCE(A298,""PRICEOPEN"")"),318.25)</f>
        <v>318.25</v>
      </c>
      <c r="D298" s="14">
        <f>IFERROR(__xludf.DUMMYFUNCTION("GOOGLEFINANCE(A298,""HIGH"")"),328.1)</f>
        <v>328.1</v>
      </c>
      <c r="E298" s="14">
        <f>IFERROR(__xludf.DUMMYFUNCTION("GOOGLEFINANCE(A298,""LOW"")"),314.75)</f>
        <v>314.75</v>
      </c>
      <c r="F298" s="15" t="str">
        <f t="shared" si="8"/>
        <v/>
      </c>
      <c r="G298" s="16">
        <f>IFERROR(__xludf.DUMMYFUNCTION("GOOGLEFINANCE(A298,""CLOSEYEST"")"),318.25)</f>
        <v>318.25</v>
      </c>
      <c r="H298" s="17" t="str">
        <f t="shared" si="14"/>
        <v/>
      </c>
      <c r="I298" s="18">
        <f t="shared" si="9"/>
        <v>320.3666667</v>
      </c>
      <c r="J298" s="19">
        <f t="shared" si="10"/>
        <v>325.9833333</v>
      </c>
      <c r="K298" s="19"/>
      <c r="L298" s="19">
        <f t="shared" si="11"/>
        <v>312.6333333</v>
      </c>
      <c r="M298" s="19">
        <f t="shared" si="12"/>
        <v>333.7166667</v>
      </c>
      <c r="N298" s="19">
        <f t="shared" si="13"/>
        <v>307.0166667</v>
      </c>
    </row>
    <row r="299" ht="24.75" customHeight="1">
      <c r="A299" s="21" t="s">
        <v>262</v>
      </c>
      <c r="B299" s="13">
        <f>IFERROR(__xludf.DUMMYFUNCTION("GOOGLEFINANCE(A299,""PRICE"")"),1939.0)</f>
        <v>1939</v>
      </c>
      <c r="C299" s="14">
        <f>IFERROR(__xludf.DUMMYFUNCTION("GOOGLEFINANCE(A299,""PRICEOPEN"")"),1975.1)</f>
        <v>1975.1</v>
      </c>
      <c r="D299" s="14">
        <f>IFERROR(__xludf.DUMMYFUNCTION("GOOGLEFINANCE(A299,""HIGH"")"),1979.0)</f>
        <v>1979</v>
      </c>
      <c r="E299" s="14">
        <f>IFERROR(__xludf.DUMMYFUNCTION("GOOGLEFINANCE(A299,""LOW"")"),1915.6)</f>
        <v>1915.6</v>
      </c>
      <c r="F299" s="15" t="str">
        <f t="shared" si="8"/>
        <v/>
      </c>
      <c r="G299" s="16">
        <f>IFERROR(__xludf.DUMMYFUNCTION("GOOGLEFINANCE(A299,""CLOSEYEST"")"),1964.8)</f>
        <v>1964.8</v>
      </c>
      <c r="H299" s="17" t="str">
        <f t="shared" si="14"/>
        <v/>
      </c>
      <c r="I299" s="18">
        <f t="shared" si="9"/>
        <v>1953.133333</v>
      </c>
      <c r="J299" s="19">
        <f t="shared" si="10"/>
        <v>1990.666667</v>
      </c>
      <c r="K299" s="19"/>
      <c r="L299" s="19">
        <f t="shared" si="11"/>
        <v>1927.266667</v>
      </c>
      <c r="M299" s="19">
        <f t="shared" si="12"/>
        <v>2016.533333</v>
      </c>
      <c r="N299" s="19">
        <f t="shared" si="13"/>
        <v>1889.733333</v>
      </c>
    </row>
    <row r="300" ht="24.75" customHeight="1">
      <c r="A300" s="21" t="s">
        <v>263</v>
      </c>
      <c r="B300" s="13">
        <f>IFERROR(__xludf.DUMMYFUNCTION("GOOGLEFINANCE(A300,""PRICE"")"),767.4)</f>
        <v>767.4</v>
      </c>
      <c r="C300" s="14">
        <f>IFERROR(__xludf.DUMMYFUNCTION("GOOGLEFINANCE(A300,""PRICEOPEN"")"),742.0)</f>
        <v>742</v>
      </c>
      <c r="D300" s="14">
        <f>IFERROR(__xludf.DUMMYFUNCTION("GOOGLEFINANCE(A300,""HIGH"")"),769.3)</f>
        <v>769.3</v>
      </c>
      <c r="E300" s="14">
        <f>IFERROR(__xludf.DUMMYFUNCTION("GOOGLEFINANCE(A300,""LOW"")"),742.0)</f>
        <v>742</v>
      </c>
      <c r="F300" s="15" t="str">
        <f t="shared" si="8"/>
        <v>BUY</v>
      </c>
      <c r="G300" s="16">
        <f>IFERROR(__xludf.DUMMYFUNCTION("GOOGLEFINANCE(A300,""CLOSEYEST"")"),737.05)</f>
        <v>737.05</v>
      </c>
      <c r="H300" s="17" t="str">
        <f t="shared" si="14"/>
        <v/>
      </c>
      <c r="I300" s="18">
        <f t="shared" si="9"/>
        <v>749.45</v>
      </c>
      <c r="J300" s="19">
        <f t="shared" si="10"/>
        <v>756.9</v>
      </c>
      <c r="K300" s="19"/>
      <c r="L300" s="19">
        <f t="shared" si="11"/>
        <v>729.6</v>
      </c>
      <c r="M300" s="19">
        <f t="shared" si="12"/>
        <v>776.75</v>
      </c>
      <c r="N300" s="19">
        <f t="shared" si="13"/>
        <v>722.15</v>
      </c>
    </row>
    <row r="301" ht="24.75" customHeight="1">
      <c r="A301" s="21" t="s">
        <v>264</v>
      </c>
      <c r="B301" s="13">
        <f>IFERROR(__xludf.DUMMYFUNCTION("GOOGLEFINANCE(A301,""PRICE"")"),1243.0)</f>
        <v>1243</v>
      </c>
      <c r="C301" s="14">
        <f>IFERROR(__xludf.DUMMYFUNCTION("GOOGLEFINANCE(A301,""PRICEOPEN"")"),1231.2)</f>
        <v>1231.2</v>
      </c>
      <c r="D301" s="14">
        <f>IFERROR(__xludf.DUMMYFUNCTION("GOOGLEFINANCE(A301,""HIGH"")"),1244.6)</f>
        <v>1244.6</v>
      </c>
      <c r="E301" s="14">
        <f>IFERROR(__xludf.DUMMYFUNCTION("GOOGLEFINANCE(A301,""LOW"")"),1225.1)</f>
        <v>1225.1</v>
      </c>
      <c r="F301" s="15" t="str">
        <f t="shared" si="8"/>
        <v/>
      </c>
      <c r="G301" s="16">
        <f>IFERROR(__xludf.DUMMYFUNCTION("GOOGLEFINANCE(A301,""CLOSEYEST"")"),1230.8)</f>
        <v>1230.8</v>
      </c>
      <c r="H301" s="17" t="str">
        <f t="shared" si="14"/>
        <v/>
      </c>
      <c r="I301" s="18">
        <f t="shared" si="9"/>
        <v>1233.5</v>
      </c>
      <c r="J301" s="19">
        <f t="shared" si="10"/>
        <v>1241.9</v>
      </c>
      <c r="K301" s="19"/>
      <c r="L301" s="19">
        <f t="shared" si="11"/>
        <v>1222.4</v>
      </c>
      <c r="M301" s="19">
        <f t="shared" si="12"/>
        <v>1253</v>
      </c>
      <c r="N301" s="19">
        <f t="shared" si="13"/>
        <v>1214</v>
      </c>
    </row>
    <row r="302" ht="24.75" customHeight="1">
      <c r="A302" s="21" t="s">
        <v>265</v>
      </c>
      <c r="B302" s="13">
        <f>IFERROR(__xludf.DUMMYFUNCTION("GOOGLEFINANCE(A302,""PRICE"")"),519.6)</f>
        <v>519.6</v>
      </c>
      <c r="C302" s="14">
        <f>IFERROR(__xludf.DUMMYFUNCTION("GOOGLEFINANCE(A302,""PRICEOPEN"")"),510.6)</f>
        <v>510.6</v>
      </c>
      <c r="D302" s="14">
        <f>IFERROR(__xludf.DUMMYFUNCTION("GOOGLEFINANCE(A302,""HIGH"")"),521.35)</f>
        <v>521.35</v>
      </c>
      <c r="E302" s="14">
        <f>IFERROR(__xludf.DUMMYFUNCTION("GOOGLEFINANCE(A302,""LOW"")"),510.6)</f>
        <v>510.6</v>
      </c>
      <c r="F302" s="15" t="str">
        <f t="shared" si="8"/>
        <v>BUY</v>
      </c>
      <c r="G302" s="16">
        <f>IFERROR(__xludf.DUMMYFUNCTION("GOOGLEFINANCE(A302,""CLOSEYEST"")"),510.6)</f>
        <v>510.6</v>
      </c>
      <c r="H302" s="17" t="str">
        <f t="shared" si="14"/>
        <v/>
      </c>
      <c r="I302" s="18">
        <f t="shared" si="9"/>
        <v>514.1833333</v>
      </c>
      <c r="J302" s="19">
        <f t="shared" si="10"/>
        <v>517.7666667</v>
      </c>
      <c r="K302" s="19"/>
      <c r="L302" s="19">
        <f t="shared" si="11"/>
        <v>507.0166667</v>
      </c>
      <c r="M302" s="19">
        <f t="shared" si="12"/>
        <v>524.9333333</v>
      </c>
      <c r="N302" s="19">
        <f t="shared" si="13"/>
        <v>503.4333333</v>
      </c>
    </row>
    <row r="303" ht="24.75" customHeight="1">
      <c r="A303" s="21" t="s">
        <v>266</v>
      </c>
      <c r="B303" s="13">
        <f>IFERROR(__xludf.DUMMYFUNCTION("GOOGLEFINANCE(A303,""PRICE"")"),326.15)</f>
        <v>326.15</v>
      </c>
      <c r="C303" s="14">
        <f>IFERROR(__xludf.DUMMYFUNCTION("GOOGLEFINANCE(A303,""PRICEOPEN"")"),326.2)</f>
        <v>326.2</v>
      </c>
      <c r="D303" s="14">
        <f>IFERROR(__xludf.DUMMYFUNCTION("GOOGLEFINANCE(A303,""HIGH"")"),332.0)</f>
        <v>332</v>
      </c>
      <c r="E303" s="14">
        <f>IFERROR(__xludf.DUMMYFUNCTION("GOOGLEFINANCE(A303,""LOW"")"),322.85)</f>
        <v>322.85</v>
      </c>
      <c r="F303" s="15" t="str">
        <f t="shared" si="8"/>
        <v/>
      </c>
      <c r="G303" s="16">
        <f>IFERROR(__xludf.DUMMYFUNCTION("GOOGLEFINANCE(A303,""CLOSEYEST"")"),324.6)</f>
        <v>324.6</v>
      </c>
      <c r="H303" s="17" t="str">
        <f t="shared" si="14"/>
        <v/>
      </c>
      <c r="I303" s="18">
        <f t="shared" si="9"/>
        <v>326.4833333</v>
      </c>
      <c r="J303" s="19">
        <f t="shared" si="10"/>
        <v>330.1166667</v>
      </c>
      <c r="K303" s="19"/>
      <c r="L303" s="19">
        <f t="shared" si="11"/>
        <v>320.9666667</v>
      </c>
      <c r="M303" s="19">
        <f t="shared" si="12"/>
        <v>335.6333333</v>
      </c>
      <c r="N303" s="19">
        <f t="shared" si="13"/>
        <v>317.3333333</v>
      </c>
    </row>
    <row r="304" ht="24.75" customHeight="1">
      <c r="A304" s="21" t="s">
        <v>267</v>
      </c>
      <c r="B304" s="13">
        <f>IFERROR(__xludf.DUMMYFUNCTION("GOOGLEFINANCE(A304,""PRICE"")"),427.0)</f>
        <v>427</v>
      </c>
      <c r="C304" s="14">
        <f>IFERROR(__xludf.DUMMYFUNCTION("GOOGLEFINANCE(A304,""PRICEOPEN"")"),422.1)</f>
        <v>422.1</v>
      </c>
      <c r="D304" s="14">
        <f>IFERROR(__xludf.DUMMYFUNCTION("GOOGLEFINANCE(A304,""HIGH"")"),429.65)</f>
        <v>429.65</v>
      </c>
      <c r="E304" s="14">
        <f>IFERROR(__xludf.DUMMYFUNCTION("GOOGLEFINANCE(A304,""LOW"")"),417.0)</f>
        <v>417</v>
      </c>
      <c r="F304" s="15" t="str">
        <f t="shared" si="8"/>
        <v/>
      </c>
      <c r="G304" s="16">
        <f>IFERROR(__xludf.DUMMYFUNCTION("GOOGLEFINANCE(A304,""CLOSEYEST"")"),423.2)</f>
        <v>423.2</v>
      </c>
      <c r="H304" s="17" t="str">
        <f t="shared" si="14"/>
        <v/>
      </c>
      <c r="I304" s="18">
        <f t="shared" si="9"/>
        <v>423.2833333</v>
      </c>
      <c r="J304" s="19">
        <f t="shared" si="10"/>
        <v>429.5666667</v>
      </c>
      <c r="K304" s="19"/>
      <c r="L304" s="19">
        <f t="shared" si="11"/>
        <v>416.9166667</v>
      </c>
      <c r="M304" s="19">
        <f t="shared" si="12"/>
        <v>435.9333333</v>
      </c>
      <c r="N304" s="19">
        <f t="shared" si="13"/>
        <v>410.6333333</v>
      </c>
    </row>
    <row r="305" ht="24.75" customHeight="1">
      <c r="A305" s="21" t="s">
        <v>268</v>
      </c>
      <c r="B305" s="13">
        <f>IFERROR(__xludf.DUMMYFUNCTION("GOOGLEFINANCE(A305,""PRICE"")"),4696.0)</f>
        <v>4696</v>
      </c>
      <c r="C305" s="14">
        <f>IFERROR(__xludf.DUMMYFUNCTION("GOOGLEFINANCE(A305,""PRICEOPEN"")"),4723.5)</f>
        <v>4723.5</v>
      </c>
      <c r="D305" s="14">
        <f>IFERROR(__xludf.DUMMYFUNCTION("GOOGLEFINANCE(A305,""HIGH"")"),4753.5)</f>
        <v>4753.5</v>
      </c>
      <c r="E305" s="14">
        <f>IFERROR(__xludf.DUMMYFUNCTION("GOOGLEFINANCE(A305,""LOW"")"),4692.0)</f>
        <v>4692</v>
      </c>
      <c r="F305" s="15" t="str">
        <f t="shared" si="8"/>
        <v/>
      </c>
      <c r="G305" s="16">
        <f>IFERROR(__xludf.DUMMYFUNCTION("GOOGLEFINANCE(A305,""CLOSEYEST"")"),4704.8)</f>
        <v>4704.8</v>
      </c>
      <c r="H305" s="17" t="str">
        <f t="shared" si="14"/>
        <v/>
      </c>
      <c r="I305" s="18">
        <f t="shared" si="9"/>
        <v>4716.766667</v>
      </c>
      <c r="J305" s="19">
        <f t="shared" si="10"/>
        <v>4741.533333</v>
      </c>
      <c r="K305" s="19"/>
      <c r="L305" s="19">
        <f t="shared" si="11"/>
        <v>4680.033333</v>
      </c>
      <c r="M305" s="19">
        <f t="shared" si="12"/>
        <v>4778.266667</v>
      </c>
      <c r="N305" s="19">
        <f t="shared" si="13"/>
        <v>4655.266667</v>
      </c>
    </row>
    <row r="306" ht="24.75" customHeight="1">
      <c r="A306" s="21" t="s">
        <v>269</v>
      </c>
      <c r="B306" s="13">
        <f>IFERROR(__xludf.DUMMYFUNCTION("GOOGLEFINANCE(A306,""PRICE"")"),3213.0)</f>
        <v>3213</v>
      </c>
      <c r="C306" s="14">
        <f>IFERROR(__xludf.DUMMYFUNCTION("GOOGLEFINANCE(A306,""PRICEOPEN"")"),3247.8)</f>
        <v>3247.8</v>
      </c>
      <c r="D306" s="14">
        <f>IFERROR(__xludf.DUMMYFUNCTION("GOOGLEFINANCE(A306,""HIGH"")"),3270.5)</f>
        <v>3270.5</v>
      </c>
      <c r="E306" s="14">
        <f>IFERROR(__xludf.DUMMYFUNCTION("GOOGLEFINANCE(A306,""LOW"")"),3189.8)</f>
        <v>3189.8</v>
      </c>
      <c r="F306" s="15" t="str">
        <f t="shared" si="8"/>
        <v/>
      </c>
      <c r="G306" s="16">
        <f>IFERROR(__xludf.DUMMYFUNCTION("GOOGLEFINANCE(A306,""CLOSEYEST"")"),3247.8)</f>
        <v>3247.8</v>
      </c>
      <c r="H306" s="17" t="str">
        <f t="shared" si="14"/>
        <v/>
      </c>
      <c r="I306" s="18">
        <f t="shared" si="9"/>
        <v>3236.033333</v>
      </c>
      <c r="J306" s="19">
        <f t="shared" si="10"/>
        <v>3282.266667</v>
      </c>
      <c r="K306" s="19"/>
      <c r="L306" s="19">
        <f t="shared" si="11"/>
        <v>3201.566667</v>
      </c>
      <c r="M306" s="19">
        <f t="shared" si="12"/>
        <v>3316.733333</v>
      </c>
      <c r="N306" s="19">
        <f t="shared" si="13"/>
        <v>3155.333333</v>
      </c>
    </row>
    <row r="307" ht="24.75" customHeight="1">
      <c r="A307" s="21" t="s">
        <v>270</v>
      </c>
      <c r="B307" s="13">
        <f>IFERROR(__xludf.DUMMYFUNCTION("GOOGLEFINANCE(A307,""PRICE"")"),9500.0)</f>
        <v>9500</v>
      </c>
      <c r="C307" s="14">
        <f>IFERROR(__xludf.DUMMYFUNCTION("GOOGLEFINANCE(A307,""PRICEOPEN"")"),9617.0)</f>
        <v>9617</v>
      </c>
      <c r="D307" s="14">
        <f>IFERROR(__xludf.DUMMYFUNCTION("GOOGLEFINANCE(A307,""HIGH"")"),9714.0)</f>
        <v>9714</v>
      </c>
      <c r="E307" s="14">
        <f>IFERROR(__xludf.DUMMYFUNCTION("GOOGLEFINANCE(A307,""LOW"")"),9441.5)</f>
        <v>9441.5</v>
      </c>
      <c r="F307" s="15" t="str">
        <f t="shared" si="8"/>
        <v/>
      </c>
      <c r="G307" s="16">
        <f>IFERROR(__xludf.DUMMYFUNCTION("GOOGLEFINANCE(A307,""CLOSEYEST"")"),9598.0)</f>
        <v>9598</v>
      </c>
      <c r="H307" s="17" t="str">
        <f t="shared" si="14"/>
        <v/>
      </c>
      <c r="I307" s="18">
        <f t="shared" si="9"/>
        <v>9584.5</v>
      </c>
      <c r="J307" s="19">
        <f t="shared" si="10"/>
        <v>9727.5</v>
      </c>
      <c r="K307" s="19"/>
      <c r="L307" s="19">
        <f t="shared" si="11"/>
        <v>9455</v>
      </c>
      <c r="M307" s="19">
        <f t="shared" si="12"/>
        <v>9857</v>
      </c>
      <c r="N307" s="19">
        <f t="shared" si="13"/>
        <v>9312</v>
      </c>
    </row>
    <row r="308" ht="24.75" customHeight="1">
      <c r="A308" s="21" t="s">
        <v>271</v>
      </c>
      <c r="B308" s="13">
        <f>IFERROR(__xludf.DUMMYFUNCTION("GOOGLEFINANCE(A308,""PRICE"")"),1558.8)</f>
        <v>1558.8</v>
      </c>
      <c r="C308" s="14">
        <f>IFERROR(__xludf.DUMMYFUNCTION("GOOGLEFINANCE(A308,""PRICEOPEN"")"),1553.0)</f>
        <v>1553</v>
      </c>
      <c r="D308" s="14">
        <f>IFERROR(__xludf.DUMMYFUNCTION("GOOGLEFINANCE(A308,""HIGH"")"),1576.7)</f>
        <v>1576.7</v>
      </c>
      <c r="E308" s="14">
        <f>IFERROR(__xludf.DUMMYFUNCTION("GOOGLEFINANCE(A308,""LOW"")"),1541.2)</f>
        <v>1541.2</v>
      </c>
      <c r="F308" s="15" t="str">
        <f t="shared" si="8"/>
        <v/>
      </c>
      <c r="G308" s="16">
        <f>IFERROR(__xludf.DUMMYFUNCTION("GOOGLEFINANCE(A308,""CLOSEYEST"")"),1563.8)</f>
        <v>1563.8</v>
      </c>
      <c r="H308" s="17" t="str">
        <f t="shared" si="14"/>
        <v/>
      </c>
      <c r="I308" s="18">
        <f t="shared" si="9"/>
        <v>1560.566667</v>
      </c>
      <c r="J308" s="19">
        <f t="shared" si="10"/>
        <v>1579.933333</v>
      </c>
      <c r="K308" s="19"/>
      <c r="L308" s="19">
        <f t="shared" si="11"/>
        <v>1544.433333</v>
      </c>
      <c r="M308" s="19">
        <f t="shared" si="12"/>
        <v>1596.066667</v>
      </c>
      <c r="N308" s="19">
        <f t="shared" si="13"/>
        <v>1525.066667</v>
      </c>
    </row>
    <row r="309" ht="24.75" customHeight="1">
      <c r="A309" s="21" t="s">
        <v>272</v>
      </c>
      <c r="B309" s="13">
        <f>IFERROR(__xludf.DUMMYFUNCTION("GOOGLEFINANCE(A309,""PRICE"")"),5700.0)</f>
        <v>5700</v>
      </c>
      <c r="C309" s="14">
        <f>IFERROR(__xludf.DUMMYFUNCTION("GOOGLEFINANCE(A309,""PRICEOPEN"")"),5684.0)</f>
        <v>5684</v>
      </c>
      <c r="D309" s="14">
        <f>IFERROR(__xludf.DUMMYFUNCTION("GOOGLEFINANCE(A309,""HIGH"")"),5714.0)</f>
        <v>5714</v>
      </c>
      <c r="E309" s="14">
        <f>IFERROR(__xludf.DUMMYFUNCTION("GOOGLEFINANCE(A309,""LOW"")"),5606.0)</f>
        <v>5606</v>
      </c>
      <c r="F309" s="15" t="str">
        <f t="shared" si="8"/>
        <v/>
      </c>
      <c r="G309" s="16">
        <f>IFERROR(__xludf.DUMMYFUNCTION("GOOGLEFINANCE(A309,""CLOSEYEST"")"),5713.5)</f>
        <v>5713.5</v>
      </c>
      <c r="H309" s="17" t="str">
        <f t="shared" si="14"/>
        <v/>
      </c>
      <c r="I309" s="18">
        <f t="shared" si="9"/>
        <v>5677.833333</v>
      </c>
      <c r="J309" s="19">
        <f t="shared" si="10"/>
        <v>5749.666667</v>
      </c>
      <c r="K309" s="19"/>
      <c r="L309" s="19">
        <f t="shared" si="11"/>
        <v>5641.666667</v>
      </c>
      <c r="M309" s="19">
        <f t="shared" si="12"/>
        <v>5785.833333</v>
      </c>
      <c r="N309" s="19">
        <f t="shared" si="13"/>
        <v>5569.833333</v>
      </c>
    </row>
    <row r="310" ht="24.75" customHeight="1">
      <c r="A310" s="21" t="s">
        <v>273</v>
      </c>
      <c r="B310" s="13">
        <f>IFERROR(__xludf.DUMMYFUNCTION("GOOGLEFINANCE(A310,""PRICE"")"),824.4)</f>
        <v>824.4</v>
      </c>
      <c r="C310" s="14">
        <f>IFERROR(__xludf.DUMMYFUNCTION("GOOGLEFINANCE(A310,""PRICEOPEN"")"),813.7)</f>
        <v>813.7</v>
      </c>
      <c r="D310" s="14">
        <f>IFERROR(__xludf.DUMMYFUNCTION("GOOGLEFINANCE(A310,""HIGH"")"),825.1)</f>
        <v>825.1</v>
      </c>
      <c r="E310" s="14">
        <f>IFERROR(__xludf.DUMMYFUNCTION("GOOGLEFINANCE(A310,""LOW"")"),808.0)</f>
        <v>808</v>
      </c>
      <c r="F310" s="15" t="str">
        <f t="shared" si="8"/>
        <v/>
      </c>
      <c r="G310" s="16">
        <f>IFERROR(__xludf.DUMMYFUNCTION("GOOGLEFINANCE(A310,""CLOSEYEST"")"),806.55)</f>
        <v>806.55</v>
      </c>
      <c r="H310" s="17" t="str">
        <f t="shared" si="14"/>
        <v/>
      </c>
      <c r="I310" s="18">
        <f t="shared" si="9"/>
        <v>813.2166667</v>
      </c>
      <c r="J310" s="19">
        <f t="shared" si="10"/>
        <v>818.4333333</v>
      </c>
      <c r="K310" s="19"/>
      <c r="L310" s="19">
        <f t="shared" si="11"/>
        <v>801.3333333</v>
      </c>
      <c r="M310" s="19">
        <f t="shared" si="12"/>
        <v>830.3166667</v>
      </c>
      <c r="N310" s="19">
        <f t="shared" si="13"/>
        <v>796.1166667</v>
      </c>
    </row>
    <row r="311" ht="24.75" customHeight="1">
      <c r="A311" s="21" t="s">
        <v>274</v>
      </c>
      <c r="B311" s="13">
        <f>IFERROR(__xludf.DUMMYFUNCTION("GOOGLEFINANCE(A311,""PRICE"")"),2950.1)</f>
        <v>2950.1</v>
      </c>
      <c r="C311" s="14">
        <f>IFERROR(__xludf.DUMMYFUNCTION("GOOGLEFINANCE(A311,""PRICEOPEN"")"),2940.0)</f>
        <v>2940</v>
      </c>
      <c r="D311" s="14">
        <f>IFERROR(__xludf.DUMMYFUNCTION("GOOGLEFINANCE(A311,""HIGH"")"),2968.9)</f>
        <v>2968.9</v>
      </c>
      <c r="E311" s="14">
        <f>IFERROR(__xludf.DUMMYFUNCTION("GOOGLEFINANCE(A311,""LOW"")"),2897.0)</f>
        <v>2897</v>
      </c>
      <c r="F311" s="15" t="str">
        <f t="shared" si="8"/>
        <v/>
      </c>
      <c r="G311" s="16">
        <f>IFERROR(__xludf.DUMMYFUNCTION("GOOGLEFINANCE(A311,""CLOSEYEST"")"),2914.2)</f>
        <v>2914.2</v>
      </c>
      <c r="H311" s="17" t="str">
        <f t="shared" si="14"/>
        <v/>
      </c>
      <c r="I311" s="18">
        <f t="shared" si="9"/>
        <v>2926.7</v>
      </c>
      <c r="J311" s="19">
        <f t="shared" si="10"/>
        <v>2956.4</v>
      </c>
      <c r="K311" s="19"/>
      <c r="L311" s="19">
        <f t="shared" si="11"/>
        <v>2884.5</v>
      </c>
      <c r="M311" s="19">
        <f t="shared" si="12"/>
        <v>2998.6</v>
      </c>
      <c r="N311" s="19">
        <f t="shared" si="13"/>
        <v>2854.8</v>
      </c>
    </row>
    <row r="312" ht="24.75" customHeight="1">
      <c r="A312" s="21" t="s">
        <v>275</v>
      </c>
      <c r="B312" s="13">
        <f>IFERROR(__xludf.DUMMYFUNCTION("GOOGLEFINANCE(A312,""PRICE"")"),7.75)</f>
        <v>7.75</v>
      </c>
      <c r="C312" s="14">
        <f>IFERROR(__xludf.DUMMYFUNCTION("GOOGLEFINANCE(A312,""PRICEOPEN"")"),7.62)</f>
        <v>7.62</v>
      </c>
      <c r="D312" s="14">
        <f>IFERROR(__xludf.DUMMYFUNCTION("GOOGLEFINANCE(A312,""HIGH"")"),7.76)</f>
        <v>7.76</v>
      </c>
      <c r="E312" s="14">
        <f>IFERROR(__xludf.DUMMYFUNCTION("GOOGLEFINANCE(A312,""LOW"")"),7.58)</f>
        <v>7.58</v>
      </c>
      <c r="F312" s="15" t="str">
        <f t="shared" si="8"/>
        <v/>
      </c>
      <c r="G312" s="16">
        <f>IFERROR(__xludf.DUMMYFUNCTION("GOOGLEFINANCE(A312,""CLOSEYEST"")"),7.56)</f>
        <v>7.56</v>
      </c>
      <c r="H312" s="17" t="str">
        <f t="shared" si="14"/>
        <v/>
      </c>
      <c r="I312" s="18">
        <f t="shared" si="9"/>
        <v>7.633333333</v>
      </c>
      <c r="J312" s="19">
        <f t="shared" si="10"/>
        <v>7.686666667</v>
      </c>
      <c r="K312" s="19"/>
      <c r="L312" s="19">
        <f t="shared" si="11"/>
        <v>7.506666667</v>
      </c>
      <c r="M312" s="19">
        <f t="shared" si="12"/>
        <v>7.813333333</v>
      </c>
      <c r="N312" s="19">
        <f t="shared" si="13"/>
        <v>7.453333333</v>
      </c>
    </row>
    <row r="313" ht="24.75" customHeight="1">
      <c r="A313" s="21" t="s">
        <v>276</v>
      </c>
      <c r="B313" s="13">
        <f>IFERROR(__xludf.DUMMYFUNCTION("GOOGLEFINANCE(A313,""PRICE"")"),910.0)</f>
        <v>910</v>
      </c>
      <c r="C313" s="14">
        <f>IFERROR(__xludf.DUMMYFUNCTION("GOOGLEFINANCE(A313,""PRICEOPEN"")"),909.0)</f>
        <v>909</v>
      </c>
      <c r="D313" s="14">
        <f>IFERROR(__xludf.DUMMYFUNCTION("GOOGLEFINANCE(A313,""HIGH"")"),921.9)</f>
        <v>921.9</v>
      </c>
      <c r="E313" s="14">
        <f>IFERROR(__xludf.DUMMYFUNCTION("GOOGLEFINANCE(A313,""LOW"")"),905.7)</f>
        <v>905.7</v>
      </c>
      <c r="F313" s="15" t="str">
        <f t="shared" si="8"/>
        <v/>
      </c>
      <c r="G313" s="16">
        <f>IFERROR(__xludf.DUMMYFUNCTION("GOOGLEFINANCE(A313,""CLOSEYEST"")"),904.3)</f>
        <v>904.3</v>
      </c>
      <c r="H313" s="17" t="str">
        <f t="shared" si="14"/>
        <v/>
      </c>
      <c r="I313" s="18">
        <f t="shared" si="9"/>
        <v>910.6333333</v>
      </c>
      <c r="J313" s="19">
        <f t="shared" si="10"/>
        <v>915.5666667</v>
      </c>
      <c r="K313" s="19"/>
      <c r="L313" s="19">
        <f t="shared" si="11"/>
        <v>899.3666667</v>
      </c>
      <c r="M313" s="19">
        <f t="shared" si="12"/>
        <v>926.8333333</v>
      </c>
      <c r="N313" s="19">
        <f t="shared" si="13"/>
        <v>894.4333333</v>
      </c>
    </row>
    <row r="314" ht="24.75" customHeight="1">
      <c r="A314" s="21" t="s">
        <v>277</v>
      </c>
      <c r="B314" s="13">
        <f>IFERROR(__xludf.DUMMYFUNCTION("GOOGLEFINANCE(A314,""PRICE"")"),1996.7)</f>
        <v>1996.7</v>
      </c>
      <c r="C314" s="14">
        <f>IFERROR(__xludf.DUMMYFUNCTION("GOOGLEFINANCE(A314,""PRICEOPEN"")"),2030.0)</f>
        <v>2030</v>
      </c>
      <c r="D314" s="14">
        <f>IFERROR(__xludf.DUMMYFUNCTION("GOOGLEFINANCE(A314,""HIGH"")"),2031.9)</f>
        <v>2031.9</v>
      </c>
      <c r="E314" s="14">
        <f>IFERROR(__xludf.DUMMYFUNCTION("GOOGLEFINANCE(A314,""LOW"")"),1991.1)</f>
        <v>1991.1</v>
      </c>
      <c r="F314" s="15" t="str">
        <f t="shared" si="8"/>
        <v/>
      </c>
      <c r="G314" s="16">
        <f>IFERROR(__xludf.DUMMYFUNCTION("GOOGLEFINANCE(A314,""CLOSEYEST"")"),2041.1)</f>
        <v>2041.1</v>
      </c>
      <c r="H314" s="17" t="str">
        <f t="shared" si="14"/>
        <v/>
      </c>
      <c r="I314" s="18">
        <f t="shared" si="9"/>
        <v>2021.366667</v>
      </c>
      <c r="J314" s="19">
        <f t="shared" si="10"/>
        <v>2051.633333</v>
      </c>
      <c r="K314" s="19"/>
      <c r="L314" s="19">
        <f t="shared" si="11"/>
        <v>2010.833333</v>
      </c>
      <c r="M314" s="19">
        <f t="shared" si="12"/>
        <v>2062.166667</v>
      </c>
      <c r="N314" s="19">
        <f t="shared" si="13"/>
        <v>1980.566667</v>
      </c>
    </row>
    <row r="315" ht="24.75" customHeight="1">
      <c r="A315" s="21" t="s">
        <v>278</v>
      </c>
      <c r="B315" s="13">
        <f>IFERROR(__xludf.DUMMYFUNCTION("GOOGLEFINANCE(A315,""PRICE"")"),1489.8)</f>
        <v>1489.8</v>
      </c>
      <c r="C315" s="14">
        <f>IFERROR(__xludf.DUMMYFUNCTION("GOOGLEFINANCE(A315,""PRICEOPEN"")"),1475.5)</f>
        <v>1475.5</v>
      </c>
      <c r="D315" s="14">
        <f>IFERROR(__xludf.DUMMYFUNCTION("GOOGLEFINANCE(A315,""HIGH"")"),1493.9)</f>
        <v>1493.9</v>
      </c>
      <c r="E315" s="14">
        <f>IFERROR(__xludf.DUMMYFUNCTION("GOOGLEFINANCE(A315,""LOW"")"),1470.0)</f>
        <v>1470</v>
      </c>
      <c r="F315" s="15" t="str">
        <f t="shared" si="8"/>
        <v/>
      </c>
      <c r="G315" s="16">
        <f>IFERROR(__xludf.DUMMYFUNCTION("GOOGLEFINANCE(A315,""CLOSEYEST"")"),1475.5)</f>
        <v>1475.5</v>
      </c>
      <c r="H315" s="17" t="str">
        <f t="shared" si="14"/>
        <v/>
      </c>
      <c r="I315" s="18">
        <f t="shared" si="9"/>
        <v>1479.8</v>
      </c>
      <c r="J315" s="19">
        <f t="shared" si="10"/>
        <v>1489.6</v>
      </c>
      <c r="K315" s="19"/>
      <c r="L315" s="19">
        <f t="shared" si="11"/>
        <v>1465.7</v>
      </c>
      <c r="M315" s="19">
        <f t="shared" si="12"/>
        <v>1503.7</v>
      </c>
      <c r="N315" s="19">
        <f t="shared" si="13"/>
        <v>1455.9</v>
      </c>
    </row>
    <row r="316" ht="24.75" customHeight="1">
      <c r="A316" s="21" t="s">
        <v>279</v>
      </c>
      <c r="B316" s="13" t="str">
        <f>IFERROR(__xludf.DUMMYFUNCTION("GOOGLEFINANCE(A316,""PRICE"")"),"#N/A")</f>
        <v>#N/A</v>
      </c>
      <c r="C316" s="14" t="str">
        <f>IFERROR(__xludf.DUMMYFUNCTION("GOOGLEFINANCE(A316,""PRICEOPEN"")"),"#N/A")</f>
        <v>#N/A</v>
      </c>
      <c r="D316" s="14" t="str">
        <f>IFERROR(__xludf.DUMMYFUNCTION("GOOGLEFINANCE(A316,""HIGH"")"),"#N/A")</f>
        <v>#N/A</v>
      </c>
      <c r="E316" s="14" t="str">
        <f>IFERROR(__xludf.DUMMYFUNCTION("GOOGLEFINANCE(A316,""LOW"")"),"#N/A")</f>
        <v>#N/A</v>
      </c>
      <c r="F316" s="15" t="str">
        <f t="shared" si="8"/>
        <v>#N/A</v>
      </c>
      <c r="G316" s="16" t="str">
        <f>IFERROR(__xludf.DUMMYFUNCTION("GOOGLEFINANCE(A316,""CLOSEYEST"")"),"#N/A")</f>
        <v>#N/A</v>
      </c>
      <c r="H316" s="17" t="str">
        <f t="shared" si="14"/>
        <v>#N/A</v>
      </c>
      <c r="I316" s="18" t="str">
        <f t="shared" si="9"/>
        <v>#N/A</v>
      </c>
      <c r="J316" s="19" t="str">
        <f t="shared" si="10"/>
        <v>#N/A</v>
      </c>
      <c r="K316" s="19"/>
      <c r="L316" s="19" t="str">
        <f t="shared" si="11"/>
        <v>#N/A</v>
      </c>
      <c r="M316" s="19" t="str">
        <f t="shared" si="12"/>
        <v>#N/A</v>
      </c>
      <c r="N316" s="19" t="str">
        <f t="shared" si="13"/>
        <v>#N/A</v>
      </c>
    </row>
    <row r="317" ht="24.75" customHeight="1">
      <c r="A317" s="21" t="s">
        <v>280</v>
      </c>
      <c r="B317" s="13">
        <f>IFERROR(__xludf.DUMMYFUNCTION("GOOGLEFINANCE(A317,""PRICE"")"),350.4)</f>
        <v>350.4</v>
      </c>
      <c r="C317" s="14">
        <f>IFERROR(__xludf.DUMMYFUNCTION("GOOGLEFINANCE(A317,""PRICEOPEN"")"),350.3)</f>
        <v>350.3</v>
      </c>
      <c r="D317" s="14">
        <f>IFERROR(__xludf.DUMMYFUNCTION("GOOGLEFINANCE(A317,""HIGH"")"),351.2)</f>
        <v>351.2</v>
      </c>
      <c r="E317" s="14">
        <f>IFERROR(__xludf.DUMMYFUNCTION("GOOGLEFINANCE(A317,""LOW"")"),346.5)</f>
        <v>346.5</v>
      </c>
      <c r="F317" s="15" t="str">
        <f t="shared" si="8"/>
        <v/>
      </c>
      <c r="G317" s="16">
        <f>IFERROR(__xludf.DUMMYFUNCTION("GOOGLEFINANCE(A317,""CLOSEYEST"")"),350.3)</f>
        <v>350.3</v>
      </c>
      <c r="H317" s="17" t="str">
        <f t="shared" si="14"/>
        <v/>
      </c>
      <c r="I317" s="18">
        <f t="shared" si="9"/>
        <v>349.3333333</v>
      </c>
      <c r="J317" s="19">
        <f t="shared" si="10"/>
        <v>352.1666667</v>
      </c>
      <c r="K317" s="19"/>
      <c r="L317" s="19">
        <f t="shared" si="11"/>
        <v>347.4666667</v>
      </c>
      <c r="M317" s="19">
        <f t="shared" si="12"/>
        <v>354.0333333</v>
      </c>
      <c r="N317" s="19">
        <f t="shared" si="13"/>
        <v>344.6333333</v>
      </c>
    </row>
    <row r="318" ht="24.75" customHeight="1">
      <c r="A318" s="21" t="s">
        <v>281</v>
      </c>
      <c r="B318" s="13">
        <f>IFERROR(__xludf.DUMMYFUNCTION("GOOGLEFINANCE(A318,""PRICE"")"),30.82)</f>
        <v>30.82</v>
      </c>
      <c r="C318" s="14">
        <f>IFERROR(__xludf.DUMMYFUNCTION("GOOGLEFINANCE(A318,""PRICEOPEN"")"),30.62)</f>
        <v>30.62</v>
      </c>
      <c r="D318" s="14">
        <f>IFERROR(__xludf.DUMMYFUNCTION("GOOGLEFINANCE(A318,""HIGH"")"),30.99)</f>
        <v>30.99</v>
      </c>
      <c r="E318" s="14">
        <f>IFERROR(__xludf.DUMMYFUNCTION("GOOGLEFINANCE(A318,""LOW"")"),30.55)</f>
        <v>30.55</v>
      </c>
      <c r="F318" s="15" t="str">
        <f t="shared" si="8"/>
        <v/>
      </c>
      <c r="G318" s="16">
        <f>IFERROR(__xludf.DUMMYFUNCTION("GOOGLEFINANCE(A318,""CLOSEYEST"")"),30.62)</f>
        <v>30.62</v>
      </c>
      <c r="H318" s="17" t="str">
        <f t="shared" si="14"/>
        <v/>
      </c>
      <c r="I318" s="18">
        <f t="shared" si="9"/>
        <v>30.72</v>
      </c>
      <c r="J318" s="19">
        <f t="shared" si="10"/>
        <v>30.89</v>
      </c>
      <c r="K318" s="19"/>
      <c r="L318" s="19">
        <f t="shared" si="11"/>
        <v>30.45</v>
      </c>
      <c r="M318" s="19">
        <f t="shared" si="12"/>
        <v>31.16</v>
      </c>
      <c r="N318" s="19">
        <f t="shared" si="13"/>
        <v>30.28</v>
      </c>
    </row>
    <row r="319" ht="24.75" customHeight="1">
      <c r="A319" s="21" t="s">
        <v>282</v>
      </c>
      <c r="B319" s="13">
        <f>IFERROR(__xludf.DUMMYFUNCTION("GOOGLEFINANCE(A319,""PRICE"")"),528.8)</f>
        <v>528.8</v>
      </c>
      <c r="C319" s="14">
        <f>IFERROR(__xludf.DUMMYFUNCTION("GOOGLEFINANCE(A319,""PRICEOPEN"")"),440.7)</f>
        <v>440.7</v>
      </c>
      <c r="D319" s="14">
        <f>IFERROR(__xludf.DUMMYFUNCTION("GOOGLEFINANCE(A319,""HIGH"")"),528.8)</f>
        <v>528.8</v>
      </c>
      <c r="E319" s="14">
        <f>IFERROR(__xludf.DUMMYFUNCTION("GOOGLEFINANCE(A319,""LOW"")"),438.35)</f>
        <v>438.35</v>
      </c>
      <c r="F319" s="15" t="str">
        <f t="shared" si="8"/>
        <v/>
      </c>
      <c r="G319" s="16">
        <f>IFERROR(__xludf.DUMMYFUNCTION("GOOGLEFINANCE(A319,""CLOSEYEST"")"),440.7)</f>
        <v>440.7</v>
      </c>
      <c r="H319" s="17" t="str">
        <f t="shared" si="14"/>
        <v/>
      </c>
      <c r="I319" s="18">
        <f t="shared" si="9"/>
        <v>469.2833333</v>
      </c>
      <c r="J319" s="19">
        <f t="shared" si="10"/>
        <v>500.2166667</v>
      </c>
      <c r="K319" s="19"/>
      <c r="L319" s="19">
        <f t="shared" si="11"/>
        <v>409.7666667</v>
      </c>
      <c r="M319" s="19">
        <f t="shared" si="12"/>
        <v>559.7333333</v>
      </c>
      <c r="N319" s="19">
        <f t="shared" si="13"/>
        <v>378.8333333</v>
      </c>
    </row>
    <row r="320" ht="24.75" customHeight="1">
      <c r="A320" s="21" t="s">
        <v>283</v>
      </c>
      <c r="B320" s="13">
        <f>IFERROR(__xludf.DUMMYFUNCTION("GOOGLEFINANCE(A320,""PRICE"")"),1193.0)</f>
        <v>1193</v>
      </c>
      <c r="C320" s="14">
        <f>IFERROR(__xludf.DUMMYFUNCTION("GOOGLEFINANCE(A320,""PRICEOPEN"")"),1177.7)</f>
        <v>1177.7</v>
      </c>
      <c r="D320" s="14">
        <f>IFERROR(__xludf.DUMMYFUNCTION("GOOGLEFINANCE(A320,""HIGH"")"),1199.5)</f>
        <v>1199.5</v>
      </c>
      <c r="E320" s="14">
        <f>IFERROR(__xludf.DUMMYFUNCTION("GOOGLEFINANCE(A320,""LOW"")"),1169.7)</f>
        <v>1169.7</v>
      </c>
      <c r="F320" s="15" t="str">
        <f t="shared" si="8"/>
        <v/>
      </c>
      <c r="G320" s="16">
        <f>IFERROR(__xludf.DUMMYFUNCTION("GOOGLEFINANCE(A320,""CLOSEYEST"")"),1169.5)</f>
        <v>1169.5</v>
      </c>
      <c r="H320" s="17" t="str">
        <f t="shared" si="14"/>
        <v/>
      </c>
      <c r="I320" s="18">
        <f t="shared" si="9"/>
        <v>1179.566667</v>
      </c>
      <c r="J320" s="19">
        <f t="shared" si="10"/>
        <v>1189.433333</v>
      </c>
      <c r="K320" s="19"/>
      <c r="L320" s="19">
        <f t="shared" si="11"/>
        <v>1159.633333</v>
      </c>
      <c r="M320" s="19">
        <f t="shared" si="12"/>
        <v>1209.366667</v>
      </c>
      <c r="N320" s="19">
        <f t="shared" si="13"/>
        <v>1149.766667</v>
      </c>
    </row>
    <row r="321" ht="24.75" customHeight="1">
      <c r="A321" s="21" t="s">
        <v>284</v>
      </c>
      <c r="B321" s="13">
        <f>IFERROR(__xludf.DUMMYFUNCTION("GOOGLEFINANCE(A321,""PRICE"")"),3075.0)</f>
        <v>3075</v>
      </c>
      <c r="C321" s="14">
        <f>IFERROR(__xludf.DUMMYFUNCTION("GOOGLEFINANCE(A321,""PRICEOPEN"")"),3068.8)</f>
        <v>3068.8</v>
      </c>
      <c r="D321" s="14">
        <f>IFERROR(__xludf.DUMMYFUNCTION("GOOGLEFINANCE(A321,""HIGH"")"),3091.6)</f>
        <v>3091.6</v>
      </c>
      <c r="E321" s="14">
        <f>IFERROR(__xludf.DUMMYFUNCTION("GOOGLEFINANCE(A321,""LOW"")"),3020.6)</f>
        <v>3020.6</v>
      </c>
      <c r="F321" s="15" t="str">
        <f t="shared" si="8"/>
        <v/>
      </c>
      <c r="G321" s="16">
        <f>IFERROR(__xludf.DUMMYFUNCTION("GOOGLEFINANCE(A321,""CLOSEYEST"")"),3068.8)</f>
        <v>3068.8</v>
      </c>
      <c r="H321" s="17" t="str">
        <f t="shared" si="14"/>
        <v/>
      </c>
      <c r="I321" s="18">
        <f t="shared" si="9"/>
        <v>3060.333333</v>
      </c>
      <c r="J321" s="19">
        <f t="shared" si="10"/>
        <v>3100.066667</v>
      </c>
      <c r="K321" s="19"/>
      <c r="L321" s="19">
        <f t="shared" si="11"/>
        <v>3029.066667</v>
      </c>
      <c r="M321" s="19">
        <f t="shared" si="12"/>
        <v>3131.333333</v>
      </c>
      <c r="N321" s="19">
        <f t="shared" si="13"/>
        <v>2989.333333</v>
      </c>
    </row>
    <row r="322" ht="24.75" customHeight="1">
      <c r="A322" s="21" t="s">
        <v>285</v>
      </c>
      <c r="B322" s="13" t="str">
        <f>IFERROR(__xludf.DUMMYFUNCTION("GOOGLEFINANCE(A322,""PRICE"")"),"#N/A")</f>
        <v>#N/A</v>
      </c>
      <c r="C322" s="14" t="str">
        <f>IFERROR(__xludf.DUMMYFUNCTION("GOOGLEFINANCE(A322,""PRICEOPEN"")"),"#N/A")</f>
        <v>#N/A</v>
      </c>
      <c r="D322" s="14" t="str">
        <f>IFERROR(__xludf.DUMMYFUNCTION("GOOGLEFINANCE(A322,""HIGH"")"),"#N/A")</f>
        <v>#N/A</v>
      </c>
      <c r="E322" s="14" t="str">
        <f>IFERROR(__xludf.DUMMYFUNCTION("GOOGLEFINANCE(A322,""LOW"")"),"#N/A")</f>
        <v>#N/A</v>
      </c>
      <c r="F322" s="15" t="str">
        <f t="shared" si="8"/>
        <v>#N/A</v>
      </c>
      <c r="G322" s="16" t="str">
        <f>IFERROR(__xludf.DUMMYFUNCTION("GOOGLEFINANCE(A322,""CLOSEYEST"")"),"#N/A")</f>
        <v>#N/A</v>
      </c>
      <c r="H322" s="17" t="str">
        <f t="shared" si="14"/>
        <v>#N/A</v>
      </c>
      <c r="I322" s="18" t="str">
        <f t="shared" si="9"/>
        <v>#N/A</v>
      </c>
      <c r="J322" s="19" t="str">
        <f t="shared" si="10"/>
        <v>#N/A</v>
      </c>
      <c r="K322" s="19"/>
      <c r="L322" s="19" t="str">
        <f t="shared" si="11"/>
        <v>#N/A</v>
      </c>
      <c r="M322" s="19" t="str">
        <f t="shared" si="12"/>
        <v>#N/A</v>
      </c>
      <c r="N322" s="19" t="str">
        <f t="shared" si="13"/>
        <v>#N/A</v>
      </c>
    </row>
    <row r="323" ht="24.75" customHeight="1">
      <c r="A323" s="21" t="s">
        <v>286</v>
      </c>
      <c r="B323" s="13">
        <f>IFERROR(__xludf.DUMMYFUNCTION("GOOGLEFINANCE(A323,""PRICE"")"),17.89)</f>
        <v>17.89</v>
      </c>
      <c r="C323" s="14">
        <f>IFERROR(__xludf.DUMMYFUNCTION("GOOGLEFINANCE(A323,""PRICEOPEN"")"),17.37)</f>
        <v>17.37</v>
      </c>
      <c r="D323" s="14">
        <f>IFERROR(__xludf.DUMMYFUNCTION("GOOGLEFINANCE(A323,""HIGH"")"),17.89)</f>
        <v>17.89</v>
      </c>
      <c r="E323" s="14">
        <f>IFERROR(__xludf.DUMMYFUNCTION("GOOGLEFINANCE(A323,""LOW"")"),17.37)</f>
        <v>17.37</v>
      </c>
      <c r="F323" s="15" t="str">
        <f t="shared" si="8"/>
        <v>BUY</v>
      </c>
      <c r="G323" s="16">
        <f>IFERROR(__xludf.DUMMYFUNCTION("GOOGLEFINANCE(A323,""CLOSEYEST"")"),17.44)</f>
        <v>17.44</v>
      </c>
      <c r="H323" s="17" t="str">
        <f t="shared" si="14"/>
        <v/>
      </c>
      <c r="I323" s="18">
        <f t="shared" si="9"/>
        <v>17.56666667</v>
      </c>
      <c r="J323" s="19">
        <f t="shared" si="10"/>
        <v>17.76333333</v>
      </c>
      <c r="K323" s="19"/>
      <c r="L323" s="19">
        <f t="shared" si="11"/>
        <v>17.24333333</v>
      </c>
      <c r="M323" s="19">
        <f t="shared" si="12"/>
        <v>18.08666667</v>
      </c>
      <c r="N323" s="19">
        <f t="shared" si="13"/>
        <v>17.04666667</v>
      </c>
    </row>
    <row r="324" ht="24.75" customHeight="1">
      <c r="A324" s="21" t="s">
        <v>287</v>
      </c>
      <c r="B324" s="13">
        <f>IFERROR(__xludf.DUMMYFUNCTION("GOOGLEFINANCE(A324,""PRICE"")"),42.14)</f>
        <v>42.14</v>
      </c>
      <c r="C324" s="14">
        <f>IFERROR(__xludf.DUMMYFUNCTION("GOOGLEFINANCE(A324,""PRICEOPEN"")"),41.5)</f>
        <v>41.5</v>
      </c>
      <c r="D324" s="14">
        <f>IFERROR(__xludf.DUMMYFUNCTION("GOOGLEFINANCE(A324,""HIGH"")"),42.15)</f>
        <v>42.15</v>
      </c>
      <c r="E324" s="14">
        <f>IFERROR(__xludf.DUMMYFUNCTION("GOOGLEFINANCE(A324,""LOW"")"),41.4)</f>
        <v>41.4</v>
      </c>
      <c r="F324" s="15" t="str">
        <f t="shared" si="8"/>
        <v/>
      </c>
      <c r="G324" s="16">
        <f>IFERROR(__xludf.DUMMYFUNCTION("GOOGLEFINANCE(A324,""CLOSEYEST"")"),41.47)</f>
        <v>41.47</v>
      </c>
      <c r="H324" s="17" t="str">
        <f t="shared" si="14"/>
        <v/>
      </c>
      <c r="I324" s="18">
        <f t="shared" si="9"/>
        <v>41.67333333</v>
      </c>
      <c r="J324" s="19">
        <f t="shared" si="10"/>
        <v>41.94666667</v>
      </c>
      <c r="K324" s="19"/>
      <c r="L324" s="19">
        <f t="shared" si="11"/>
        <v>41.19666667</v>
      </c>
      <c r="M324" s="19">
        <f t="shared" si="12"/>
        <v>42.42333333</v>
      </c>
      <c r="N324" s="19">
        <f t="shared" si="13"/>
        <v>40.92333333</v>
      </c>
    </row>
    <row r="325" ht="24.75" customHeight="1">
      <c r="A325" s="21" t="s">
        <v>288</v>
      </c>
      <c r="B325" s="13">
        <f>IFERROR(__xludf.DUMMYFUNCTION("GOOGLEFINANCE(A325,""PRICE"")"),407.2)</f>
        <v>407.2</v>
      </c>
      <c r="C325" s="14">
        <f>IFERROR(__xludf.DUMMYFUNCTION("GOOGLEFINANCE(A325,""PRICEOPEN"")"),413.85)</f>
        <v>413.85</v>
      </c>
      <c r="D325" s="14">
        <f>IFERROR(__xludf.DUMMYFUNCTION("GOOGLEFINANCE(A325,""HIGH"")"),413.85)</f>
        <v>413.85</v>
      </c>
      <c r="E325" s="14">
        <f>IFERROR(__xludf.DUMMYFUNCTION("GOOGLEFINANCE(A325,""LOW"")"),407.05)</f>
        <v>407.05</v>
      </c>
      <c r="F325" s="15" t="str">
        <f t="shared" si="8"/>
        <v>SELL</v>
      </c>
      <c r="G325" s="16">
        <f>IFERROR(__xludf.DUMMYFUNCTION("GOOGLEFINANCE(A325,""CLOSEYEST"")"),409.45)</f>
        <v>409.45</v>
      </c>
      <c r="H325" s="17" t="str">
        <f t="shared" si="14"/>
        <v>GAP UP</v>
      </c>
      <c r="I325" s="18">
        <f t="shared" si="9"/>
        <v>410.1166667</v>
      </c>
      <c r="J325" s="19">
        <f t="shared" si="10"/>
        <v>413.1833333</v>
      </c>
      <c r="K325" s="19"/>
      <c r="L325" s="19">
        <f t="shared" si="11"/>
        <v>406.3833333</v>
      </c>
      <c r="M325" s="19">
        <f t="shared" si="12"/>
        <v>416.9166667</v>
      </c>
      <c r="N325" s="19">
        <f t="shared" si="13"/>
        <v>403.3166667</v>
      </c>
    </row>
    <row r="326" ht="24.75" customHeight="1">
      <c r="A326" s="21" t="s">
        <v>289</v>
      </c>
      <c r="B326" s="13">
        <f>IFERROR(__xludf.DUMMYFUNCTION("GOOGLEFINANCE(A326,""PRICE"")"),398.0)</f>
        <v>398</v>
      </c>
      <c r="C326" s="14">
        <f>IFERROR(__xludf.DUMMYFUNCTION("GOOGLEFINANCE(A326,""PRICEOPEN"")"),394.9)</f>
        <v>394.9</v>
      </c>
      <c r="D326" s="14">
        <f>IFERROR(__xludf.DUMMYFUNCTION("GOOGLEFINANCE(A326,""HIGH"")"),398.35)</f>
        <v>398.35</v>
      </c>
      <c r="E326" s="14">
        <f>IFERROR(__xludf.DUMMYFUNCTION("GOOGLEFINANCE(A326,""LOW"")"),392.5)</f>
        <v>392.5</v>
      </c>
      <c r="F326" s="15" t="str">
        <f t="shared" si="8"/>
        <v/>
      </c>
      <c r="G326" s="16">
        <f>IFERROR(__xludf.DUMMYFUNCTION("GOOGLEFINANCE(A326,""CLOSEYEST"")"),395.05)</f>
        <v>395.05</v>
      </c>
      <c r="H326" s="17" t="str">
        <f t="shared" si="14"/>
        <v/>
      </c>
      <c r="I326" s="18">
        <f t="shared" si="9"/>
        <v>395.3</v>
      </c>
      <c r="J326" s="19">
        <f t="shared" si="10"/>
        <v>398.1</v>
      </c>
      <c r="K326" s="19"/>
      <c r="L326" s="19">
        <f t="shared" si="11"/>
        <v>392.25</v>
      </c>
      <c r="M326" s="19">
        <f t="shared" si="12"/>
        <v>401.15</v>
      </c>
      <c r="N326" s="19">
        <f t="shared" si="13"/>
        <v>389.45</v>
      </c>
    </row>
    <row r="327" ht="24.75" customHeight="1">
      <c r="A327" s="21" t="s">
        <v>290</v>
      </c>
      <c r="B327" s="13">
        <f>IFERROR(__xludf.DUMMYFUNCTION("GOOGLEFINANCE(A327,""PRICE"")"),472.0)</f>
        <v>472</v>
      </c>
      <c r="C327" s="14">
        <f>IFERROR(__xludf.DUMMYFUNCTION("GOOGLEFINANCE(A327,""PRICEOPEN"")"),469.2)</f>
        <v>469.2</v>
      </c>
      <c r="D327" s="14">
        <f>IFERROR(__xludf.DUMMYFUNCTION("GOOGLEFINANCE(A327,""HIGH"")"),475.5)</f>
        <v>475.5</v>
      </c>
      <c r="E327" s="14">
        <f>IFERROR(__xludf.DUMMYFUNCTION("GOOGLEFINANCE(A327,""LOW"")"),466.25)</f>
        <v>466.25</v>
      </c>
      <c r="F327" s="15" t="str">
        <f t="shared" si="8"/>
        <v/>
      </c>
      <c r="G327" s="16">
        <f>IFERROR(__xludf.DUMMYFUNCTION("GOOGLEFINANCE(A327,""CLOSEYEST"")"),467.65)</f>
        <v>467.65</v>
      </c>
      <c r="H327" s="17" t="str">
        <f t="shared" si="14"/>
        <v/>
      </c>
      <c r="I327" s="18">
        <f t="shared" si="9"/>
        <v>469.8</v>
      </c>
      <c r="J327" s="19">
        <f t="shared" si="10"/>
        <v>473.35</v>
      </c>
      <c r="K327" s="19"/>
      <c r="L327" s="19">
        <f t="shared" si="11"/>
        <v>464.1</v>
      </c>
      <c r="M327" s="19">
        <f t="shared" si="12"/>
        <v>479.05</v>
      </c>
      <c r="N327" s="19">
        <f t="shared" si="13"/>
        <v>460.55</v>
      </c>
    </row>
    <row r="328" ht="24.75" customHeight="1">
      <c r="A328" s="21" t="s">
        <v>291</v>
      </c>
      <c r="B328" s="13">
        <f>IFERROR(__xludf.DUMMYFUNCTION("GOOGLEFINANCE(A328,""PRICE"")"),1977.0)</f>
        <v>1977</v>
      </c>
      <c r="C328" s="14">
        <f>IFERROR(__xludf.DUMMYFUNCTION("GOOGLEFINANCE(A328,""PRICEOPEN"")"),1959.2)</f>
        <v>1959.2</v>
      </c>
      <c r="D328" s="14">
        <f>IFERROR(__xludf.DUMMYFUNCTION("GOOGLEFINANCE(A328,""HIGH"")"),1990.0)</f>
        <v>1990</v>
      </c>
      <c r="E328" s="14">
        <f>IFERROR(__xludf.DUMMYFUNCTION("GOOGLEFINANCE(A328,""LOW"")"),1950.2)</f>
        <v>1950.2</v>
      </c>
      <c r="F328" s="15" t="str">
        <f t="shared" si="8"/>
        <v/>
      </c>
      <c r="G328" s="16">
        <f>IFERROR(__xludf.DUMMYFUNCTION("GOOGLEFINANCE(A328,""CLOSEYEST"")"),1959.2)</f>
        <v>1959.2</v>
      </c>
      <c r="H328" s="17" t="str">
        <f t="shared" si="14"/>
        <v/>
      </c>
      <c r="I328" s="18">
        <f t="shared" si="9"/>
        <v>1966.466667</v>
      </c>
      <c r="J328" s="19">
        <f t="shared" si="10"/>
        <v>1982.733333</v>
      </c>
      <c r="K328" s="19"/>
      <c r="L328" s="19">
        <f t="shared" si="11"/>
        <v>1942.933333</v>
      </c>
      <c r="M328" s="19">
        <f t="shared" si="12"/>
        <v>2006.266667</v>
      </c>
      <c r="N328" s="19">
        <f t="shared" si="13"/>
        <v>1926.666667</v>
      </c>
    </row>
    <row r="329" ht="24.75" customHeight="1">
      <c r="A329" s="21" t="s">
        <v>292</v>
      </c>
      <c r="B329" s="13">
        <f>IFERROR(__xludf.DUMMYFUNCTION("GOOGLEFINANCE(A329,""PRICE"")"),807.7)</f>
        <v>807.7</v>
      </c>
      <c r="C329" s="14">
        <f>IFERROR(__xludf.DUMMYFUNCTION("GOOGLEFINANCE(A329,""PRICEOPEN"")"),798.9)</f>
        <v>798.9</v>
      </c>
      <c r="D329" s="14">
        <f>IFERROR(__xludf.DUMMYFUNCTION("GOOGLEFINANCE(A329,""HIGH"")"),811.0)</f>
        <v>811</v>
      </c>
      <c r="E329" s="14">
        <f>IFERROR(__xludf.DUMMYFUNCTION("GOOGLEFINANCE(A329,""LOW"")"),798.9)</f>
        <v>798.9</v>
      </c>
      <c r="F329" s="15" t="str">
        <f t="shared" si="8"/>
        <v>BUY</v>
      </c>
      <c r="G329" s="16">
        <f>IFERROR(__xludf.DUMMYFUNCTION("GOOGLEFINANCE(A329,""CLOSEYEST"")"),801.6)</f>
        <v>801.6</v>
      </c>
      <c r="H329" s="17" t="str">
        <f t="shared" si="14"/>
        <v/>
      </c>
      <c r="I329" s="18">
        <f t="shared" si="9"/>
        <v>803.8333333</v>
      </c>
      <c r="J329" s="19">
        <f t="shared" si="10"/>
        <v>808.7666667</v>
      </c>
      <c r="K329" s="19"/>
      <c r="L329" s="19">
        <f t="shared" si="11"/>
        <v>796.6666667</v>
      </c>
      <c r="M329" s="19">
        <f t="shared" si="12"/>
        <v>815.9333333</v>
      </c>
      <c r="N329" s="19">
        <f t="shared" si="13"/>
        <v>791.7333333</v>
      </c>
    </row>
    <row r="330" ht="24.75" customHeight="1">
      <c r="A330" s="21" t="s">
        <v>293</v>
      </c>
      <c r="B330" s="13">
        <f>IFERROR(__xludf.DUMMYFUNCTION("GOOGLEFINANCE(A330,""PRICE"")"),544.05)</f>
        <v>544.05</v>
      </c>
      <c r="C330" s="14">
        <f>IFERROR(__xludf.DUMMYFUNCTION("GOOGLEFINANCE(A330,""PRICEOPEN"")"),549.0)</f>
        <v>549</v>
      </c>
      <c r="D330" s="14">
        <f>IFERROR(__xludf.DUMMYFUNCTION("GOOGLEFINANCE(A330,""HIGH"")"),550.7)</f>
        <v>550.7</v>
      </c>
      <c r="E330" s="14">
        <f>IFERROR(__xludf.DUMMYFUNCTION("GOOGLEFINANCE(A330,""LOW"")"),541.45)</f>
        <v>541.45</v>
      </c>
      <c r="F330" s="15" t="str">
        <f t="shared" si="8"/>
        <v/>
      </c>
      <c r="G330" s="16">
        <f>IFERROR(__xludf.DUMMYFUNCTION("GOOGLEFINANCE(A330,""CLOSEYEST"")"),547.85)</f>
        <v>547.85</v>
      </c>
      <c r="H330" s="17" t="str">
        <f t="shared" si="14"/>
        <v/>
      </c>
      <c r="I330" s="18">
        <f t="shared" si="9"/>
        <v>546.6666667</v>
      </c>
      <c r="J330" s="19">
        <f t="shared" si="10"/>
        <v>551.8833333</v>
      </c>
      <c r="K330" s="19"/>
      <c r="L330" s="19">
        <f t="shared" si="11"/>
        <v>542.6333333</v>
      </c>
      <c r="M330" s="19">
        <f t="shared" si="12"/>
        <v>555.9166667</v>
      </c>
      <c r="N330" s="19">
        <f t="shared" si="13"/>
        <v>537.4166667</v>
      </c>
    </row>
    <row r="331" ht="24.75" customHeight="1">
      <c r="A331" s="21" t="s">
        <v>294</v>
      </c>
      <c r="B331" s="13" t="str">
        <f>IFERROR(__xludf.DUMMYFUNCTION("GOOGLEFINANCE(A331,""PRICE"")"),"#N/A")</f>
        <v>#N/A</v>
      </c>
      <c r="C331" s="14" t="str">
        <f>IFERROR(__xludf.DUMMYFUNCTION("GOOGLEFINANCE(A331,""PRICEOPEN"")"),"#N/A")</f>
        <v>#N/A</v>
      </c>
      <c r="D331" s="14" t="str">
        <f>IFERROR(__xludf.DUMMYFUNCTION("GOOGLEFINANCE(A331,""HIGH"")"),"#N/A")</f>
        <v>#N/A</v>
      </c>
      <c r="E331" s="14" t="str">
        <f>IFERROR(__xludf.DUMMYFUNCTION("GOOGLEFINANCE(A331,""LOW"")"),"#N/A")</f>
        <v>#N/A</v>
      </c>
      <c r="F331" s="15" t="str">
        <f t="shared" si="8"/>
        <v>#N/A</v>
      </c>
      <c r="G331" s="16" t="str">
        <f>IFERROR(__xludf.DUMMYFUNCTION("GOOGLEFINANCE(A331,""CLOSEYEST"")"),"#N/A")</f>
        <v>#N/A</v>
      </c>
      <c r="H331" s="17" t="str">
        <f t="shared" si="14"/>
        <v>#N/A</v>
      </c>
      <c r="I331" s="18" t="str">
        <f t="shared" si="9"/>
        <v>#N/A</v>
      </c>
      <c r="J331" s="19" t="str">
        <f t="shared" si="10"/>
        <v>#N/A</v>
      </c>
      <c r="K331" s="19"/>
      <c r="L331" s="19" t="str">
        <f t="shared" si="11"/>
        <v>#N/A</v>
      </c>
      <c r="M331" s="19" t="str">
        <f t="shared" si="12"/>
        <v>#N/A</v>
      </c>
      <c r="N331" s="19" t="str">
        <f t="shared" si="13"/>
        <v>#N/A</v>
      </c>
    </row>
    <row r="332" ht="24.75" customHeight="1">
      <c r="A332" s="21" t="s">
        <v>295</v>
      </c>
      <c r="B332" s="13">
        <f>IFERROR(__xludf.DUMMYFUNCTION("GOOGLEFINANCE(A332,""PRICE"")"),286.15)</f>
        <v>286.15</v>
      </c>
      <c r="C332" s="14">
        <f>IFERROR(__xludf.DUMMYFUNCTION("GOOGLEFINANCE(A332,""PRICEOPEN"")"),287.6)</f>
        <v>287.6</v>
      </c>
      <c r="D332" s="14">
        <f>IFERROR(__xludf.DUMMYFUNCTION("GOOGLEFINANCE(A332,""HIGH"")"),287.6)</f>
        <v>287.6</v>
      </c>
      <c r="E332" s="14">
        <f>IFERROR(__xludf.DUMMYFUNCTION("GOOGLEFINANCE(A332,""LOW"")"),281.55)</f>
        <v>281.55</v>
      </c>
      <c r="F332" s="15" t="str">
        <f t="shared" si="8"/>
        <v>SELL</v>
      </c>
      <c r="G332" s="16">
        <f>IFERROR(__xludf.DUMMYFUNCTION("GOOGLEFINANCE(A332,""CLOSEYEST"")"),286.35)</f>
        <v>286.35</v>
      </c>
      <c r="H332" s="17" t="str">
        <f t="shared" si="14"/>
        <v/>
      </c>
      <c r="I332" s="18">
        <f t="shared" si="9"/>
        <v>285.1666667</v>
      </c>
      <c r="J332" s="19">
        <f t="shared" si="10"/>
        <v>288.7833333</v>
      </c>
      <c r="K332" s="19"/>
      <c r="L332" s="19">
        <f t="shared" si="11"/>
        <v>282.7333333</v>
      </c>
      <c r="M332" s="19">
        <f t="shared" si="12"/>
        <v>291.2166667</v>
      </c>
      <c r="N332" s="19">
        <f t="shared" si="13"/>
        <v>279.1166667</v>
      </c>
    </row>
    <row r="333" ht="24.75" customHeight="1">
      <c r="A333" s="21" t="s">
        <v>296</v>
      </c>
      <c r="B333" s="13">
        <f>IFERROR(__xludf.DUMMYFUNCTION("GOOGLEFINANCE(A333,""PRICE"")"),1317.0)</f>
        <v>1317</v>
      </c>
      <c r="C333" s="14">
        <f>IFERROR(__xludf.DUMMYFUNCTION("GOOGLEFINANCE(A333,""PRICEOPEN"")"),1296.5)</f>
        <v>1296.5</v>
      </c>
      <c r="D333" s="14">
        <f>IFERROR(__xludf.DUMMYFUNCTION("GOOGLEFINANCE(A333,""HIGH"")"),1329.5)</f>
        <v>1329.5</v>
      </c>
      <c r="E333" s="14">
        <f>IFERROR(__xludf.DUMMYFUNCTION("GOOGLEFINANCE(A333,""LOW"")"),1296.5)</f>
        <v>1296.5</v>
      </c>
      <c r="F333" s="15" t="str">
        <f t="shared" si="8"/>
        <v>BUY</v>
      </c>
      <c r="G333" s="16">
        <f>IFERROR(__xludf.DUMMYFUNCTION("GOOGLEFINANCE(A333,""CLOSEYEST"")"),1309.1)</f>
        <v>1309.1</v>
      </c>
      <c r="H333" s="17" t="str">
        <f t="shared" si="14"/>
        <v/>
      </c>
      <c r="I333" s="18">
        <f t="shared" si="9"/>
        <v>1311.7</v>
      </c>
      <c r="J333" s="19">
        <f t="shared" si="10"/>
        <v>1326.9</v>
      </c>
      <c r="K333" s="19"/>
      <c r="L333" s="19">
        <f t="shared" si="11"/>
        <v>1293.9</v>
      </c>
      <c r="M333" s="19">
        <f t="shared" si="12"/>
        <v>1344.7</v>
      </c>
      <c r="N333" s="19">
        <f t="shared" si="13"/>
        <v>1278.7</v>
      </c>
    </row>
    <row r="334" ht="24.75" customHeight="1">
      <c r="A334" s="21" t="s">
        <v>297</v>
      </c>
      <c r="B334" s="13">
        <f>IFERROR(__xludf.DUMMYFUNCTION("GOOGLEFINANCE(A334,""PRICE"")"),3819.0)</f>
        <v>3819</v>
      </c>
      <c r="C334" s="14">
        <f>IFERROR(__xludf.DUMMYFUNCTION("GOOGLEFINANCE(A334,""PRICEOPEN"")"),3858.0)</f>
        <v>3858</v>
      </c>
      <c r="D334" s="14">
        <f>IFERROR(__xludf.DUMMYFUNCTION("GOOGLEFINANCE(A334,""HIGH"")"),3865.0)</f>
        <v>3865</v>
      </c>
      <c r="E334" s="14">
        <f>IFERROR(__xludf.DUMMYFUNCTION("GOOGLEFINANCE(A334,""LOW"")"),3788.5)</f>
        <v>3788.5</v>
      </c>
      <c r="F334" s="15" t="str">
        <f t="shared" si="8"/>
        <v/>
      </c>
      <c r="G334" s="16">
        <f>IFERROR(__xludf.DUMMYFUNCTION("GOOGLEFINANCE(A334,""CLOSEYEST"")"),3823.2)</f>
        <v>3823.2</v>
      </c>
      <c r="H334" s="17" t="str">
        <f t="shared" si="14"/>
        <v/>
      </c>
      <c r="I334" s="18">
        <f t="shared" si="9"/>
        <v>3825.566667</v>
      </c>
      <c r="J334" s="19">
        <f t="shared" si="10"/>
        <v>3862.633333</v>
      </c>
      <c r="K334" s="19"/>
      <c r="L334" s="19">
        <f t="shared" si="11"/>
        <v>3786.133333</v>
      </c>
      <c r="M334" s="19">
        <f t="shared" si="12"/>
        <v>3902.066667</v>
      </c>
      <c r="N334" s="19">
        <f t="shared" si="13"/>
        <v>3749.066667</v>
      </c>
    </row>
    <row r="335" ht="24.75" customHeight="1">
      <c r="A335" s="21" t="s">
        <v>298</v>
      </c>
      <c r="B335" s="13">
        <f>IFERROR(__xludf.DUMMYFUNCTION("GOOGLEFINANCE(A335,""PRICE"")"),911.0)</f>
        <v>911</v>
      </c>
      <c r="C335" s="14">
        <f>IFERROR(__xludf.DUMMYFUNCTION("GOOGLEFINANCE(A335,""PRICEOPEN"")"),903.7)</f>
        <v>903.7</v>
      </c>
      <c r="D335" s="14">
        <f>IFERROR(__xludf.DUMMYFUNCTION("GOOGLEFINANCE(A335,""HIGH"")"),914.0)</f>
        <v>914</v>
      </c>
      <c r="E335" s="14">
        <f>IFERROR(__xludf.DUMMYFUNCTION("GOOGLEFINANCE(A335,""LOW"")"),896.4)</f>
        <v>896.4</v>
      </c>
      <c r="F335" s="15" t="str">
        <f t="shared" si="8"/>
        <v/>
      </c>
      <c r="G335" s="16">
        <f>IFERROR(__xludf.DUMMYFUNCTION("GOOGLEFINANCE(A335,""CLOSEYEST"")"),900.1)</f>
        <v>900.1</v>
      </c>
      <c r="H335" s="17" t="str">
        <f t="shared" si="14"/>
        <v/>
      </c>
      <c r="I335" s="18">
        <f t="shared" si="9"/>
        <v>903.5</v>
      </c>
      <c r="J335" s="19">
        <f t="shared" si="10"/>
        <v>910.6</v>
      </c>
      <c r="K335" s="19"/>
      <c r="L335" s="19">
        <f t="shared" si="11"/>
        <v>893</v>
      </c>
      <c r="M335" s="19">
        <f t="shared" si="12"/>
        <v>921.1</v>
      </c>
      <c r="N335" s="19">
        <f t="shared" si="13"/>
        <v>885.9</v>
      </c>
    </row>
    <row r="336" ht="24.75" customHeight="1">
      <c r="A336" s="21" t="s">
        <v>299</v>
      </c>
      <c r="B336" s="13">
        <f>IFERROR(__xludf.DUMMYFUNCTION("GOOGLEFINANCE(A336,""PRICE"")"),641.0)</f>
        <v>641</v>
      </c>
      <c r="C336" s="14">
        <f>IFERROR(__xludf.DUMMYFUNCTION("GOOGLEFINANCE(A336,""PRICEOPEN"")"),642.8)</f>
        <v>642.8</v>
      </c>
      <c r="D336" s="14">
        <f>IFERROR(__xludf.DUMMYFUNCTION("GOOGLEFINANCE(A336,""HIGH"")"),648.0)</f>
        <v>648</v>
      </c>
      <c r="E336" s="14">
        <f>IFERROR(__xludf.DUMMYFUNCTION("GOOGLEFINANCE(A336,""LOW"")"),637.1)</f>
        <v>637.1</v>
      </c>
      <c r="F336" s="15" t="str">
        <f t="shared" si="8"/>
        <v/>
      </c>
      <c r="G336" s="16">
        <f>IFERROR(__xludf.DUMMYFUNCTION("GOOGLEFINANCE(A336,""CLOSEYEST"")"),637.05)</f>
        <v>637.05</v>
      </c>
      <c r="H336" s="17" t="str">
        <f t="shared" si="14"/>
        <v/>
      </c>
      <c r="I336" s="18">
        <f t="shared" si="9"/>
        <v>640.7166667</v>
      </c>
      <c r="J336" s="19">
        <f t="shared" si="10"/>
        <v>644.3333333</v>
      </c>
      <c r="K336" s="19"/>
      <c r="L336" s="19">
        <f t="shared" si="11"/>
        <v>633.4333333</v>
      </c>
      <c r="M336" s="19">
        <f t="shared" si="12"/>
        <v>651.6166667</v>
      </c>
      <c r="N336" s="19">
        <f t="shared" si="13"/>
        <v>629.8166667</v>
      </c>
    </row>
    <row r="337" ht="24.75" customHeight="1">
      <c r="A337" s="21" t="s">
        <v>300</v>
      </c>
      <c r="B337" s="13">
        <f>IFERROR(__xludf.DUMMYFUNCTION("GOOGLEFINANCE(A337,""PRICE"")"),56.52)</f>
        <v>56.52</v>
      </c>
      <c r="C337" s="14">
        <f>IFERROR(__xludf.DUMMYFUNCTION("GOOGLEFINANCE(A337,""PRICEOPEN"")"),55.67)</f>
        <v>55.67</v>
      </c>
      <c r="D337" s="14">
        <f>IFERROR(__xludf.DUMMYFUNCTION("GOOGLEFINANCE(A337,""HIGH"")"),57.1)</f>
        <v>57.1</v>
      </c>
      <c r="E337" s="14">
        <f>IFERROR(__xludf.DUMMYFUNCTION("GOOGLEFINANCE(A337,""LOW"")"),55.66)</f>
        <v>55.66</v>
      </c>
      <c r="F337" s="15" t="str">
        <f t="shared" si="8"/>
        <v/>
      </c>
      <c r="G337" s="16">
        <f>IFERROR(__xludf.DUMMYFUNCTION("GOOGLEFINANCE(A337,""CLOSEYEST"")"),55.95)</f>
        <v>55.95</v>
      </c>
      <c r="H337" s="17" t="str">
        <f t="shared" si="14"/>
        <v/>
      </c>
      <c r="I337" s="18">
        <f t="shared" si="9"/>
        <v>56.23666667</v>
      </c>
      <c r="J337" s="19">
        <f t="shared" si="10"/>
        <v>56.81333333</v>
      </c>
      <c r="K337" s="19"/>
      <c r="L337" s="19">
        <f t="shared" si="11"/>
        <v>55.37333333</v>
      </c>
      <c r="M337" s="19">
        <f t="shared" si="12"/>
        <v>57.67666667</v>
      </c>
      <c r="N337" s="19">
        <f t="shared" si="13"/>
        <v>54.79666667</v>
      </c>
    </row>
    <row r="338" ht="24.75" customHeight="1">
      <c r="A338" s="21" t="s">
        <v>301</v>
      </c>
      <c r="B338" s="13">
        <f>IFERROR(__xludf.DUMMYFUNCTION("GOOGLEFINANCE(A338,""PRICE"")"),4696.0)</f>
        <v>4696</v>
      </c>
      <c r="C338" s="14">
        <f>IFERROR(__xludf.DUMMYFUNCTION("GOOGLEFINANCE(A338,""PRICEOPEN"")"),4630.0)</f>
        <v>4630</v>
      </c>
      <c r="D338" s="14">
        <f>IFERROR(__xludf.DUMMYFUNCTION("GOOGLEFINANCE(A338,""HIGH"")"),4829.9)</f>
        <v>4829.9</v>
      </c>
      <c r="E338" s="14">
        <f>IFERROR(__xludf.DUMMYFUNCTION("GOOGLEFINANCE(A338,""LOW"")"),4595.0)</f>
        <v>4595</v>
      </c>
      <c r="F338" s="15" t="str">
        <f t="shared" si="8"/>
        <v/>
      </c>
      <c r="G338" s="16">
        <f>IFERROR(__xludf.DUMMYFUNCTION("GOOGLEFINANCE(A338,""CLOSEYEST"")"),4589.7)</f>
        <v>4589.7</v>
      </c>
      <c r="H338" s="17" t="str">
        <f t="shared" si="14"/>
        <v/>
      </c>
      <c r="I338" s="18">
        <f t="shared" si="9"/>
        <v>4671.533333</v>
      </c>
      <c r="J338" s="19">
        <f t="shared" si="10"/>
        <v>4748.066667</v>
      </c>
      <c r="K338" s="19"/>
      <c r="L338" s="19">
        <f t="shared" si="11"/>
        <v>4513.166667</v>
      </c>
      <c r="M338" s="19">
        <f t="shared" si="12"/>
        <v>4906.433333</v>
      </c>
      <c r="N338" s="19">
        <f t="shared" si="13"/>
        <v>4436.633333</v>
      </c>
    </row>
    <row r="339" ht="24.75" customHeight="1">
      <c r="A339" s="21" t="s">
        <v>302</v>
      </c>
      <c r="B339" s="13">
        <f>IFERROR(__xludf.DUMMYFUNCTION("GOOGLEFINANCE(A339,""PRICE"")"),895.2)</f>
        <v>895.2</v>
      </c>
      <c r="C339" s="14">
        <f>IFERROR(__xludf.DUMMYFUNCTION("GOOGLEFINANCE(A339,""PRICEOPEN"")"),876.2)</f>
        <v>876.2</v>
      </c>
      <c r="D339" s="14">
        <f>IFERROR(__xludf.DUMMYFUNCTION("GOOGLEFINANCE(A339,""HIGH"")"),898.0)</f>
        <v>898</v>
      </c>
      <c r="E339" s="14">
        <f>IFERROR(__xludf.DUMMYFUNCTION("GOOGLEFINANCE(A339,""LOW"")"),870.0)</f>
        <v>870</v>
      </c>
      <c r="F339" s="15" t="str">
        <f t="shared" si="8"/>
        <v/>
      </c>
      <c r="G339" s="16">
        <f>IFERROR(__xludf.DUMMYFUNCTION("GOOGLEFINANCE(A339,""CLOSEYEST"")"),868.5)</f>
        <v>868.5</v>
      </c>
      <c r="H339" s="17" t="str">
        <f t="shared" si="14"/>
        <v/>
      </c>
      <c r="I339" s="18">
        <f t="shared" si="9"/>
        <v>878.8333333</v>
      </c>
      <c r="J339" s="19">
        <f t="shared" si="10"/>
        <v>887.6666667</v>
      </c>
      <c r="K339" s="19"/>
      <c r="L339" s="19">
        <f t="shared" si="11"/>
        <v>859.6666667</v>
      </c>
      <c r="M339" s="19">
        <f t="shared" si="12"/>
        <v>906.8333333</v>
      </c>
      <c r="N339" s="19">
        <f t="shared" si="13"/>
        <v>850.8333333</v>
      </c>
    </row>
    <row r="340" ht="24.75" customHeight="1">
      <c r="A340" s="21" t="s">
        <v>303</v>
      </c>
      <c r="B340" s="13">
        <f>IFERROR(__xludf.DUMMYFUNCTION("GOOGLEFINANCE(A340,""PRICE"")"),1755.0)</f>
        <v>1755</v>
      </c>
      <c r="C340" s="14">
        <f>IFERROR(__xludf.DUMMYFUNCTION("GOOGLEFINANCE(A340,""PRICEOPEN"")"),1741.9)</f>
        <v>1741.9</v>
      </c>
      <c r="D340" s="14">
        <f>IFERROR(__xludf.DUMMYFUNCTION("GOOGLEFINANCE(A340,""HIGH"")"),1803.0)</f>
        <v>1803</v>
      </c>
      <c r="E340" s="14">
        <f>IFERROR(__xludf.DUMMYFUNCTION("GOOGLEFINANCE(A340,""LOW"")"),1737.9)</f>
        <v>1737.9</v>
      </c>
      <c r="F340" s="15" t="str">
        <f t="shared" si="8"/>
        <v/>
      </c>
      <c r="G340" s="16">
        <f>IFERROR(__xludf.DUMMYFUNCTION("GOOGLEFINANCE(A340,""CLOSEYEST"")"),1731.5)</f>
        <v>1731.5</v>
      </c>
      <c r="H340" s="17" t="str">
        <f t="shared" si="14"/>
        <v/>
      </c>
      <c r="I340" s="18">
        <f t="shared" si="9"/>
        <v>1757.466667</v>
      </c>
      <c r="J340" s="19">
        <f t="shared" si="10"/>
        <v>1777.033333</v>
      </c>
      <c r="K340" s="19"/>
      <c r="L340" s="19">
        <f t="shared" si="11"/>
        <v>1711.933333</v>
      </c>
      <c r="M340" s="19">
        <f t="shared" si="12"/>
        <v>1822.566667</v>
      </c>
      <c r="N340" s="19">
        <f t="shared" si="13"/>
        <v>1692.366667</v>
      </c>
    </row>
    <row r="341" ht="24.75" customHeight="1">
      <c r="A341" s="21" t="s">
        <v>304</v>
      </c>
      <c r="B341" s="13">
        <f>IFERROR(__xludf.DUMMYFUNCTION("GOOGLEFINANCE(A341,""PRICE"")"),1667.1)</f>
        <v>1667.1</v>
      </c>
      <c r="C341" s="14">
        <f>IFERROR(__xludf.DUMMYFUNCTION("GOOGLEFINANCE(A341,""PRICEOPEN"")"),1690.0)</f>
        <v>1690</v>
      </c>
      <c r="D341" s="14">
        <f>IFERROR(__xludf.DUMMYFUNCTION("GOOGLEFINANCE(A341,""HIGH"")"),1695.0)</f>
        <v>1695</v>
      </c>
      <c r="E341" s="14">
        <f>IFERROR(__xludf.DUMMYFUNCTION("GOOGLEFINANCE(A341,""LOW"")"),1665.0)</f>
        <v>1665</v>
      </c>
      <c r="F341" s="15" t="str">
        <f t="shared" si="8"/>
        <v/>
      </c>
      <c r="G341" s="16">
        <f>IFERROR(__xludf.DUMMYFUNCTION("GOOGLEFINANCE(A341,""CLOSEYEST"")"),1689.7)</f>
        <v>1689.7</v>
      </c>
      <c r="H341" s="17" t="str">
        <f t="shared" si="14"/>
        <v/>
      </c>
      <c r="I341" s="18">
        <f t="shared" si="9"/>
        <v>1683.233333</v>
      </c>
      <c r="J341" s="19">
        <f t="shared" si="10"/>
        <v>1701.466667</v>
      </c>
      <c r="K341" s="19"/>
      <c r="L341" s="19">
        <f t="shared" si="11"/>
        <v>1671.466667</v>
      </c>
      <c r="M341" s="19">
        <f t="shared" si="12"/>
        <v>1713.233333</v>
      </c>
      <c r="N341" s="19">
        <f t="shared" si="13"/>
        <v>1653.233333</v>
      </c>
    </row>
    <row r="342" ht="24.75" customHeight="1">
      <c r="A342" s="21" t="s">
        <v>305</v>
      </c>
      <c r="B342" s="13" t="str">
        <f>IFERROR(__xludf.DUMMYFUNCTION("GOOGLEFINANCE(A342,""PRICE"")"),"#N/A")</f>
        <v>#N/A</v>
      </c>
      <c r="C342" s="14" t="str">
        <f>IFERROR(__xludf.DUMMYFUNCTION("GOOGLEFINANCE(A342,""PRICEOPEN"")"),"#N/A")</f>
        <v>#N/A</v>
      </c>
      <c r="D342" s="14" t="str">
        <f>IFERROR(__xludf.DUMMYFUNCTION("GOOGLEFINANCE(A342,""HIGH"")"),"#N/A")</f>
        <v>#N/A</v>
      </c>
      <c r="E342" s="14" t="str">
        <f>IFERROR(__xludf.DUMMYFUNCTION("GOOGLEFINANCE(A342,""LOW"")"),"#N/A")</f>
        <v>#N/A</v>
      </c>
      <c r="F342" s="15" t="str">
        <f t="shared" si="8"/>
        <v>#N/A</v>
      </c>
      <c r="G342" s="16" t="str">
        <f>IFERROR(__xludf.DUMMYFUNCTION("GOOGLEFINANCE(A342,""CLOSEYEST"")"),"#N/A")</f>
        <v>#N/A</v>
      </c>
      <c r="H342" s="17" t="str">
        <f t="shared" si="14"/>
        <v>#N/A</v>
      </c>
      <c r="I342" s="18" t="str">
        <f t="shared" si="9"/>
        <v>#N/A</v>
      </c>
      <c r="J342" s="19" t="str">
        <f t="shared" si="10"/>
        <v>#N/A</v>
      </c>
      <c r="K342" s="19"/>
      <c r="L342" s="19" t="str">
        <f t="shared" si="11"/>
        <v>#N/A</v>
      </c>
      <c r="M342" s="19" t="str">
        <f t="shared" si="12"/>
        <v>#N/A</v>
      </c>
      <c r="N342" s="19" t="str">
        <f t="shared" si="13"/>
        <v>#N/A</v>
      </c>
    </row>
    <row r="343" ht="24.75" customHeight="1">
      <c r="A343" s="21" t="s">
        <v>306</v>
      </c>
      <c r="B343" s="13">
        <f>IFERROR(__xludf.DUMMYFUNCTION("GOOGLEFINANCE(A343,""PRICE"")"),748.0)</f>
        <v>748</v>
      </c>
      <c r="C343" s="14">
        <f>IFERROR(__xludf.DUMMYFUNCTION("GOOGLEFINANCE(A343,""PRICEOPEN"")"),741.8)</f>
        <v>741.8</v>
      </c>
      <c r="D343" s="14">
        <f>IFERROR(__xludf.DUMMYFUNCTION("GOOGLEFINANCE(A343,""HIGH"")"),752.45)</f>
        <v>752.45</v>
      </c>
      <c r="E343" s="14">
        <f>IFERROR(__xludf.DUMMYFUNCTION("GOOGLEFINANCE(A343,""LOW"")"),732.0)</f>
        <v>732</v>
      </c>
      <c r="F343" s="15" t="str">
        <f t="shared" si="8"/>
        <v/>
      </c>
      <c r="G343" s="16">
        <f>IFERROR(__xludf.DUMMYFUNCTION("GOOGLEFINANCE(A343,""CLOSEYEST"")"),741.8)</f>
        <v>741.8</v>
      </c>
      <c r="H343" s="17" t="str">
        <f t="shared" si="14"/>
        <v/>
      </c>
      <c r="I343" s="18">
        <f t="shared" si="9"/>
        <v>742.0833333</v>
      </c>
      <c r="J343" s="19">
        <f t="shared" si="10"/>
        <v>752.1666667</v>
      </c>
      <c r="K343" s="19"/>
      <c r="L343" s="19">
        <f t="shared" si="11"/>
        <v>731.7166667</v>
      </c>
      <c r="M343" s="19">
        <f t="shared" si="12"/>
        <v>762.5333333</v>
      </c>
      <c r="N343" s="19">
        <f t="shared" si="13"/>
        <v>721.6333333</v>
      </c>
    </row>
    <row r="344" ht="24.75" customHeight="1">
      <c r="A344" s="21" t="s">
        <v>307</v>
      </c>
      <c r="B344" s="13" t="str">
        <f>IFERROR(__xludf.DUMMYFUNCTION("GOOGLEFINANCE(A344,""PRICE"")"),"#N/A")</f>
        <v>#N/A</v>
      </c>
      <c r="C344" s="14" t="str">
        <f>IFERROR(__xludf.DUMMYFUNCTION("GOOGLEFINANCE(A344,""PRICEOPEN"")"),"#N/A")</f>
        <v>#N/A</v>
      </c>
      <c r="D344" s="14" t="str">
        <f>IFERROR(__xludf.DUMMYFUNCTION("GOOGLEFINANCE(A344,""HIGH"")"),"#N/A")</f>
        <v>#N/A</v>
      </c>
      <c r="E344" s="14" t="str">
        <f>IFERROR(__xludf.DUMMYFUNCTION("GOOGLEFINANCE(A344,""LOW"")"),"#N/A")</f>
        <v>#N/A</v>
      </c>
      <c r="F344" s="15" t="str">
        <f t="shared" si="8"/>
        <v>#N/A</v>
      </c>
      <c r="G344" s="16" t="str">
        <f>IFERROR(__xludf.DUMMYFUNCTION("GOOGLEFINANCE(A344,""CLOSEYEST"")"),"#N/A")</f>
        <v>#N/A</v>
      </c>
      <c r="H344" s="17" t="str">
        <f t="shared" si="14"/>
        <v>#N/A</v>
      </c>
      <c r="I344" s="18" t="str">
        <f t="shared" si="9"/>
        <v>#N/A</v>
      </c>
      <c r="J344" s="19" t="str">
        <f t="shared" si="10"/>
        <v>#N/A</v>
      </c>
      <c r="K344" s="19"/>
      <c r="L344" s="19" t="str">
        <f t="shared" si="11"/>
        <v>#N/A</v>
      </c>
      <c r="M344" s="19" t="str">
        <f t="shared" si="12"/>
        <v>#N/A</v>
      </c>
      <c r="N344" s="19" t="str">
        <f t="shared" si="13"/>
        <v>#N/A</v>
      </c>
    </row>
    <row r="345" ht="24.75" customHeight="1">
      <c r="A345" s="21" t="s">
        <v>308</v>
      </c>
      <c r="B345" s="13">
        <f>IFERROR(__xludf.DUMMYFUNCTION("GOOGLEFINANCE(A345,""PRICE"")"),279.0)</f>
        <v>279</v>
      </c>
      <c r="C345" s="14">
        <f>IFERROR(__xludf.DUMMYFUNCTION("GOOGLEFINANCE(A345,""PRICEOPEN"")"),279.0)</f>
        <v>279</v>
      </c>
      <c r="D345" s="14">
        <f>IFERROR(__xludf.DUMMYFUNCTION("GOOGLEFINANCE(A345,""HIGH"")"),282.45)</f>
        <v>282.45</v>
      </c>
      <c r="E345" s="14">
        <f>IFERROR(__xludf.DUMMYFUNCTION("GOOGLEFINANCE(A345,""LOW"")"),277.2)</f>
        <v>277.2</v>
      </c>
      <c r="F345" s="15" t="str">
        <f t="shared" si="8"/>
        <v/>
      </c>
      <c r="G345" s="16">
        <f>IFERROR(__xludf.DUMMYFUNCTION("GOOGLEFINANCE(A345,""CLOSEYEST"")"),279.0)</f>
        <v>279</v>
      </c>
      <c r="H345" s="17" t="str">
        <f t="shared" si="14"/>
        <v/>
      </c>
      <c r="I345" s="18">
        <f t="shared" si="9"/>
        <v>279.55</v>
      </c>
      <c r="J345" s="19">
        <f t="shared" si="10"/>
        <v>281.9</v>
      </c>
      <c r="K345" s="19"/>
      <c r="L345" s="19">
        <f t="shared" si="11"/>
        <v>276.65</v>
      </c>
      <c r="M345" s="19">
        <f t="shared" si="12"/>
        <v>284.8</v>
      </c>
      <c r="N345" s="19">
        <f t="shared" si="13"/>
        <v>274.3</v>
      </c>
    </row>
    <row r="346" ht="24.75" customHeight="1">
      <c r="A346" s="21" t="s">
        <v>309</v>
      </c>
      <c r="B346" s="13">
        <f>IFERROR(__xludf.DUMMYFUNCTION("GOOGLEFINANCE(A346,""PRICE"")"),22.29)</f>
        <v>22.29</v>
      </c>
      <c r="C346" s="14">
        <f>IFERROR(__xludf.DUMMYFUNCTION("GOOGLEFINANCE(A346,""PRICEOPEN"")"),22.55)</f>
        <v>22.55</v>
      </c>
      <c r="D346" s="14">
        <f>IFERROR(__xludf.DUMMYFUNCTION("GOOGLEFINANCE(A346,""HIGH"")"),22.55)</f>
        <v>22.55</v>
      </c>
      <c r="E346" s="14">
        <f>IFERROR(__xludf.DUMMYFUNCTION("GOOGLEFINANCE(A346,""LOW"")"),22.21)</f>
        <v>22.21</v>
      </c>
      <c r="F346" s="15" t="str">
        <f t="shared" si="8"/>
        <v>SELL</v>
      </c>
      <c r="G346" s="16">
        <f>IFERROR(__xludf.DUMMYFUNCTION("GOOGLEFINANCE(A346,""CLOSEYEST"")"),22.17)</f>
        <v>22.17</v>
      </c>
      <c r="H346" s="17" t="str">
        <f t="shared" si="14"/>
        <v>GAP UP</v>
      </c>
      <c r="I346" s="18">
        <f t="shared" si="9"/>
        <v>22.31</v>
      </c>
      <c r="J346" s="19">
        <f t="shared" si="10"/>
        <v>22.41</v>
      </c>
      <c r="K346" s="19"/>
      <c r="L346" s="19">
        <f t="shared" si="11"/>
        <v>22.07</v>
      </c>
      <c r="M346" s="19">
        <f t="shared" si="12"/>
        <v>22.65</v>
      </c>
      <c r="N346" s="19">
        <f t="shared" si="13"/>
        <v>21.97</v>
      </c>
    </row>
    <row r="347" ht="24.75" customHeight="1">
      <c r="A347" s="21" t="s">
        <v>310</v>
      </c>
      <c r="B347" s="13">
        <f>IFERROR(__xludf.DUMMYFUNCTION("GOOGLEFINANCE(A347,""PRICE"")"),16.54)</f>
        <v>16.54</v>
      </c>
      <c r="C347" s="14">
        <f>IFERROR(__xludf.DUMMYFUNCTION("GOOGLEFINANCE(A347,""PRICEOPEN"")"),16.58)</f>
        <v>16.58</v>
      </c>
      <c r="D347" s="14">
        <f>IFERROR(__xludf.DUMMYFUNCTION("GOOGLEFINANCE(A347,""HIGH"")"),16.58)</f>
        <v>16.58</v>
      </c>
      <c r="E347" s="14">
        <f>IFERROR(__xludf.DUMMYFUNCTION("GOOGLEFINANCE(A347,""LOW"")"),16.54)</f>
        <v>16.54</v>
      </c>
      <c r="F347" s="15" t="str">
        <f t="shared" si="8"/>
        <v>SELL</v>
      </c>
      <c r="G347" s="16">
        <f>IFERROR(__xludf.DUMMYFUNCTION("GOOGLEFINANCE(A347,""CLOSEYEST"")"),16.53)</f>
        <v>16.53</v>
      </c>
      <c r="H347" s="17" t="str">
        <f t="shared" si="14"/>
        <v/>
      </c>
      <c r="I347" s="18">
        <f t="shared" si="9"/>
        <v>16.55</v>
      </c>
      <c r="J347" s="19">
        <f t="shared" si="10"/>
        <v>16.56</v>
      </c>
      <c r="K347" s="19"/>
      <c r="L347" s="19">
        <f t="shared" si="11"/>
        <v>16.52</v>
      </c>
      <c r="M347" s="19">
        <f t="shared" si="12"/>
        <v>16.59</v>
      </c>
      <c r="N347" s="19">
        <f t="shared" si="13"/>
        <v>16.51</v>
      </c>
    </row>
    <row r="348" ht="24.75" customHeight="1">
      <c r="A348" s="21" t="s">
        <v>311</v>
      </c>
      <c r="B348" s="13">
        <f>IFERROR(__xludf.DUMMYFUNCTION("GOOGLEFINANCE(A348,""PRICE"")"),337.65)</f>
        <v>337.65</v>
      </c>
      <c r="C348" s="14">
        <f>IFERROR(__xludf.DUMMYFUNCTION("GOOGLEFINANCE(A348,""PRICEOPEN"")"),338.0)</f>
        <v>338</v>
      </c>
      <c r="D348" s="14">
        <f>IFERROR(__xludf.DUMMYFUNCTION("GOOGLEFINANCE(A348,""HIGH"")"),343.7)</f>
        <v>343.7</v>
      </c>
      <c r="E348" s="14">
        <f>IFERROR(__xludf.DUMMYFUNCTION("GOOGLEFINANCE(A348,""LOW"")"),335.0)</f>
        <v>335</v>
      </c>
      <c r="F348" s="15" t="str">
        <f t="shared" si="8"/>
        <v/>
      </c>
      <c r="G348" s="16">
        <f>IFERROR(__xludf.DUMMYFUNCTION("GOOGLEFINANCE(A348,""CLOSEYEST"")"),335.3)</f>
        <v>335.3</v>
      </c>
      <c r="H348" s="17" t="str">
        <f t="shared" si="14"/>
        <v/>
      </c>
      <c r="I348" s="18">
        <f t="shared" si="9"/>
        <v>338</v>
      </c>
      <c r="J348" s="19">
        <f t="shared" si="10"/>
        <v>341</v>
      </c>
      <c r="K348" s="19"/>
      <c r="L348" s="19">
        <f t="shared" si="11"/>
        <v>332.3</v>
      </c>
      <c r="M348" s="19">
        <f t="shared" si="12"/>
        <v>346.7</v>
      </c>
      <c r="N348" s="19">
        <f t="shared" si="13"/>
        <v>329.3</v>
      </c>
    </row>
    <row r="349" ht="24.75" customHeight="1">
      <c r="A349" s="21" t="s">
        <v>312</v>
      </c>
      <c r="B349" s="13">
        <f>IFERROR(__xludf.DUMMYFUNCTION("GOOGLEFINANCE(A349,""PRICE"")"),91.52)</f>
        <v>91.52</v>
      </c>
      <c r="C349" s="14">
        <f>IFERROR(__xludf.DUMMYFUNCTION("GOOGLEFINANCE(A349,""PRICEOPEN"")"),91.34)</f>
        <v>91.34</v>
      </c>
      <c r="D349" s="14">
        <f>IFERROR(__xludf.DUMMYFUNCTION("GOOGLEFINANCE(A349,""HIGH"")"),92.16)</f>
        <v>92.16</v>
      </c>
      <c r="E349" s="14">
        <f>IFERROR(__xludf.DUMMYFUNCTION("GOOGLEFINANCE(A349,""LOW"")"),90.88)</f>
        <v>90.88</v>
      </c>
      <c r="F349" s="15" t="str">
        <f t="shared" si="8"/>
        <v/>
      </c>
      <c r="G349" s="16">
        <f>IFERROR(__xludf.DUMMYFUNCTION("GOOGLEFINANCE(A349,""CLOSEYEST"")"),90.95)</f>
        <v>90.95</v>
      </c>
      <c r="H349" s="17" t="str">
        <f t="shared" si="14"/>
        <v/>
      </c>
      <c r="I349" s="18">
        <f t="shared" si="9"/>
        <v>91.33</v>
      </c>
      <c r="J349" s="19">
        <f t="shared" si="10"/>
        <v>91.78</v>
      </c>
      <c r="K349" s="19"/>
      <c r="L349" s="19">
        <f t="shared" si="11"/>
        <v>90.5</v>
      </c>
      <c r="M349" s="19">
        <f t="shared" si="12"/>
        <v>92.61</v>
      </c>
      <c r="N349" s="19">
        <f t="shared" si="13"/>
        <v>90.05</v>
      </c>
    </row>
    <row r="350" ht="24.75" customHeight="1">
      <c r="A350" s="21" t="s">
        <v>313</v>
      </c>
      <c r="B350" s="13">
        <f>IFERROR(__xludf.DUMMYFUNCTION("GOOGLEFINANCE(A350,""PRICE"")"),214.5)</f>
        <v>214.5</v>
      </c>
      <c r="C350" s="14">
        <f>IFERROR(__xludf.DUMMYFUNCTION("GOOGLEFINANCE(A350,""PRICEOPEN"")"),210.0)</f>
        <v>210</v>
      </c>
      <c r="D350" s="14">
        <f>IFERROR(__xludf.DUMMYFUNCTION("GOOGLEFINANCE(A350,""HIGH"")"),216.8)</f>
        <v>216.8</v>
      </c>
      <c r="E350" s="14">
        <f>IFERROR(__xludf.DUMMYFUNCTION("GOOGLEFINANCE(A350,""LOW"")"),209.63)</f>
        <v>209.63</v>
      </c>
      <c r="F350" s="15" t="str">
        <f t="shared" si="8"/>
        <v/>
      </c>
      <c r="G350" s="16">
        <f>IFERROR(__xludf.DUMMYFUNCTION("GOOGLEFINANCE(A350,""CLOSEYEST"")"),209.03)</f>
        <v>209.03</v>
      </c>
      <c r="H350" s="17" t="str">
        <f t="shared" si="14"/>
        <v/>
      </c>
      <c r="I350" s="18">
        <f t="shared" si="9"/>
        <v>211.82</v>
      </c>
      <c r="J350" s="19">
        <f t="shared" si="10"/>
        <v>214.01</v>
      </c>
      <c r="K350" s="19"/>
      <c r="L350" s="19">
        <f t="shared" si="11"/>
        <v>206.84</v>
      </c>
      <c r="M350" s="19">
        <f t="shared" si="12"/>
        <v>218.99</v>
      </c>
      <c r="N350" s="19">
        <f t="shared" si="13"/>
        <v>204.65</v>
      </c>
    </row>
    <row r="351" ht="24.75" customHeight="1">
      <c r="A351" s="21" t="s">
        <v>314</v>
      </c>
      <c r="B351" s="13">
        <f>IFERROR(__xludf.DUMMYFUNCTION("GOOGLEFINANCE(A351,""PRICE"")"),206.1)</f>
        <v>206.1</v>
      </c>
      <c r="C351" s="14">
        <f>IFERROR(__xludf.DUMMYFUNCTION("GOOGLEFINANCE(A351,""PRICEOPEN"")"),200.2)</f>
        <v>200.2</v>
      </c>
      <c r="D351" s="14">
        <f>IFERROR(__xludf.DUMMYFUNCTION("GOOGLEFINANCE(A351,""HIGH"")"),206.69)</f>
        <v>206.69</v>
      </c>
      <c r="E351" s="14">
        <f>IFERROR(__xludf.DUMMYFUNCTION("GOOGLEFINANCE(A351,""LOW"")"),199.67)</f>
        <v>199.67</v>
      </c>
      <c r="F351" s="15" t="str">
        <f t="shared" si="8"/>
        <v/>
      </c>
      <c r="G351" s="16">
        <f>IFERROR(__xludf.DUMMYFUNCTION("GOOGLEFINANCE(A351,""CLOSEYEST"")"),199.4)</f>
        <v>199.4</v>
      </c>
      <c r="H351" s="17" t="str">
        <f t="shared" si="14"/>
        <v/>
      </c>
      <c r="I351" s="18">
        <f t="shared" si="9"/>
        <v>201.92</v>
      </c>
      <c r="J351" s="19">
        <f t="shared" si="10"/>
        <v>204.17</v>
      </c>
      <c r="K351" s="19"/>
      <c r="L351" s="19">
        <f t="shared" si="11"/>
        <v>197.15</v>
      </c>
      <c r="M351" s="19">
        <f t="shared" si="12"/>
        <v>208.94</v>
      </c>
      <c r="N351" s="19">
        <f t="shared" si="13"/>
        <v>194.9</v>
      </c>
    </row>
    <row r="352" ht="24.75" customHeight="1">
      <c r="A352" s="21" t="s">
        <v>315</v>
      </c>
      <c r="B352" s="13">
        <f>IFERROR(__xludf.DUMMYFUNCTION("GOOGLEFINANCE(A352,""PRICE"")"),166.0)</f>
        <v>166</v>
      </c>
      <c r="C352" s="14">
        <f>IFERROR(__xludf.DUMMYFUNCTION("GOOGLEFINANCE(A352,""PRICEOPEN"")"),163.2)</f>
        <v>163.2</v>
      </c>
      <c r="D352" s="14">
        <f>IFERROR(__xludf.DUMMYFUNCTION("GOOGLEFINANCE(A352,""HIGH"")"),166.67)</f>
        <v>166.67</v>
      </c>
      <c r="E352" s="14">
        <f>IFERROR(__xludf.DUMMYFUNCTION("GOOGLEFINANCE(A352,""LOW"")"),163.18)</f>
        <v>163.18</v>
      </c>
      <c r="F352" s="15" t="str">
        <f t="shared" si="8"/>
        <v/>
      </c>
      <c r="G352" s="16">
        <f>IFERROR(__xludf.DUMMYFUNCTION("GOOGLEFINANCE(A352,""CLOSEYEST"")"),162.37)</f>
        <v>162.37</v>
      </c>
      <c r="H352" s="17" t="str">
        <f t="shared" si="14"/>
        <v/>
      </c>
      <c r="I352" s="18">
        <f t="shared" si="9"/>
        <v>164.0733333</v>
      </c>
      <c r="J352" s="19">
        <f t="shared" si="10"/>
        <v>164.9666667</v>
      </c>
      <c r="K352" s="19"/>
      <c r="L352" s="19">
        <f t="shared" si="11"/>
        <v>161.4766667</v>
      </c>
      <c r="M352" s="19">
        <f t="shared" si="12"/>
        <v>167.5633333</v>
      </c>
      <c r="N352" s="19">
        <f t="shared" si="13"/>
        <v>160.5833333</v>
      </c>
    </row>
    <row r="353" ht="24.75" customHeight="1">
      <c r="A353" s="21" t="s">
        <v>316</v>
      </c>
      <c r="B353" s="13">
        <f>IFERROR(__xludf.DUMMYFUNCTION("GOOGLEFINANCE(A353,""PRICE"")"),202.7)</f>
        <v>202.7</v>
      </c>
      <c r="C353" s="14">
        <f>IFERROR(__xludf.DUMMYFUNCTION("GOOGLEFINANCE(A353,""PRICEOPEN"")"),201.5)</f>
        <v>201.5</v>
      </c>
      <c r="D353" s="14">
        <f>IFERROR(__xludf.DUMMYFUNCTION("GOOGLEFINANCE(A353,""HIGH"")"),203.1)</f>
        <v>203.1</v>
      </c>
      <c r="E353" s="14">
        <f>IFERROR(__xludf.DUMMYFUNCTION("GOOGLEFINANCE(A353,""LOW"")"),200.61)</f>
        <v>200.61</v>
      </c>
      <c r="F353" s="15" t="str">
        <f t="shared" si="8"/>
        <v/>
      </c>
      <c r="G353" s="16">
        <f>IFERROR(__xludf.DUMMYFUNCTION("GOOGLEFINANCE(A353,""CLOSEYEST"")"),201.03)</f>
        <v>201.03</v>
      </c>
      <c r="H353" s="17" t="str">
        <f t="shared" si="14"/>
        <v/>
      </c>
      <c r="I353" s="18">
        <f t="shared" si="9"/>
        <v>201.58</v>
      </c>
      <c r="J353" s="19">
        <f t="shared" si="10"/>
        <v>202.55</v>
      </c>
      <c r="K353" s="19"/>
      <c r="L353" s="19">
        <f t="shared" si="11"/>
        <v>200.06</v>
      </c>
      <c r="M353" s="19">
        <f t="shared" si="12"/>
        <v>204.07</v>
      </c>
      <c r="N353" s="19">
        <f t="shared" si="13"/>
        <v>199.09</v>
      </c>
    </row>
    <row r="354" ht="24.75" customHeight="1">
      <c r="A354" s="21" t="s">
        <v>317</v>
      </c>
      <c r="B354" s="13">
        <f>IFERROR(__xludf.DUMMYFUNCTION("GOOGLEFINANCE(A354,""PRICE"")"),1840.3)</f>
        <v>1840.3</v>
      </c>
      <c r="C354" s="14">
        <f>IFERROR(__xludf.DUMMYFUNCTION("GOOGLEFINANCE(A354,""PRICEOPEN"")"),1909.8)</f>
        <v>1909.8</v>
      </c>
      <c r="D354" s="14">
        <f>IFERROR(__xludf.DUMMYFUNCTION("GOOGLEFINANCE(A354,""HIGH"")"),1918.9)</f>
        <v>1918.9</v>
      </c>
      <c r="E354" s="14">
        <f>IFERROR(__xludf.DUMMYFUNCTION("GOOGLEFINANCE(A354,""LOW"")"),1808.8)</f>
        <v>1808.8</v>
      </c>
      <c r="F354" s="15" t="str">
        <f t="shared" si="8"/>
        <v/>
      </c>
      <c r="G354" s="16">
        <f>IFERROR(__xludf.DUMMYFUNCTION("GOOGLEFINANCE(A354,""CLOSEYEST"")"),1907.6)</f>
        <v>1907.6</v>
      </c>
      <c r="H354" s="17" t="str">
        <f t="shared" si="14"/>
        <v/>
      </c>
      <c r="I354" s="18">
        <f t="shared" si="9"/>
        <v>1878.433333</v>
      </c>
      <c r="J354" s="19">
        <f t="shared" si="10"/>
        <v>1948.066667</v>
      </c>
      <c r="K354" s="19"/>
      <c r="L354" s="19">
        <f t="shared" si="11"/>
        <v>1837.966667</v>
      </c>
      <c r="M354" s="19">
        <f t="shared" si="12"/>
        <v>1988.533333</v>
      </c>
      <c r="N354" s="19">
        <f t="shared" si="13"/>
        <v>1768.333333</v>
      </c>
    </row>
    <row r="355" ht="24.75" customHeight="1">
      <c r="A355" s="21" t="s">
        <v>318</v>
      </c>
      <c r="B355" s="13">
        <f>IFERROR(__xludf.DUMMYFUNCTION("GOOGLEFINANCE(A355,""PRICE"")"),1416.0)</f>
        <v>1416</v>
      </c>
      <c r="C355" s="14">
        <f>IFERROR(__xludf.DUMMYFUNCTION("GOOGLEFINANCE(A355,""PRICEOPEN"")"),1404.6)</f>
        <v>1404.6</v>
      </c>
      <c r="D355" s="14">
        <f>IFERROR(__xludf.DUMMYFUNCTION("GOOGLEFINANCE(A355,""HIGH"")"),1424.1)</f>
        <v>1424.1</v>
      </c>
      <c r="E355" s="14">
        <f>IFERROR(__xludf.DUMMYFUNCTION("GOOGLEFINANCE(A355,""LOW"")"),1400.0)</f>
        <v>1400</v>
      </c>
      <c r="F355" s="15" t="str">
        <f t="shared" si="8"/>
        <v/>
      </c>
      <c r="G355" s="16">
        <f>IFERROR(__xludf.DUMMYFUNCTION("GOOGLEFINANCE(A355,""CLOSEYEST"")"),1401.9)</f>
        <v>1401.9</v>
      </c>
      <c r="H355" s="17" t="str">
        <f t="shared" si="14"/>
        <v/>
      </c>
      <c r="I355" s="18">
        <f t="shared" si="9"/>
        <v>1408.666667</v>
      </c>
      <c r="J355" s="19">
        <f t="shared" si="10"/>
        <v>1417.333333</v>
      </c>
      <c r="K355" s="19"/>
      <c r="L355" s="19">
        <f t="shared" si="11"/>
        <v>1393.233333</v>
      </c>
      <c r="M355" s="19">
        <f t="shared" si="12"/>
        <v>1432.766667</v>
      </c>
      <c r="N355" s="19">
        <f t="shared" si="13"/>
        <v>1384.566667</v>
      </c>
    </row>
    <row r="356" ht="24.75" customHeight="1">
      <c r="A356" s="21" t="s">
        <v>319</v>
      </c>
      <c r="B356" s="13">
        <f>IFERROR(__xludf.DUMMYFUNCTION("GOOGLEFINANCE(A356,""PRICE"")"),256.6)</f>
        <v>256.6</v>
      </c>
      <c r="C356" s="14">
        <f>IFERROR(__xludf.DUMMYFUNCTION("GOOGLEFINANCE(A356,""PRICEOPEN"")"),255.15)</f>
        <v>255.15</v>
      </c>
      <c r="D356" s="14">
        <f>IFERROR(__xludf.DUMMYFUNCTION("GOOGLEFINANCE(A356,""HIGH"")"),258.1)</f>
        <v>258.1</v>
      </c>
      <c r="E356" s="14">
        <f>IFERROR(__xludf.DUMMYFUNCTION("GOOGLEFINANCE(A356,""LOW"")"),252.15)</f>
        <v>252.15</v>
      </c>
      <c r="F356" s="15" t="str">
        <f t="shared" si="8"/>
        <v/>
      </c>
      <c r="G356" s="16">
        <f>IFERROR(__xludf.DUMMYFUNCTION("GOOGLEFINANCE(A356,""CLOSEYEST"")"),255.1)</f>
        <v>255.1</v>
      </c>
      <c r="H356" s="17" t="str">
        <f t="shared" si="14"/>
        <v/>
      </c>
      <c r="I356" s="18">
        <f t="shared" si="9"/>
        <v>255.1166667</v>
      </c>
      <c r="J356" s="19">
        <f t="shared" si="10"/>
        <v>258.0833333</v>
      </c>
      <c r="K356" s="19"/>
      <c r="L356" s="19">
        <f t="shared" si="11"/>
        <v>252.1333333</v>
      </c>
      <c r="M356" s="19">
        <f t="shared" si="12"/>
        <v>261.0666667</v>
      </c>
      <c r="N356" s="19">
        <f t="shared" si="13"/>
        <v>249.1666667</v>
      </c>
    </row>
    <row r="357" ht="24.75" customHeight="1">
      <c r="A357" s="21" t="s">
        <v>320</v>
      </c>
      <c r="B357" s="13" t="str">
        <f>IFERROR(__xludf.DUMMYFUNCTION("GOOGLEFINANCE(A357,""PRICE"")"),"#N/A")</f>
        <v>#N/A</v>
      </c>
      <c r="C357" s="14" t="str">
        <f>IFERROR(__xludf.DUMMYFUNCTION("GOOGLEFINANCE(A357,""PRICEOPEN"")"),"#N/A")</f>
        <v>#N/A</v>
      </c>
      <c r="D357" s="14" t="str">
        <f>IFERROR(__xludf.DUMMYFUNCTION("GOOGLEFINANCE(A357,""HIGH"")"),"#N/A")</f>
        <v>#N/A</v>
      </c>
      <c r="E357" s="14" t="str">
        <f>IFERROR(__xludf.DUMMYFUNCTION("GOOGLEFINANCE(A357,""LOW"")"),"#N/A")</f>
        <v>#N/A</v>
      </c>
      <c r="F357" s="15" t="str">
        <f t="shared" si="8"/>
        <v>#N/A</v>
      </c>
      <c r="G357" s="16" t="str">
        <f>IFERROR(__xludf.DUMMYFUNCTION("GOOGLEFINANCE(A357,""CLOSEYEST"")"),"#N/A")</f>
        <v>#N/A</v>
      </c>
      <c r="H357" s="17" t="str">
        <f t="shared" si="14"/>
        <v>#N/A</v>
      </c>
      <c r="I357" s="18" t="str">
        <f t="shared" si="9"/>
        <v>#N/A</v>
      </c>
      <c r="J357" s="19" t="str">
        <f t="shared" si="10"/>
        <v>#N/A</v>
      </c>
      <c r="K357" s="19"/>
      <c r="L357" s="19" t="str">
        <f t="shared" si="11"/>
        <v>#N/A</v>
      </c>
      <c r="M357" s="19" t="str">
        <f t="shared" si="12"/>
        <v>#N/A</v>
      </c>
      <c r="N357" s="19" t="str">
        <f t="shared" si="13"/>
        <v>#N/A</v>
      </c>
    </row>
    <row r="358" ht="24.75" customHeight="1">
      <c r="A358" s="21" t="s">
        <v>321</v>
      </c>
      <c r="B358" s="13">
        <f>IFERROR(__xludf.DUMMYFUNCTION("GOOGLEFINANCE(A358,""PRICE"")"),797.4)</f>
        <v>797.4</v>
      </c>
      <c r="C358" s="14">
        <f>IFERROR(__xludf.DUMMYFUNCTION("GOOGLEFINANCE(A358,""PRICEOPEN"")"),799.5)</f>
        <v>799.5</v>
      </c>
      <c r="D358" s="14">
        <f>IFERROR(__xludf.DUMMYFUNCTION("GOOGLEFINANCE(A358,""HIGH"")"),809.0)</f>
        <v>809</v>
      </c>
      <c r="E358" s="14">
        <f>IFERROR(__xludf.DUMMYFUNCTION("GOOGLEFINANCE(A358,""LOW"")"),790.4)</f>
        <v>790.4</v>
      </c>
      <c r="F358" s="15" t="str">
        <f t="shared" si="8"/>
        <v/>
      </c>
      <c r="G358" s="16">
        <f>IFERROR(__xludf.DUMMYFUNCTION("GOOGLEFINANCE(A358,""CLOSEYEST"")"),797.95)</f>
        <v>797.95</v>
      </c>
      <c r="H358" s="17" t="str">
        <f t="shared" si="14"/>
        <v/>
      </c>
      <c r="I358" s="18">
        <f t="shared" si="9"/>
        <v>799.1166667</v>
      </c>
      <c r="J358" s="19">
        <f t="shared" si="10"/>
        <v>807.8333333</v>
      </c>
      <c r="K358" s="19"/>
      <c r="L358" s="19">
        <f t="shared" si="11"/>
        <v>789.2333333</v>
      </c>
      <c r="M358" s="19">
        <f t="shared" si="12"/>
        <v>817.7166667</v>
      </c>
      <c r="N358" s="19">
        <f t="shared" si="13"/>
        <v>780.5166667</v>
      </c>
    </row>
    <row r="359" ht="24.75" customHeight="1">
      <c r="A359" s="21" t="s">
        <v>322</v>
      </c>
      <c r="B359" s="13">
        <f>IFERROR(__xludf.DUMMYFUNCTION("GOOGLEFINANCE(A359,""PRICE"")"),8205.5)</f>
        <v>8205.5</v>
      </c>
      <c r="C359" s="14">
        <f>IFERROR(__xludf.DUMMYFUNCTION("GOOGLEFINANCE(A359,""PRICEOPEN"")"),8238.0)</f>
        <v>8238</v>
      </c>
      <c r="D359" s="14">
        <f>IFERROR(__xludf.DUMMYFUNCTION("GOOGLEFINANCE(A359,""HIGH"")"),8295.5)</f>
        <v>8295.5</v>
      </c>
      <c r="E359" s="14">
        <f>IFERROR(__xludf.DUMMYFUNCTION("GOOGLEFINANCE(A359,""LOW"")"),8168.0)</f>
        <v>8168</v>
      </c>
      <c r="F359" s="15" t="str">
        <f t="shared" si="8"/>
        <v/>
      </c>
      <c r="G359" s="16">
        <f>IFERROR(__xludf.DUMMYFUNCTION("GOOGLEFINANCE(A359,""CLOSEYEST"")"),8241.5)</f>
        <v>8241.5</v>
      </c>
      <c r="H359" s="17" t="str">
        <f t="shared" si="14"/>
        <v/>
      </c>
      <c r="I359" s="18">
        <f t="shared" si="9"/>
        <v>8235</v>
      </c>
      <c r="J359" s="19">
        <f t="shared" si="10"/>
        <v>8302</v>
      </c>
      <c r="K359" s="19"/>
      <c r="L359" s="19">
        <f t="shared" si="11"/>
        <v>8174.5</v>
      </c>
      <c r="M359" s="19">
        <f t="shared" si="12"/>
        <v>8362.5</v>
      </c>
      <c r="N359" s="19">
        <f t="shared" si="13"/>
        <v>8107.5</v>
      </c>
    </row>
    <row r="360" ht="24.75" customHeight="1">
      <c r="A360" s="21" t="s">
        <v>323</v>
      </c>
      <c r="B360" s="13">
        <f>IFERROR(__xludf.DUMMYFUNCTION("GOOGLEFINANCE(A360,""PRICE"")"),458.0)</f>
        <v>458</v>
      </c>
      <c r="C360" s="14">
        <f>IFERROR(__xludf.DUMMYFUNCTION("GOOGLEFINANCE(A360,""PRICEOPEN"")"),450.2)</f>
        <v>450.2</v>
      </c>
      <c r="D360" s="14">
        <f>IFERROR(__xludf.DUMMYFUNCTION("GOOGLEFINANCE(A360,""HIGH"")"),468.6)</f>
        <v>468.6</v>
      </c>
      <c r="E360" s="14">
        <f>IFERROR(__xludf.DUMMYFUNCTION("GOOGLEFINANCE(A360,""LOW"")"),450.1)</f>
        <v>450.1</v>
      </c>
      <c r="F360" s="15" t="str">
        <f t="shared" si="8"/>
        <v/>
      </c>
      <c r="G360" s="16">
        <f>IFERROR(__xludf.DUMMYFUNCTION("GOOGLEFINANCE(A360,""CLOSEYEST"")"),452.2)</f>
        <v>452.2</v>
      </c>
      <c r="H360" s="17" t="str">
        <f t="shared" si="14"/>
        <v/>
      </c>
      <c r="I360" s="18">
        <f t="shared" si="9"/>
        <v>456.9666667</v>
      </c>
      <c r="J360" s="19">
        <f t="shared" si="10"/>
        <v>463.8333333</v>
      </c>
      <c r="K360" s="19"/>
      <c r="L360" s="19">
        <f t="shared" si="11"/>
        <v>445.3333333</v>
      </c>
      <c r="M360" s="19">
        <f t="shared" si="12"/>
        <v>475.4666667</v>
      </c>
      <c r="N360" s="19">
        <f t="shared" si="13"/>
        <v>438.4666667</v>
      </c>
    </row>
    <row r="361" ht="24.75" customHeight="1">
      <c r="A361" s="21" t="s">
        <v>324</v>
      </c>
      <c r="B361" s="13">
        <f>IFERROR(__xludf.DUMMYFUNCTION("GOOGLEFINANCE(A361,""PRICE"")"),462.15)</f>
        <v>462.15</v>
      </c>
      <c r="C361" s="14">
        <f>IFERROR(__xludf.DUMMYFUNCTION("GOOGLEFINANCE(A361,""PRICEOPEN"")"),459.85)</f>
        <v>459.85</v>
      </c>
      <c r="D361" s="14">
        <f>IFERROR(__xludf.DUMMYFUNCTION("GOOGLEFINANCE(A361,""HIGH"")"),466.9)</f>
        <v>466.9</v>
      </c>
      <c r="E361" s="14">
        <f>IFERROR(__xludf.DUMMYFUNCTION("GOOGLEFINANCE(A361,""LOW"")"),455.2)</f>
        <v>455.2</v>
      </c>
      <c r="F361" s="15" t="str">
        <f t="shared" si="8"/>
        <v/>
      </c>
      <c r="G361" s="16">
        <f>IFERROR(__xludf.DUMMYFUNCTION("GOOGLEFINANCE(A361,""CLOSEYEST"")"),459.85)</f>
        <v>459.85</v>
      </c>
      <c r="H361" s="17" t="str">
        <f t="shared" si="14"/>
        <v/>
      </c>
      <c r="I361" s="18">
        <f t="shared" si="9"/>
        <v>460.65</v>
      </c>
      <c r="J361" s="19">
        <f t="shared" si="10"/>
        <v>466.1</v>
      </c>
      <c r="K361" s="19"/>
      <c r="L361" s="19">
        <f t="shared" si="11"/>
        <v>454.4</v>
      </c>
      <c r="M361" s="19">
        <f t="shared" si="12"/>
        <v>472.35</v>
      </c>
      <c r="N361" s="19">
        <f t="shared" si="13"/>
        <v>448.95</v>
      </c>
    </row>
    <row r="362" ht="24.75" customHeight="1">
      <c r="A362" s="21" t="s">
        <v>325</v>
      </c>
      <c r="B362" s="13">
        <f>IFERROR(__xludf.DUMMYFUNCTION("GOOGLEFINANCE(A362,""PRICE"")"),690.0)</f>
        <v>690</v>
      </c>
      <c r="C362" s="14">
        <f>IFERROR(__xludf.DUMMYFUNCTION("GOOGLEFINANCE(A362,""PRICEOPEN"")"),687.9)</f>
        <v>687.9</v>
      </c>
      <c r="D362" s="14">
        <f>IFERROR(__xludf.DUMMYFUNCTION("GOOGLEFINANCE(A362,""HIGH"")"),694.0)</f>
        <v>694</v>
      </c>
      <c r="E362" s="14">
        <f>IFERROR(__xludf.DUMMYFUNCTION("GOOGLEFINANCE(A362,""LOW"")"),676.8)</f>
        <v>676.8</v>
      </c>
      <c r="F362" s="15" t="str">
        <f t="shared" si="8"/>
        <v/>
      </c>
      <c r="G362" s="16">
        <f>IFERROR(__xludf.DUMMYFUNCTION("GOOGLEFINANCE(A362,""CLOSEYEST"")"),687.9)</f>
        <v>687.9</v>
      </c>
      <c r="H362" s="17" t="str">
        <f t="shared" si="14"/>
        <v/>
      </c>
      <c r="I362" s="18">
        <f t="shared" si="9"/>
        <v>686.2333333</v>
      </c>
      <c r="J362" s="19">
        <f t="shared" si="10"/>
        <v>695.6666667</v>
      </c>
      <c r="K362" s="19"/>
      <c r="L362" s="19">
        <f t="shared" si="11"/>
        <v>678.4666667</v>
      </c>
      <c r="M362" s="19">
        <f t="shared" si="12"/>
        <v>703.4333333</v>
      </c>
      <c r="N362" s="19">
        <f t="shared" si="13"/>
        <v>669.0333333</v>
      </c>
    </row>
    <row r="363" ht="24.75" customHeight="1">
      <c r="A363" s="21" t="s">
        <v>326</v>
      </c>
      <c r="B363" s="13">
        <f>IFERROR(__xludf.DUMMYFUNCTION("GOOGLEFINANCE(A363,""PRICE"")"),75.9)</f>
        <v>75.9</v>
      </c>
      <c r="C363" s="14">
        <f>IFERROR(__xludf.DUMMYFUNCTION("GOOGLEFINANCE(A363,""PRICEOPEN"")"),73.5)</f>
        <v>73.5</v>
      </c>
      <c r="D363" s="14">
        <f>IFERROR(__xludf.DUMMYFUNCTION("GOOGLEFINANCE(A363,""HIGH"")"),76.15)</f>
        <v>76.15</v>
      </c>
      <c r="E363" s="14">
        <f>IFERROR(__xludf.DUMMYFUNCTION("GOOGLEFINANCE(A363,""LOW"")"),72.81)</f>
        <v>72.81</v>
      </c>
      <c r="F363" s="15" t="str">
        <f t="shared" si="8"/>
        <v/>
      </c>
      <c r="G363" s="16">
        <f>IFERROR(__xludf.DUMMYFUNCTION("GOOGLEFINANCE(A363,""CLOSEYEST"")"),73.42)</f>
        <v>73.42</v>
      </c>
      <c r="H363" s="17" t="str">
        <f t="shared" si="14"/>
        <v/>
      </c>
      <c r="I363" s="18">
        <f t="shared" si="9"/>
        <v>74.12666667</v>
      </c>
      <c r="J363" s="19">
        <f t="shared" si="10"/>
        <v>75.44333333</v>
      </c>
      <c r="K363" s="19"/>
      <c r="L363" s="19">
        <f t="shared" si="11"/>
        <v>72.10333333</v>
      </c>
      <c r="M363" s="19">
        <f t="shared" si="12"/>
        <v>77.46666667</v>
      </c>
      <c r="N363" s="19">
        <f t="shared" si="13"/>
        <v>70.78666667</v>
      </c>
    </row>
    <row r="364" ht="24.75" customHeight="1">
      <c r="A364" s="21" t="s">
        <v>327</v>
      </c>
      <c r="B364" s="13">
        <f>IFERROR(__xludf.DUMMYFUNCTION("GOOGLEFINANCE(A364,""PRICE"")"),4601.5)</f>
        <v>4601.5</v>
      </c>
      <c r="C364" s="14">
        <f>IFERROR(__xludf.DUMMYFUNCTION("GOOGLEFINANCE(A364,""PRICEOPEN"")"),4549.9)</f>
        <v>4549.9</v>
      </c>
      <c r="D364" s="14">
        <f>IFERROR(__xludf.DUMMYFUNCTION("GOOGLEFINANCE(A364,""HIGH"")"),4668.1)</f>
        <v>4668.1</v>
      </c>
      <c r="E364" s="14">
        <f>IFERROR(__xludf.DUMMYFUNCTION("GOOGLEFINANCE(A364,""LOW"")"),4481.0)</f>
        <v>4481</v>
      </c>
      <c r="F364" s="15" t="str">
        <f t="shared" si="8"/>
        <v/>
      </c>
      <c r="G364" s="16">
        <f>IFERROR(__xludf.DUMMYFUNCTION("GOOGLEFINANCE(A364,""CLOSEYEST"")"),4532.8)</f>
        <v>4532.8</v>
      </c>
      <c r="H364" s="17" t="str">
        <f t="shared" si="14"/>
        <v/>
      </c>
      <c r="I364" s="18">
        <f t="shared" si="9"/>
        <v>4560.633333</v>
      </c>
      <c r="J364" s="19">
        <f t="shared" si="10"/>
        <v>4640.266667</v>
      </c>
      <c r="K364" s="19"/>
      <c r="L364" s="19">
        <f t="shared" si="11"/>
        <v>4453.166667</v>
      </c>
      <c r="M364" s="19">
        <f t="shared" si="12"/>
        <v>4747.733333</v>
      </c>
      <c r="N364" s="19">
        <f t="shared" si="13"/>
        <v>4373.533333</v>
      </c>
    </row>
    <row r="365" ht="24.75" customHeight="1">
      <c r="A365" s="21" t="s">
        <v>328</v>
      </c>
      <c r="B365" s="13">
        <f>IFERROR(__xludf.DUMMYFUNCTION("GOOGLEFINANCE(A365,""PRICE"")"),1174.7)</f>
        <v>1174.7</v>
      </c>
      <c r="C365" s="14">
        <f>IFERROR(__xludf.DUMMYFUNCTION("GOOGLEFINANCE(A365,""PRICEOPEN"")"),1155.0)</f>
        <v>1155</v>
      </c>
      <c r="D365" s="14">
        <f>IFERROR(__xludf.DUMMYFUNCTION("GOOGLEFINANCE(A365,""HIGH"")"),1175.0)</f>
        <v>1175</v>
      </c>
      <c r="E365" s="14">
        <f>IFERROR(__xludf.DUMMYFUNCTION("GOOGLEFINANCE(A365,""LOW"")"),1147.1)</f>
        <v>1147.1</v>
      </c>
      <c r="F365" s="15" t="str">
        <f t="shared" si="8"/>
        <v/>
      </c>
      <c r="G365" s="16">
        <f>IFERROR(__xludf.DUMMYFUNCTION("GOOGLEFINANCE(A365,""CLOSEYEST"")"),1149.4)</f>
        <v>1149.4</v>
      </c>
      <c r="H365" s="17" t="str">
        <f t="shared" si="14"/>
        <v/>
      </c>
      <c r="I365" s="18">
        <f t="shared" si="9"/>
        <v>1157.166667</v>
      </c>
      <c r="J365" s="19">
        <f t="shared" si="10"/>
        <v>1167.233333</v>
      </c>
      <c r="K365" s="19"/>
      <c r="L365" s="19">
        <f t="shared" si="11"/>
        <v>1139.333333</v>
      </c>
      <c r="M365" s="19">
        <f t="shared" si="12"/>
        <v>1185.066667</v>
      </c>
      <c r="N365" s="19">
        <f t="shared" si="13"/>
        <v>1129.266667</v>
      </c>
    </row>
    <row r="366" ht="24.75" customHeight="1">
      <c r="A366" s="21" t="s">
        <v>329</v>
      </c>
      <c r="B366" s="13">
        <f>IFERROR(__xludf.DUMMYFUNCTION("GOOGLEFINANCE(A366,""PRICE"")"),494.85)</f>
        <v>494.85</v>
      </c>
      <c r="C366" s="14">
        <f>IFERROR(__xludf.DUMMYFUNCTION("GOOGLEFINANCE(A366,""PRICEOPEN"")"),485.9)</f>
        <v>485.9</v>
      </c>
      <c r="D366" s="14">
        <f>IFERROR(__xludf.DUMMYFUNCTION("GOOGLEFINANCE(A366,""HIGH"")"),496.0)</f>
        <v>496</v>
      </c>
      <c r="E366" s="14">
        <f>IFERROR(__xludf.DUMMYFUNCTION("GOOGLEFINANCE(A366,""LOW"")"),483.15)</f>
        <v>483.15</v>
      </c>
      <c r="F366" s="15" t="str">
        <f t="shared" si="8"/>
        <v/>
      </c>
      <c r="G366" s="16">
        <f>IFERROR(__xludf.DUMMYFUNCTION("GOOGLEFINANCE(A366,""CLOSEYEST"")"),481.95)</f>
        <v>481.95</v>
      </c>
      <c r="H366" s="17" t="str">
        <f t="shared" si="14"/>
        <v/>
      </c>
      <c r="I366" s="18">
        <f t="shared" si="9"/>
        <v>487.0333333</v>
      </c>
      <c r="J366" s="19">
        <f t="shared" si="10"/>
        <v>490.9166667</v>
      </c>
      <c r="K366" s="19"/>
      <c r="L366" s="19">
        <f t="shared" si="11"/>
        <v>478.0666667</v>
      </c>
      <c r="M366" s="19">
        <f t="shared" si="12"/>
        <v>499.8833333</v>
      </c>
      <c r="N366" s="19">
        <f t="shared" si="13"/>
        <v>474.1833333</v>
      </c>
    </row>
    <row r="367" ht="24.75" customHeight="1">
      <c r="A367" s="21" t="s">
        <v>330</v>
      </c>
      <c r="B367" s="13">
        <f>IFERROR(__xludf.DUMMYFUNCTION("GOOGLEFINANCE(A367,""PRICE"")"),1207.8)</f>
        <v>1207.8</v>
      </c>
      <c r="C367" s="14">
        <f>IFERROR(__xludf.DUMMYFUNCTION("GOOGLEFINANCE(A367,""PRICEOPEN"")"),1213.3)</f>
        <v>1213.3</v>
      </c>
      <c r="D367" s="14">
        <f>IFERROR(__xludf.DUMMYFUNCTION("GOOGLEFINANCE(A367,""HIGH"")"),1226.0)</f>
        <v>1226</v>
      </c>
      <c r="E367" s="14">
        <f>IFERROR(__xludf.DUMMYFUNCTION("GOOGLEFINANCE(A367,""LOW"")"),1198.0)</f>
        <v>1198</v>
      </c>
      <c r="F367" s="15" t="str">
        <f t="shared" si="8"/>
        <v/>
      </c>
      <c r="G367" s="16">
        <f>IFERROR(__xludf.DUMMYFUNCTION("GOOGLEFINANCE(A367,""CLOSEYEST"")"),1213.3)</f>
        <v>1213.3</v>
      </c>
      <c r="H367" s="17" t="str">
        <f t="shared" si="14"/>
        <v/>
      </c>
      <c r="I367" s="18">
        <f t="shared" si="9"/>
        <v>1212.433333</v>
      </c>
      <c r="J367" s="19">
        <f t="shared" si="10"/>
        <v>1226.866667</v>
      </c>
      <c r="K367" s="19"/>
      <c r="L367" s="19">
        <f t="shared" si="11"/>
        <v>1198.866667</v>
      </c>
      <c r="M367" s="19">
        <f t="shared" si="12"/>
        <v>1240.433333</v>
      </c>
      <c r="N367" s="19">
        <f t="shared" si="13"/>
        <v>1184.433333</v>
      </c>
    </row>
    <row r="368" ht="24.75" customHeight="1">
      <c r="A368" s="21" t="s">
        <v>331</v>
      </c>
      <c r="B368" s="13" t="str">
        <f>IFERROR(__xludf.DUMMYFUNCTION("GOOGLEFINANCE(A368,""PRICE"")"),"#N/A")</f>
        <v>#N/A</v>
      </c>
      <c r="C368" s="14" t="str">
        <f>IFERROR(__xludf.DUMMYFUNCTION("GOOGLEFINANCE(A368,""PRICEOPEN"")"),"#N/A")</f>
        <v>#N/A</v>
      </c>
      <c r="D368" s="14" t="str">
        <f>IFERROR(__xludf.DUMMYFUNCTION("GOOGLEFINANCE(A368,""HIGH"")"),"#N/A")</f>
        <v>#N/A</v>
      </c>
      <c r="E368" s="14" t="str">
        <f>IFERROR(__xludf.DUMMYFUNCTION("GOOGLEFINANCE(A368,""LOW"")"),"#N/A")</f>
        <v>#N/A</v>
      </c>
      <c r="F368" s="15" t="str">
        <f t="shared" si="8"/>
        <v>#N/A</v>
      </c>
      <c r="G368" s="16" t="str">
        <f>IFERROR(__xludf.DUMMYFUNCTION("GOOGLEFINANCE(A368,""CLOSEYEST"")"),"#N/A")</f>
        <v>#N/A</v>
      </c>
      <c r="H368" s="17" t="str">
        <f t="shared" si="14"/>
        <v>#N/A</v>
      </c>
      <c r="I368" s="18" t="str">
        <f t="shared" si="9"/>
        <v>#N/A</v>
      </c>
      <c r="J368" s="19" t="str">
        <f t="shared" si="10"/>
        <v>#N/A</v>
      </c>
      <c r="K368" s="19"/>
      <c r="L368" s="19" t="str">
        <f t="shared" si="11"/>
        <v>#N/A</v>
      </c>
      <c r="M368" s="19" t="str">
        <f t="shared" si="12"/>
        <v>#N/A</v>
      </c>
      <c r="N368" s="19" t="str">
        <f t="shared" si="13"/>
        <v>#N/A</v>
      </c>
    </row>
    <row r="369" ht="24.75" customHeight="1">
      <c r="A369" s="21" t="s">
        <v>332</v>
      </c>
      <c r="B369" s="13">
        <f>IFERROR(__xludf.DUMMYFUNCTION("GOOGLEFINANCE(A369,""PRICE"")"),315.4)</f>
        <v>315.4</v>
      </c>
      <c r="C369" s="14">
        <f>IFERROR(__xludf.DUMMYFUNCTION("GOOGLEFINANCE(A369,""PRICEOPEN"")"),307.0)</f>
        <v>307</v>
      </c>
      <c r="D369" s="14">
        <f>IFERROR(__xludf.DUMMYFUNCTION("GOOGLEFINANCE(A369,""HIGH"")"),317.7)</f>
        <v>317.7</v>
      </c>
      <c r="E369" s="14">
        <f>IFERROR(__xludf.DUMMYFUNCTION("GOOGLEFINANCE(A369,""LOW"")"),305.8)</f>
        <v>305.8</v>
      </c>
      <c r="F369" s="15" t="str">
        <f t="shared" si="8"/>
        <v/>
      </c>
      <c r="G369" s="16">
        <f>IFERROR(__xludf.DUMMYFUNCTION("GOOGLEFINANCE(A369,""CLOSEYEST"")"),307.05)</f>
        <v>307.05</v>
      </c>
      <c r="H369" s="17" t="str">
        <f t="shared" si="14"/>
        <v/>
      </c>
      <c r="I369" s="18">
        <f t="shared" si="9"/>
        <v>310.1833333</v>
      </c>
      <c r="J369" s="19">
        <f t="shared" si="10"/>
        <v>314.5666667</v>
      </c>
      <c r="K369" s="19"/>
      <c r="L369" s="19">
        <f t="shared" si="11"/>
        <v>302.6666667</v>
      </c>
      <c r="M369" s="19">
        <f t="shared" si="12"/>
        <v>322.0833333</v>
      </c>
      <c r="N369" s="19">
        <f t="shared" si="13"/>
        <v>298.2833333</v>
      </c>
    </row>
    <row r="370" ht="24.75" customHeight="1">
      <c r="A370" s="21" t="s">
        <v>333</v>
      </c>
      <c r="B370" s="13">
        <f>IFERROR(__xludf.DUMMYFUNCTION("GOOGLEFINANCE(A370,""PRICE"")"),2259.7)</f>
        <v>2259.7</v>
      </c>
      <c r="C370" s="14">
        <f>IFERROR(__xludf.DUMMYFUNCTION("GOOGLEFINANCE(A370,""PRICEOPEN"")"),2241.9)</f>
        <v>2241.9</v>
      </c>
      <c r="D370" s="14">
        <f>IFERROR(__xludf.DUMMYFUNCTION("GOOGLEFINANCE(A370,""HIGH"")"),2259.7)</f>
        <v>2259.7</v>
      </c>
      <c r="E370" s="14">
        <f>IFERROR(__xludf.DUMMYFUNCTION("GOOGLEFINANCE(A370,""LOW"")"),2223.0)</f>
        <v>2223</v>
      </c>
      <c r="F370" s="15" t="str">
        <f t="shared" si="8"/>
        <v/>
      </c>
      <c r="G370" s="16">
        <f>IFERROR(__xludf.DUMMYFUNCTION("GOOGLEFINANCE(A370,""CLOSEYEST"")"),2226.7)</f>
        <v>2226.7</v>
      </c>
      <c r="H370" s="17" t="str">
        <f t="shared" si="14"/>
        <v/>
      </c>
      <c r="I370" s="18">
        <f t="shared" si="9"/>
        <v>2236.466667</v>
      </c>
      <c r="J370" s="19">
        <f t="shared" si="10"/>
        <v>2249.933333</v>
      </c>
      <c r="K370" s="19"/>
      <c r="L370" s="19">
        <f t="shared" si="11"/>
        <v>2213.233333</v>
      </c>
      <c r="M370" s="19">
        <f t="shared" si="12"/>
        <v>2273.166667</v>
      </c>
      <c r="N370" s="19">
        <f t="shared" si="13"/>
        <v>2199.766667</v>
      </c>
    </row>
    <row r="371" ht="24.75" customHeight="1">
      <c r="A371" s="21" t="s">
        <v>334</v>
      </c>
      <c r="B371" s="13">
        <f>IFERROR(__xludf.DUMMYFUNCTION("GOOGLEFINANCE(A371,""PRICE"")"),762.0)</f>
        <v>762</v>
      </c>
      <c r="C371" s="14">
        <f>IFERROR(__xludf.DUMMYFUNCTION("GOOGLEFINANCE(A371,""PRICEOPEN"")"),768.75)</f>
        <v>768.75</v>
      </c>
      <c r="D371" s="14">
        <f>IFERROR(__xludf.DUMMYFUNCTION("GOOGLEFINANCE(A371,""HIGH"")"),771.0)</f>
        <v>771</v>
      </c>
      <c r="E371" s="14">
        <f>IFERROR(__xludf.DUMMYFUNCTION("GOOGLEFINANCE(A371,""LOW"")"),757.8)</f>
        <v>757.8</v>
      </c>
      <c r="F371" s="15" t="str">
        <f t="shared" si="8"/>
        <v/>
      </c>
      <c r="G371" s="16">
        <f>IFERROR(__xludf.DUMMYFUNCTION("GOOGLEFINANCE(A371,""CLOSEYEST"")"),768.75)</f>
        <v>768.75</v>
      </c>
      <c r="H371" s="17" t="str">
        <f t="shared" si="14"/>
        <v/>
      </c>
      <c r="I371" s="18">
        <f t="shared" si="9"/>
        <v>765.85</v>
      </c>
      <c r="J371" s="19">
        <f t="shared" si="10"/>
        <v>773.9</v>
      </c>
      <c r="K371" s="19"/>
      <c r="L371" s="19">
        <f t="shared" si="11"/>
        <v>760.7</v>
      </c>
      <c r="M371" s="19">
        <f t="shared" si="12"/>
        <v>779.05</v>
      </c>
      <c r="N371" s="19">
        <f t="shared" si="13"/>
        <v>752.65</v>
      </c>
    </row>
    <row r="372" ht="24.75" customHeight="1">
      <c r="A372" s="21" t="s">
        <v>335</v>
      </c>
      <c r="B372" s="13">
        <f>IFERROR(__xludf.DUMMYFUNCTION("GOOGLEFINANCE(A372,""PRICE"")"),1309.7)</f>
        <v>1309.7</v>
      </c>
      <c r="C372" s="14">
        <f>IFERROR(__xludf.DUMMYFUNCTION("GOOGLEFINANCE(A372,""PRICEOPEN"")"),1299.5)</f>
        <v>1299.5</v>
      </c>
      <c r="D372" s="14">
        <f>IFERROR(__xludf.DUMMYFUNCTION("GOOGLEFINANCE(A372,""HIGH"")"),1311.0)</f>
        <v>1311</v>
      </c>
      <c r="E372" s="14">
        <f>IFERROR(__xludf.DUMMYFUNCTION("GOOGLEFINANCE(A372,""LOW"")"),1295.0)</f>
        <v>1295</v>
      </c>
      <c r="F372" s="15" t="str">
        <f t="shared" si="8"/>
        <v/>
      </c>
      <c r="G372" s="16">
        <f>IFERROR(__xludf.DUMMYFUNCTION("GOOGLEFINANCE(A372,""CLOSEYEST"")"),1299.5)</f>
        <v>1299.5</v>
      </c>
      <c r="H372" s="17" t="str">
        <f t="shared" si="14"/>
        <v/>
      </c>
      <c r="I372" s="18">
        <f t="shared" si="9"/>
        <v>1301.833333</v>
      </c>
      <c r="J372" s="19">
        <f t="shared" si="10"/>
        <v>1308.666667</v>
      </c>
      <c r="K372" s="19"/>
      <c r="L372" s="19">
        <f t="shared" si="11"/>
        <v>1292.666667</v>
      </c>
      <c r="M372" s="19">
        <f t="shared" si="12"/>
        <v>1317.833333</v>
      </c>
      <c r="N372" s="19">
        <f t="shared" si="13"/>
        <v>1285.833333</v>
      </c>
    </row>
    <row r="373" ht="24.75" customHeight="1">
      <c r="A373" s="21" t="s">
        <v>336</v>
      </c>
      <c r="B373" s="13">
        <f>IFERROR(__xludf.DUMMYFUNCTION("GOOGLEFINANCE(A373,""PRICE"")"),123.12)</f>
        <v>123.12</v>
      </c>
      <c r="C373" s="14">
        <f>IFERROR(__xludf.DUMMYFUNCTION("GOOGLEFINANCE(A373,""PRICEOPEN"")"),122.0)</f>
        <v>122</v>
      </c>
      <c r="D373" s="14">
        <f>IFERROR(__xludf.DUMMYFUNCTION("GOOGLEFINANCE(A373,""HIGH"")"),124.5)</f>
        <v>124.5</v>
      </c>
      <c r="E373" s="14">
        <f>IFERROR(__xludf.DUMMYFUNCTION("GOOGLEFINANCE(A373,""LOW"")"),118.75)</f>
        <v>118.75</v>
      </c>
      <c r="F373" s="15" t="str">
        <f t="shared" si="8"/>
        <v/>
      </c>
      <c r="G373" s="16">
        <f>IFERROR(__xludf.DUMMYFUNCTION("GOOGLEFINANCE(A373,""CLOSEYEST"")"),121.57)</f>
        <v>121.57</v>
      </c>
      <c r="H373" s="17" t="str">
        <f t="shared" si="14"/>
        <v/>
      </c>
      <c r="I373" s="18">
        <f t="shared" si="9"/>
        <v>121.6066667</v>
      </c>
      <c r="J373" s="19">
        <f t="shared" si="10"/>
        <v>124.4633333</v>
      </c>
      <c r="K373" s="19"/>
      <c r="L373" s="19">
        <f t="shared" si="11"/>
        <v>118.7133333</v>
      </c>
      <c r="M373" s="19">
        <f t="shared" si="12"/>
        <v>127.3566667</v>
      </c>
      <c r="N373" s="19">
        <f t="shared" si="13"/>
        <v>115.8566667</v>
      </c>
    </row>
    <row r="374" ht="24.75" customHeight="1">
      <c r="A374" s="21" t="s">
        <v>337</v>
      </c>
      <c r="B374" s="13">
        <f>IFERROR(__xludf.DUMMYFUNCTION("GOOGLEFINANCE(A374,""PRICE"")"),54.62)</f>
        <v>54.62</v>
      </c>
      <c r="C374" s="14">
        <f>IFERROR(__xludf.DUMMYFUNCTION("GOOGLEFINANCE(A374,""PRICEOPEN"")"),55.44)</f>
        <v>55.44</v>
      </c>
      <c r="D374" s="14">
        <f>IFERROR(__xludf.DUMMYFUNCTION("GOOGLEFINANCE(A374,""HIGH"")"),55.48)</f>
        <v>55.48</v>
      </c>
      <c r="E374" s="14">
        <f>IFERROR(__xludf.DUMMYFUNCTION("GOOGLEFINANCE(A374,""LOW"")"),53.85)</f>
        <v>53.85</v>
      </c>
      <c r="F374" s="15" t="str">
        <f t="shared" si="8"/>
        <v/>
      </c>
      <c r="G374" s="16">
        <f>IFERROR(__xludf.DUMMYFUNCTION("GOOGLEFINANCE(A374,""CLOSEYEST"")"),55.18)</f>
        <v>55.18</v>
      </c>
      <c r="H374" s="17" t="str">
        <f t="shared" si="14"/>
        <v/>
      </c>
      <c r="I374" s="18">
        <f t="shared" si="9"/>
        <v>54.83666667</v>
      </c>
      <c r="J374" s="19">
        <f t="shared" si="10"/>
        <v>55.82333333</v>
      </c>
      <c r="K374" s="19"/>
      <c r="L374" s="19">
        <f t="shared" si="11"/>
        <v>54.19333333</v>
      </c>
      <c r="M374" s="19">
        <f t="shared" si="12"/>
        <v>56.46666667</v>
      </c>
      <c r="N374" s="19">
        <f t="shared" si="13"/>
        <v>53.20666667</v>
      </c>
    </row>
    <row r="375" ht="24.75" customHeight="1">
      <c r="A375" s="21" t="s">
        <v>338</v>
      </c>
      <c r="B375" s="13" t="str">
        <f>IFERROR(__xludf.DUMMYFUNCTION("GOOGLEFINANCE(A375,""PRICE"")"),"#N/A")</f>
        <v>#N/A</v>
      </c>
      <c r="C375" s="14" t="str">
        <f>IFERROR(__xludf.DUMMYFUNCTION("GOOGLEFINANCE(A375,""PRICEOPEN"")"),"#N/A")</f>
        <v>#N/A</v>
      </c>
      <c r="D375" s="14" t="str">
        <f>IFERROR(__xludf.DUMMYFUNCTION("GOOGLEFINANCE(A375,""HIGH"")"),"#N/A")</f>
        <v>#N/A</v>
      </c>
      <c r="E375" s="14" t="str">
        <f>IFERROR(__xludf.DUMMYFUNCTION("GOOGLEFINANCE(A375,""LOW"")"),"#N/A")</f>
        <v>#N/A</v>
      </c>
      <c r="F375" s="15" t="str">
        <f t="shared" si="8"/>
        <v>#N/A</v>
      </c>
      <c r="G375" s="16" t="str">
        <f>IFERROR(__xludf.DUMMYFUNCTION("GOOGLEFINANCE(A375,""CLOSEYEST"")"),"#N/A")</f>
        <v>#N/A</v>
      </c>
      <c r="H375" s="17" t="str">
        <f t="shared" si="14"/>
        <v>#N/A</v>
      </c>
      <c r="I375" s="18" t="str">
        <f t="shared" si="9"/>
        <v>#N/A</v>
      </c>
      <c r="J375" s="19" t="str">
        <f t="shared" si="10"/>
        <v>#N/A</v>
      </c>
      <c r="K375" s="19"/>
      <c r="L375" s="19" t="str">
        <f t="shared" si="11"/>
        <v>#N/A</v>
      </c>
      <c r="M375" s="19" t="str">
        <f t="shared" si="12"/>
        <v>#N/A</v>
      </c>
      <c r="N375" s="19" t="str">
        <f t="shared" si="13"/>
        <v>#N/A</v>
      </c>
    </row>
    <row r="376" ht="24.75" customHeight="1">
      <c r="A376" s="21" t="s">
        <v>339</v>
      </c>
      <c r="B376" s="13">
        <f>IFERROR(__xludf.DUMMYFUNCTION("GOOGLEFINANCE(A376,""PRICE"")"),10.51)</f>
        <v>10.51</v>
      </c>
      <c r="C376" s="14">
        <f>IFERROR(__xludf.DUMMYFUNCTION("GOOGLEFINANCE(A376,""PRICEOPEN"")"),10.53)</f>
        <v>10.53</v>
      </c>
      <c r="D376" s="14">
        <f>IFERROR(__xludf.DUMMYFUNCTION("GOOGLEFINANCE(A376,""HIGH"")"),10.53)</f>
        <v>10.53</v>
      </c>
      <c r="E376" s="14">
        <f>IFERROR(__xludf.DUMMYFUNCTION("GOOGLEFINANCE(A376,""LOW"")"),10.51)</f>
        <v>10.51</v>
      </c>
      <c r="F376" s="15" t="str">
        <f t="shared" si="8"/>
        <v>SELL</v>
      </c>
      <c r="G376" s="16">
        <f>IFERROR(__xludf.DUMMYFUNCTION("GOOGLEFINANCE(A376,""CLOSEYEST"")"),10.52)</f>
        <v>10.52</v>
      </c>
      <c r="H376" s="17" t="str">
        <f t="shared" si="14"/>
        <v/>
      </c>
      <c r="I376" s="18">
        <f t="shared" si="9"/>
        <v>10.52</v>
      </c>
      <c r="J376" s="19">
        <f t="shared" si="10"/>
        <v>10.53</v>
      </c>
      <c r="K376" s="19"/>
      <c r="L376" s="19">
        <f t="shared" si="11"/>
        <v>10.51</v>
      </c>
      <c r="M376" s="19">
        <f t="shared" si="12"/>
        <v>10.54</v>
      </c>
      <c r="N376" s="19">
        <f t="shared" si="13"/>
        <v>10.5</v>
      </c>
    </row>
    <row r="377" ht="24.75" customHeight="1">
      <c r="A377" s="21" t="s">
        <v>340</v>
      </c>
      <c r="B377" s="13">
        <f>IFERROR(__xludf.DUMMYFUNCTION("GOOGLEFINANCE(A377,""PRICE"")"),896.0)</f>
        <v>896</v>
      </c>
      <c r="C377" s="14">
        <f>IFERROR(__xludf.DUMMYFUNCTION("GOOGLEFINANCE(A377,""PRICEOPEN"")"),896.15)</f>
        <v>896.15</v>
      </c>
      <c r="D377" s="14">
        <f>IFERROR(__xludf.DUMMYFUNCTION("GOOGLEFINANCE(A377,""HIGH"")"),905.55)</f>
        <v>905.55</v>
      </c>
      <c r="E377" s="14">
        <f>IFERROR(__xludf.DUMMYFUNCTION("GOOGLEFINANCE(A377,""LOW"")"),890.4)</f>
        <v>890.4</v>
      </c>
      <c r="F377" s="15" t="str">
        <f t="shared" si="8"/>
        <v/>
      </c>
      <c r="G377" s="16">
        <f>IFERROR(__xludf.DUMMYFUNCTION("GOOGLEFINANCE(A377,""CLOSEYEST"")"),895.4)</f>
        <v>895.4</v>
      </c>
      <c r="H377" s="17" t="str">
        <f t="shared" si="14"/>
        <v/>
      </c>
      <c r="I377" s="18">
        <f t="shared" si="9"/>
        <v>897.1166667</v>
      </c>
      <c r="J377" s="19">
        <f t="shared" si="10"/>
        <v>903.8333333</v>
      </c>
      <c r="K377" s="19"/>
      <c r="L377" s="19">
        <f t="shared" si="11"/>
        <v>888.6833333</v>
      </c>
      <c r="M377" s="19">
        <f t="shared" si="12"/>
        <v>912.2666667</v>
      </c>
      <c r="N377" s="19">
        <f t="shared" si="13"/>
        <v>881.9666667</v>
      </c>
    </row>
    <row r="378" ht="24.75" customHeight="1">
      <c r="A378" s="21" t="s">
        <v>341</v>
      </c>
      <c r="B378" s="13" t="str">
        <f>IFERROR(__xludf.DUMMYFUNCTION("GOOGLEFINANCE(A378,""PRICE"")"),"#N/A")</f>
        <v>#N/A</v>
      </c>
      <c r="C378" s="14" t="str">
        <f>IFERROR(__xludf.DUMMYFUNCTION("GOOGLEFINANCE(A378,""PRICEOPEN"")"),"#N/A")</f>
        <v>#N/A</v>
      </c>
      <c r="D378" s="14" t="str">
        <f>IFERROR(__xludf.DUMMYFUNCTION("GOOGLEFINANCE(A378,""HIGH"")"),"#N/A")</f>
        <v>#N/A</v>
      </c>
      <c r="E378" s="14" t="str">
        <f>IFERROR(__xludf.DUMMYFUNCTION("GOOGLEFINANCE(A378,""LOW"")"),"#N/A")</f>
        <v>#N/A</v>
      </c>
      <c r="F378" s="15" t="str">
        <f t="shared" si="8"/>
        <v>#N/A</v>
      </c>
      <c r="G378" s="16" t="str">
        <f>IFERROR(__xludf.DUMMYFUNCTION("GOOGLEFINANCE(A378,""CLOSEYEST"")"),"#N/A")</f>
        <v>#N/A</v>
      </c>
      <c r="H378" s="17" t="str">
        <f t="shared" si="14"/>
        <v>#N/A</v>
      </c>
      <c r="I378" s="18" t="str">
        <f t="shared" si="9"/>
        <v>#N/A</v>
      </c>
      <c r="J378" s="19" t="str">
        <f t="shared" si="10"/>
        <v>#N/A</v>
      </c>
      <c r="K378" s="19"/>
      <c r="L378" s="19" t="str">
        <f t="shared" si="11"/>
        <v>#N/A</v>
      </c>
      <c r="M378" s="19" t="str">
        <f t="shared" si="12"/>
        <v>#N/A</v>
      </c>
      <c r="N378" s="19" t="str">
        <f t="shared" si="13"/>
        <v>#N/A</v>
      </c>
    </row>
    <row r="379" ht="24.75" customHeight="1">
      <c r="A379" s="21" t="s">
        <v>342</v>
      </c>
      <c r="B379" s="13">
        <f>IFERROR(__xludf.DUMMYFUNCTION("GOOGLEFINANCE(A379,""PRICE"")"),18219.0)</f>
        <v>18219</v>
      </c>
      <c r="C379" s="14">
        <f>IFERROR(__xludf.DUMMYFUNCTION("GOOGLEFINANCE(A379,""PRICEOPEN"")"),18500.0)</f>
        <v>18500</v>
      </c>
      <c r="D379" s="14">
        <f>IFERROR(__xludf.DUMMYFUNCTION("GOOGLEFINANCE(A379,""HIGH"")"),18550.0)</f>
        <v>18550</v>
      </c>
      <c r="E379" s="14">
        <f>IFERROR(__xludf.DUMMYFUNCTION("GOOGLEFINANCE(A379,""LOW"")"),18035.0)</f>
        <v>18035</v>
      </c>
      <c r="F379" s="15" t="str">
        <f t="shared" si="8"/>
        <v/>
      </c>
      <c r="G379" s="16">
        <f>IFERROR(__xludf.DUMMYFUNCTION("GOOGLEFINANCE(A379,""CLOSEYEST"")"),18134.0)</f>
        <v>18134</v>
      </c>
      <c r="H379" s="17" t="str">
        <f t="shared" si="14"/>
        <v>GAP UP</v>
      </c>
      <c r="I379" s="18">
        <f t="shared" si="9"/>
        <v>18239.66667</v>
      </c>
      <c r="J379" s="19">
        <f t="shared" si="10"/>
        <v>18444.33333</v>
      </c>
      <c r="K379" s="19"/>
      <c r="L379" s="19">
        <f t="shared" si="11"/>
        <v>17929.33333</v>
      </c>
      <c r="M379" s="19">
        <f t="shared" si="12"/>
        <v>18754.66667</v>
      </c>
      <c r="N379" s="19">
        <f t="shared" si="13"/>
        <v>17724.66667</v>
      </c>
    </row>
    <row r="380" ht="24.75" customHeight="1">
      <c r="A380" s="21" t="s">
        <v>343</v>
      </c>
      <c r="B380" s="13">
        <f>IFERROR(__xludf.DUMMYFUNCTION("GOOGLEFINANCE(A380,""PRICE"")"),1082.0)</f>
        <v>1082</v>
      </c>
      <c r="C380" s="14">
        <f>IFERROR(__xludf.DUMMYFUNCTION("GOOGLEFINANCE(A380,""PRICEOPEN"")"),1072.0)</f>
        <v>1072</v>
      </c>
      <c r="D380" s="14">
        <f>IFERROR(__xludf.DUMMYFUNCTION("GOOGLEFINANCE(A380,""HIGH"")"),1101.3)</f>
        <v>1101.3</v>
      </c>
      <c r="E380" s="14">
        <f>IFERROR(__xludf.DUMMYFUNCTION("GOOGLEFINANCE(A380,""LOW"")"),1052.7)</f>
        <v>1052.7</v>
      </c>
      <c r="F380" s="15" t="str">
        <f t="shared" si="8"/>
        <v/>
      </c>
      <c r="G380" s="16">
        <f>IFERROR(__xludf.DUMMYFUNCTION("GOOGLEFINANCE(A380,""CLOSEYEST"")"),1065.3)</f>
        <v>1065.3</v>
      </c>
      <c r="H380" s="17" t="str">
        <f t="shared" si="14"/>
        <v/>
      </c>
      <c r="I380" s="18">
        <f t="shared" si="9"/>
        <v>1073.1</v>
      </c>
      <c r="J380" s="19">
        <f t="shared" si="10"/>
        <v>1093.5</v>
      </c>
      <c r="K380" s="19"/>
      <c r="L380" s="19">
        <f t="shared" si="11"/>
        <v>1044.9</v>
      </c>
      <c r="M380" s="19">
        <f t="shared" si="12"/>
        <v>1121.7</v>
      </c>
      <c r="N380" s="19">
        <f t="shared" si="13"/>
        <v>1024.5</v>
      </c>
    </row>
    <row r="381" ht="24.75" customHeight="1">
      <c r="A381" s="21" t="s">
        <v>344</v>
      </c>
      <c r="B381" s="13">
        <f>IFERROR(__xludf.DUMMYFUNCTION("GOOGLEFINANCE(A381,""PRICE"")"),694.9)</f>
        <v>694.9</v>
      </c>
      <c r="C381" s="14">
        <f>IFERROR(__xludf.DUMMYFUNCTION("GOOGLEFINANCE(A381,""PRICEOPEN"")"),698.05)</f>
        <v>698.05</v>
      </c>
      <c r="D381" s="14">
        <f>IFERROR(__xludf.DUMMYFUNCTION("GOOGLEFINANCE(A381,""HIGH"")"),701.15)</f>
        <v>701.15</v>
      </c>
      <c r="E381" s="14">
        <f>IFERROR(__xludf.DUMMYFUNCTION("GOOGLEFINANCE(A381,""LOW"")"),686.65)</f>
        <v>686.65</v>
      </c>
      <c r="F381" s="15" t="str">
        <f t="shared" si="8"/>
        <v/>
      </c>
      <c r="G381" s="16">
        <f>IFERROR(__xludf.DUMMYFUNCTION("GOOGLEFINANCE(A381,""CLOSEYEST"")"),695.3)</f>
        <v>695.3</v>
      </c>
      <c r="H381" s="17" t="str">
        <f t="shared" si="14"/>
        <v/>
      </c>
      <c r="I381" s="18">
        <f t="shared" si="9"/>
        <v>694.3666667</v>
      </c>
      <c r="J381" s="19">
        <f t="shared" si="10"/>
        <v>702.0833333</v>
      </c>
      <c r="K381" s="19"/>
      <c r="L381" s="19">
        <f t="shared" si="11"/>
        <v>687.5833333</v>
      </c>
      <c r="M381" s="19">
        <f t="shared" si="12"/>
        <v>708.8666667</v>
      </c>
      <c r="N381" s="19">
        <f t="shared" si="13"/>
        <v>679.8666667</v>
      </c>
    </row>
    <row r="382" ht="24.75" customHeight="1">
      <c r="A382" s="21" t="s">
        <v>345</v>
      </c>
      <c r="B382" s="13" t="str">
        <f>IFERROR(__xludf.DUMMYFUNCTION("GOOGLEFINANCE(A382,""PRICE"")"),"#N/A")</f>
        <v>#N/A</v>
      </c>
      <c r="C382" s="14" t="str">
        <f>IFERROR(__xludf.DUMMYFUNCTION("GOOGLEFINANCE(A382,""PRICEOPEN"")"),"#N/A")</f>
        <v>#N/A</v>
      </c>
      <c r="D382" s="14" t="str">
        <f>IFERROR(__xludf.DUMMYFUNCTION("GOOGLEFINANCE(A382,""HIGH"")"),"#N/A")</f>
        <v>#N/A</v>
      </c>
      <c r="E382" s="14" t="str">
        <f>IFERROR(__xludf.DUMMYFUNCTION("GOOGLEFINANCE(A382,""LOW"")"),"#N/A")</f>
        <v>#N/A</v>
      </c>
      <c r="F382" s="15" t="str">
        <f t="shared" si="8"/>
        <v>#N/A</v>
      </c>
      <c r="G382" s="16" t="str">
        <f>IFERROR(__xludf.DUMMYFUNCTION("GOOGLEFINANCE(A382,""CLOSEYEST"")"),"#N/A")</f>
        <v>#N/A</v>
      </c>
      <c r="H382" s="17" t="str">
        <f t="shared" si="14"/>
        <v>#N/A</v>
      </c>
      <c r="I382" s="18" t="str">
        <f t="shared" si="9"/>
        <v>#N/A</v>
      </c>
      <c r="J382" s="19" t="str">
        <f t="shared" si="10"/>
        <v>#N/A</v>
      </c>
      <c r="K382" s="19"/>
      <c r="L382" s="19" t="str">
        <f t="shared" si="11"/>
        <v>#N/A</v>
      </c>
      <c r="M382" s="19" t="str">
        <f t="shared" si="12"/>
        <v>#N/A</v>
      </c>
      <c r="N382" s="19" t="str">
        <f t="shared" si="13"/>
        <v>#N/A</v>
      </c>
    </row>
    <row r="383" ht="24.75" customHeight="1">
      <c r="A383" s="21" t="s">
        <v>346</v>
      </c>
      <c r="B383" s="13">
        <f>IFERROR(__xludf.DUMMYFUNCTION("GOOGLEFINANCE(A383,""PRICE"")"),7.87)</f>
        <v>7.87</v>
      </c>
      <c r="C383" s="14">
        <f>IFERROR(__xludf.DUMMYFUNCTION("GOOGLEFINANCE(A383,""PRICEOPEN"")"),7.68)</f>
        <v>7.68</v>
      </c>
      <c r="D383" s="14">
        <f>IFERROR(__xludf.DUMMYFUNCTION("GOOGLEFINANCE(A383,""HIGH"")"),7.99)</f>
        <v>7.99</v>
      </c>
      <c r="E383" s="14">
        <f>IFERROR(__xludf.DUMMYFUNCTION("GOOGLEFINANCE(A383,""LOW"")"),7.68)</f>
        <v>7.68</v>
      </c>
      <c r="F383" s="15" t="str">
        <f t="shared" si="8"/>
        <v>BUY</v>
      </c>
      <c r="G383" s="16">
        <f>IFERROR(__xludf.DUMMYFUNCTION("GOOGLEFINANCE(A383,""CLOSEYEST"")"),7.68)</f>
        <v>7.68</v>
      </c>
      <c r="H383" s="17" t="str">
        <f t="shared" si="14"/>
        <v/>
      </c>
      <c r="I383" s="18">
        <f t="shared" si="9"/>
        <v>7.783333333</v>
      </c>
      <c r="J383" s="19">
        <f t="shared" si="10"/>
        <v>7.886666667</v>
      </c>
      <c r="K383" s="19"/>
      <c r="L383" s="19">
        <f t="shared" si="11"/>
        <v>7.576666667</v>
      </c>
      <c r="M383" s="19">
        <f t="shared" si="12"/>
        <v>8.093333333</v>
      </c>
      <c r="N383" s="19">
        <f t="shared" si="13"/>
        <v>7.473333333</v>
      </c>
    </row>
    <row r="384" ht="24.75" customHeight="1">
      <c r="A384" s="21" t="s">
        <v>347</v>
      </c>
      <c r="B384" s="13" t="str">
        <f>IFERROR(__xludf.DUMMYFUNCTION("GOOGLEFINANCE(A384,""PRICE"")"),"#N/A")</f>
        <v>#N/A</v>
      </c>
      <c r="C384" s="14" t="str">
        <f>IFERROR(__xludf.DUMMYFUNCTION("GOOGLEFINANCE(A384,""PRICEOPEN"")"),"#N/A")</f>
        <v>#N/A</v>
      </c>
      <c r="D384" s="14" t="str">
        <f>IFERROR(__xludf.DUMMYFUNCTION("GOOGLEFINANCE(A384,""HIGH"")"),"#N/A")</f>
        <v>#N/A</v>
      </c>
      <c r="E384" s="14" t="str">
        <f>IFERROR(__xludf.DUMMYFUNCTION("GOOGLEFINANCE(A384,""LOW"")"),"#N/A")</f>
        <v>#N/A</v>
      </c>
      <c r="F384" s="15" t="str">
        <f t="shared" si="8"/>
        <v>#N/A</v>
      </c>
      <c r="G384" s="16" t="str">
        <f>IFERROR(__xludf.DUMMYFUNCTION("GOOGLEFINANCE(A384,""CLOSEYEST"")"),"#N/A")</f>
        <v>#N/A</v>
      </c>
      <c r="H384" s="17" t="str">
        <f t="shared" si="14"/>
        <v>#N/A</v>
      </c>
      <c r="I384" s="18" t="str">
        <f t="shared" si="9"/>
        <v>#N/A</v>
      </c>
      <c r="J384" s="19" t="str">
        <f t="shared" si="10"/>
        <v>#N/A</v>
      </c>
      <c r="K384" s="19"/>
      <c r="L384" s="19" t="str">
        <f t="shared" si="11"/>
        <v>#N/A</v>
      </c>
      <c r="M384" s="19" t="str">
        <f t="shared" si="12"/>
        <v>#N/A</v>
      </c>
      <c r="N384" s="19" t="str">
        <f t="shared" si="13"/>
        <v>#N/A</v>
      </c>
    </row>
    <row r="385" ht="24.75" customHeight="1">
      <c r="A385" s="21" t="s">
        <v>348</v>
      </c>
      <c r="B385" s="13">
        <f>IFERROR(__xludf.DUMMYFUNCTION("GOOGLEFINANCE(A385,""PRICE"")"),558.0)</f>
        <v>558</v>
      </c>
      <c r="C385" s="14">
        <f>IFERROR(__xludf.DUMMYFUNCTION("GOOGLEFINANCE(A385,""PRICEOPEN"")"),548.65)</f>
        <v>548.65</v>
      </c>
      <c r="D385" s="14">
        <f>IFERROR(__xludf.DUMMYFUNCTION("GOOGLEFINANCE(A385,""HIGH"")"),558.05)</f>
        <v>558.05</v>
      </c>
      <c r="E385" s="14">
        <f>IFERROR(__xludf.DUMMYFUNCTION("GOOGLEFINANCE(A385,""LOW"")"),541.2)</f>
        <v>541.2</v>
      </c>
      <c r="F385" s="15" t="str">
        <f t="shared" si="8"/>
        <v/>
      </c>
      <c r="G385" s="16">
        <f>IFERROR(__xludf.DUMMYFUNCTION("GOOGLEFINANCE(A385,""CLOSEYEST"")"),548.65)</f>
        <v>548.65</v>
      </c>
      <c r="H385" s="17" t="str">
        <f t="shared" si="14"/>
        <v/>
      </c>
      <c r="I385" s="18">
        <f t="shared" si="9"/>
        <v>549.3</v>
      </c>
      <c r="J385" s="19">
        <f t="shared" si="10"/>
        <v>557.4</v>
      </c>
      <c r="K385" s="19"/>
      <c r="L385" s="19">
        <f t="shared" si="11"/>
        <v>540.55</v>
      </c>
      <c r="M385" s="19">
        <f t="shared" si="12"/>
        <v>566.15</v>
      </c>
      <c r="N385" s="19">
        <f t="shared" si="13"/>
        <v>532.45</v>
      </c>
    </row>
    <row r="386" ht="24.75" customHeight="1">
      <c r="A386" s="21" t="s">
        <v>349</v>
      </c>
      <c r="B386" s="13">
        <f>IFERROR(__xludf.DUMMYFUNCTION("GOOGLEFINANCE(A386,""PRICE"")"),472.5)</f>
        <v>472.5</v>
      </c>
      <c r="C386" s="14">
        <f>IFERROR(__xludf.DUMMYFUNCTION("GOOGLEFINANCE(A386,""PRICEOPEN"")"),475.3)</f>
        <v>475.3</v>
      </c>
      <c r="D386" s="14">
        <f>IFERROR(__xludf.DUMMYFUNCTION("GOOGLEFINANCE(A386,""HIGH"")"),477.55)</f>
        <v>477.55</v>
      </c>
      <c r="E386" s="14">
        <f>IFERROR(__xludf.DUMMYFUNCTION("GOOGLEFINANCE(A386,""LOW"")"),468.9)</f>
        <v>468.9</v>
      </c>
      <c r="F386" s="15" t="str">
        <f t="shared" si="8"/>
        <v/>
      </c>
      <c r="G386" s="16">
        <f>IFERROR(__xludf.DUMMYFUNCTION("GOOGLEFINANCE(A386,""CLOSEYEST"")"),472.95)</f>
        <v>472.95</v>
      </c>
      <c r="H386" s="17" t="str">
        <f t="shared" si="14"/>
        <v/>
      </c>
      <c r="I386" s="18">
        <f t="shared" si="9"/>
        <v>473.1333333</v>
      </c>
      <c r="J386" s="19">
        <f t="shared" si="10"/>
        <v>477.3666667</v>
      </c>
      <c r="K386" s="19"/>
      <c r="L386" s="19">
        <f t="shared" si="11"/>
        <v>468.7166667</v>
      </c>
      <c r="M386" s="19">
        <f t="shared" si="12"/>
        <v>481.7833333</v>
      </c>
      <c r="N386" s="19">
        <f t="shared" si="13"/>
        <v>464.4833333</v>
      </c>
    </row>
    <row r="387" ht="24.75" customHeight="1">
      <c r="A387" s="21" t="s">
        <v>350</v>
      </c>
      <c r="B387" s="13" t="str">
        <f>IFERROR(__xludf.DUMMYFUNCTION("GOOGLEFINANCE(A387,""PRICE"")"),"#N/A")</f>
        <v>#N/A</v>
      </c>
      <c r="C387" s="14" t="str">
        <f>IFERROR(__xludf.DUMMYFUNCTION("GOOGLEFINANCE(A387,""PRICEOPEN"")"),"#N/A")</f>
        <v>#N/A</v>
      </c>
      <c r="D387" s="14" t="str">
        <f>IFERROR(__xludf.DUMMYFUNCTION("GOOGLEFINANCE(A387,""HIGH"")"),"#N/A")</f>
        <v>#N/A</v>
      </c>
      <c r="E387" s="14" t="str">
        <f>IFERROR(__xludf.DUMMYFUNCTION("GOOGLEFINANCE(A387,""LOW"")"),"#N/A")</f>
        <v>#N/A</v>
      </c>
      <c r="F387" s="15" t="str">
        <f t="shared" si="8"/>
        <v>#N/A</v>
      </c>
      <c r="G387" s="16" t="str">
        <f>IFERROR(__xludf.DUMMYFUNCTION("GOOGLEFINANCE(A387,""CLOSEYEST"")"),"#N/A")</f>
        <v>#N/A</v>
      </c>
      <c r="H387" s="17" t="str">
        <f t="shared" si="14"/>
        <v>#N/A</v>
      </c>
      <c r="I387" s="18" t="str">
        <f t="shared" si="9"/>
        <v>#N/A</v>
      </c>
      <c r="J387" s="19" t="str">
        <f t="shared" si="10"/>
        <v>#N/A</v>
      </c>
      <c r="K387" s="19"/>
      <c r="L387" s="19" t="str">
        <f t="shared" si="11"/>
        <v>#N/A</v>
      </c>
      <c r="M387" s="19" t="str">
        <f t="shared" si="12"/>
        <v>#N/A</v>
      </c>
      <c r="N387" s="19" t="str">
        <f t="shared" si="13"/>
        <v>#N/A</v>
      </c>
    </row>
    <row r="388" ht="24.75" customHeight="1">
      <c r="A388" s="21" t="s">
        <v>351</v>
      </c>
      <c r="B388" s="13">
        <f>IFERROR(__xludf.DUMMYFUNCTION("GOOGLEFINANCE(A388,""PRICE"")"),1599.0)</f>
        <v>1599</v>
      </c>
      <c r="C388" s="14">
        <f>IFERROR(__xludf.DUMMYFUNCTION("GOOGLEFINANCE(A388,""PRICEOPEN"")"),1625.0)</f>
        <v>1625</v>
      </c>
      <c r="D388" s="14">
        <f>IFERROR(__xludf.DUMMYFUNCTION("GOOGLEFINANCE(A388,""HIGH"")"),1637.0)</f>
        <v>1637</v>
      </c>
      <c r="E388" s="14">
        <f>IFERROR(__xludf.DUMMYFUNCTION("GOOGLEFINANCE(A388,""LOW"")"),1587.6)</f>
        <v>1587.6</v>
      </c>
      <c r="F388" s="15" t="str">
        <f t="shared" si="8"/>
        <v/>
      </c>
      <c r="G388" s="16">
        <f>IFERROR(__xludf.DUMMYFUNCTION("GOOGLEFINANCE(A388,""CLOSEYEST"")"),1624.9)</f>
        <v>1624.9</v>
      </c>
      <c r="H388" s="17" t="str">
        <f t="shared" si="14"/>
        <v/>
      </c>
      <c r="I388" s="18">
        <f t="shared" si="9"/>
        <v>1616.5</v>
      </c>
      <c r="J388" s="19">
        <f t="shared" si="10"/>
        <v>1645.4</v>
      </c>
      <c r="K388" s="19"/>
      <c r="L388" s="19">
        <f t="shared" si="11"/>
        <v>1596</v>
      </c>
      <c r="M388" s="19">
        <f t="shared" si="12"/>
        <v>1665.9</v>
      </c>
      <c r="N388" s="19">
        <f t="shared" si="13"/>
        <v>1567.1</v>
      </c>
    </row>
    <row r="389" ht="24.75" customHeight="1">
      <c r="A389" s="21" t="s">
        <v>352</v>
      </c>
      <c r="B389" s="13">
        <f>IFERROR(__xludf.DUMMYFUNCTION("GOOGLEFINANCE(A389,""PRICE"")"),983.75)</f>
        <v>983.75</v>
      </c>
      <c r="C389" s="14">
        <f>IFERROR(__xludf.DUMMYFUNCTION("GOOGLEFINANCE(A389,""PRICEOPEN"")"),984.85)</f>
        <v>984.85</v>
      </c>
      <c r="D389" s="14">
        <f>IFERROR(__xludf.DUMMYFUNCTION("GOOGLEFINANCE(A389,""HIGH"")"),995.35)</f>
        <v>995.35</v>
      </c>
      <c r="E389" s="14">
        <f>IFERROR(__xludf.DUMMYFUNCTION("GOOGLEFINANCE(A389,""LOW"")"),967.6)</f>
        <v>967.6</v>
      </c>
      <c r="F389" s="15" t="str">
        <f t="shared" si="8"/>
        <v/>
      </c>
      <c r="G389" s="16">
        <f>IFERROR(__xludf.DUMMYFUNCTION("GOOGLEFINANCE(A389,""CLOSEYEST"")"),976.2)</f>
        <v>976.2</v>
      </c>
      <c r="H389" s="17" t="str">
        <f t="shared" si="14"/>
        <v/>
      </c>
      <c r="I389" s="18">
        <f t="shared" si="9"/>
        <v>979.7166667</v>
      </c>
      <c r="J389" s="19">
        <f t="shared" si="10"/>
        <v>991.8333333</v>
      </c>
      <c r="K389" s="19"/>
      <c r="L389" s="19">
        <f t="shared" si="11"/>
        <v>964.0833333</v>
      </c>
      <c r="M389" s="19">
        <f t="shared" si="12"/>
        <v>1007.466667</v>
      </c>
      <c r="N389" s="19">
        <f t="shared" si="13"/>
        <v>951.9666667</v>
      </c>
    </row>
    <row r="390" ht="24.75" customHeight="1">
      <c r="A390" s="21" t="s">
        <v>353</v>
      </c>
      <c r="B390" s="13">
        <f>IFERROR(__xludf.DUMMYFUNCTION("GOOGLEFINANCE(A390,""PRICE"")"),1084.0)</f>
        <v>1084</v>
      </c>
      <c r="C390" s="14">
        <f>IFERROR(__xludf.DUMMYFUNCTION("GOOGLEFINANCE(A390,""PRICEOPEN"")"),1072.6)</f>
        <v>1072.6</v>
      </c>
      <c r="D390" s="14">
        <f>IFERROR(__xludf.DUMMYFUNCTION("GOOGLEFINANCE(A390,""HIGH"")"),1103.3)</f>
        <v>1103.3</v>
      </c>
      <c r="E390" s="14">
        <f>IFERROR(__xludf.DUMMYFUNCTION("GOOGLEFINANCE(A390,""LOW"")"),1065.7)</f>
        <v>1065.7</v>
      </c>
      <c r="F390" s="15" t="str">
        <f t="shared" si="8"/>
        <v/>
      </c>
      <c r="G390" s="16">
        <f>IFERROR(__xludf.DUMMYFUNCTION("GOOGLEFINANCE(A390,""CLOSEYEST"")"),1072.6)</f>
        <v>1072.6</v>
      </c>
      <c r="H390" s="17" t="str">
        <f t="shared" si="14"/>
        <v/>
      </c>
      <c r="I390" s="18">
        <f t="shared" si="9"/>
        <v>1080.533333</v>
      </c>
      <c r="J390" s="19">
        <f t="shared" si="10"/>
        <v>1095.366667</v>
      </c>
      <c r="K390" s="19"/>
      <c r="L390" s="19">
        <f t="shared" si="11"/>
        <v>1057.766667</v>
      </c>
      <c r="M390" s="19">
        <f t="shared" si="12"/>
        <v>1118.133333</v>
      </c>
      <c r="N390" s="19">
        <f t="shared" si="13"/>
        <v>1042.933333</v>
      </c>
    </row>
    <row r="391" ht="24.75" customHeight="1">
      <c r="A391" s="21" t="s">
        <v>354</v>
      </c>
      <c r="B391" s="13">
        <f>IFERROR(__xludf.DUMMYFUNCTION("GOOGLEFINANCE(A391,""PRICE"")"),3928.4)</f>
        <v>3928.4</v>
      </c>
      <c r="C391" s="14">
        <f>IFERROR(__xludf.DUMMYFUNCTION("GOOGLEFINANCE(A391,""PRICEOPEN"")"),3989.8)</f>
        <v>3989.8</v>
      </c>
      <c r="D391" s="14">
        <f>IFERROR(__xludf.DUMMYFUNCTION("GOOGLEFINANCE(A391,""HIGH"")"),4038.9)</f>
        <v>4038.9</v>
      </c>
      <c r="E391" s="14">
        <f>IFERROR(__xludf.DUMMYFUNCTION("GOOGLEFINANCE(A391,""LOW"")"),3906.0)</f>
        <v>3906</v>
      </c>
      <c r="F391" s="15" t="str">
        <f t="shared" si="8"/>
        <v/>
      </c>
      <c r="G391" s="16">
        <f>IFERROR(__xludf.DUMMYFUNCTION("GOOGLEFINANCE(A391,""CLOSEYEST"")"),3973.5)</f>
        <v>3973.5</v>
      </c>
      <c r="H391" s="17" t="str">
        <f t="shared" si="14"/>
        <v/>
      </c>
      <c r="I391" s="18">
        <f t="shared" si="9"/>
        <v>3972.8</v>
      </c>
      <c r="J391" s="19">
        <f t="shared" si="10"/>
        <v>4039.6</v>
      </c>
      <c r="K391" s="19"/>
      <c r="L391" s="19">
        <f t="shared" si="11"/>
        <v>3906.7</v>
      </c>
      <c r="M391" s="19">
        <f t="shared" si="12"/>
        <v>4105.7</v>
      </c>
      <c r="N391" s="19">
        <f t="shared" si="13"/>
        <v>3839.9</v>
      </c>
    </row>
    <row r="392" ht="24.75" customHeight="1">
      <c r="A392" s="21" t="s">
        <v>355</v>
      </c>
      <c r="B392" s="13">
        <f>IFERROR(__xludf.DUMMYFUNCTION("GOOGLEFINANCE(A392,""PRICE"")"),386.7)</f>
        <v>386.7</v>
      </c>
      <c r="C392" s="14">
        <f>IFERROR(__xludf.DUMMYFUNCTION("GOOGLEFINANCE(A392,""PRICEOPEN"")"),388.7)</f>
        <v>388.7</v>
      </c>
      <c r="D392" s="14">
        <f>IFERROR(__xludf.DUMMYFUNCTION("GOOGLEFINANCE(A392,""HIGH"")"),390.95)</f>
        <v>390.95</v>
      </c>
      <c r="E392" s="14">
        <f>IFERROR(__xludf.DUMMYFUNCTION("GOOGLEFINANCE(A392,""LOW"")"),378.85)</f>
        <v>378.85</v>
      </c>
      <c r="F392" s="15" t="str">
        <f t="shared" si="8"/>
        <v/>
      </c>
      <c r="G392" s="16">
        <f>IFERROR(__xludf.DUMMYFUNCTION("GOOGLEFINANCE(A392,""CLOSEYEST"")"),386.8)</f>
        <v>386.8</v>
      </c>
      <c r="H392" s="17" t="str">
        <f t="shared" si="14"/>
        <v/>
      </c>
      <c r="I392" s="18">
        <f t="shared" si="9"/>
        <v>385.5333333</v>
      </c>
      <c r="J392" s="19">
        <f t="shared" si="10"/>
        <v>392.2166667</v>
      </c>
      <c r="K392" s="19"/>
      <c r="L392" s="19">
        <f t="shared" si="11"/>
        <v>380.1166667</v>
      </c>
      <c r="M392" s="19">
        <f t="shared" si="12"/>
        <v>397.6333333</v>
      </c>
      <c r="N392" s="19">
        <f t="shared" si="13"/>
        <v>373.4333333</v>
      </c>
    </row>
    <row r="393" ht="24.75" customHeight="1">
      <c r="A393" s="21" t="s">
        <v>356</v>
      </c>
      <c r="B393" s="13">
        <f>IFERROR(__xludf.DUMMYFUNCTION("GOOGLEFINANCE(A393,""PRICE"")"),669.0)</f>
        <v>669</v>
      </c>
      <c r="C393" s="14">
        <f>IFERROR(__xludf.DUMMYFUNCTION("GOOGLEFINANCE(A393,""PRICEOPEN"")"),649.85)</f>
        <v>649.85</v>
      </c>
      <c r="D393" s="14">
        <f>IFERROR(__xludf.DUMMYFUNCTION("GOOGLEFINANCE(A393,""HIGH"")"),670.3)</f>
        <v>670.3</v>
      </c>
      <c r="E393" s="14">
        <f>IFERROR(__xludf.DUMMYFUNCTION("GOOGLEFINANCE(A393,""LOW"")"),648.0)</f>
        <v>648</v>
      </c>
      <c r="F393" s="15" t="str">
        <f t="shared" si="8"/>
        <v/>
      </c>
      <c r="G393" s="16">
        <f>IFERROR(__xludf.DUMMYFUNCTION("GOOGLEFINANCE(A393,""CLOSEYEST"")"),649.65)</f>
        <v>649.65</v>
      </c>
      <c r="H393" s="17" t="str">
        <f t="shared" si="14"/>
        <v/>
      </c>
      <c r="I393" s="18">
        <f t="shared" si="9"/>
        <v>655.9833333</v>
      </c>
      <c r="J393" s="19">
        <f t="shared" si="10"/>
        <v>663.9666667</v>
      </c>
      <c r="K393" s="19"/>
      <c r="L393" s="19">
        <f t="shared" si="11"/>
        <v>641.6666667</v>
      </c>
      <c r="M393" s="19">
        <f t="shared" si="12"/>
        <v>678.2833333</v>
      </c>
      <c r="N393" s="19">
        <f t="shared" si="13"/>
        <v>633.6833333</v>
      </c>
    </row>
    <row r="394" ht="24.75" customHeight="1">
      <c r="A394" s="21" t="s">
        <v>357</v>
      </c>
      <c r="B394" s="13">
        <f>IFERROR(__xludf.DUMMYFUNCTION("GOOGLEFINANCE(A394,""PRICE"")"),368.0)</f>
        <v>368</v>
      </c>
      <c r="C394" s="14">
        <f>IFERROR(__xludf.DUMMYFUNCTION("GOOGLEFINANCE(A394,""PRICEOPEN"")"),371.0)</f>
        <v>371</v>
      </c>
      <c r="D394" s="14">
        <f>IFERROR(__xludf.DUMMYFUNCTION("GOOGLEFINANCE(A394,""HIGH"")"),371.55)</f>
        <v>371.55</v>
      </c>
      <c r="E394" s="14">
        <f>IFERROR(__xludf.DUMMYFUNCTION("GOOGLEFINANCE(A394,""LOW"")"),362.75)</f>
        <v>362.75</v>
      </c>
      <c r="F394" s="15" t="str">
        <f t="shared" si="8"/>
        <v/>
      </c>
      <c r="G394" s="16">
        <f>IFERROR(__xludf.DUMMYFUNCTION("GOOGLEFINANCE(A394,""CLOSEYEST"")"),370.1)</f>
        <v>370.1</v>
      </c>
      <c r="H394" s="17" t="str">
        <f t="shared" si="14"/>
        <v/>
      </c>
      <c r="I394" s="18">
        <f t="shared" si="9"/>
        <v>368.1333333</v>
      </c>
      <c r="J394" s="19">
        <f t="shared" si="10"/>
        <v>373.5166667</v>
      </c>
      <c r="K394" s="19"/>
      <c r="L394" s="19">
        <f t="shared" si="11"/>
        <v>364.7166667</v>
      </c>
      <c r="M394" s="19">
        <f t="shared" si="12"/>
        <v>376.9333333</v>
      </c>
      <c r="N394" s="19">
        <f t="shared" si="13"/>
        <v>359.3333333</v>
      </c>
    </row>
    <row r="395" ht="24.75" customHeight="1">
      <c r="A395" s="21" t="s">
        <v>358</v>
      </c>
      <c r="B395" s="13">
        <f>IFERROR(__xludf.DUMMYFUNCTION("GOOGLEFINANCE(A395,""PRICE"")"),783.2)</f>
        <v>783.2</v>
      </c>
      <c r="C395" s="14">
        <f>IFERROR(__xludf.DUMMYFUNCTION("GOOGLEFINANCE(A395,""PRICEOPEN"")"),766.0)</f>
        <v>766</v>
      </c>
      <c r="D395" s="14">
        <f>IFERROR(__xludf.DUMMYFUNCTION("GOOGLEFINANCE(A395,""HIGH"")"),794.0)</f>
        <v>794</v>
      </c>
      <c r="E395" s="14">
        <f>IFERROR(__xludf.DUMMYFUNCTION("GOOGLEFINANCE(A395,""LOW"")"),760.95)</f>
        <v>760.95</v>
      </c>
      <c r="F395" s="15" t="str">
        <f t="shared" si="8"/>
        <v/>
      </c>
      <c r="G395" s="16">
        <f>IFERROR(__xludf.DUMMYFUNCTION("GOOGLEFINANCE(A395,""CLOSEYEST"")"),762.4)</f>
        <v>762.4</v>
      </c>
      <c r="H395" s="17" t="str">
        <f t="shared" si="14"/>
        <v/>
      </c>
      <c r="I395" s="18">
        <f t="shared" si="9"/>
        <v>772.45</v>
      </c>
      <c r="J395" s="19">
        <f t="shared" si="10"/>
        <v>783.95</v>
      </c>
      <c r="K395" s="19"/>
      <c r="L395" s="19">
        <f t="shared" si="11"/>
        <v>750.9</v>
      </c>
      <c r="M395" s="19">
        <f t="shared" si="12"/>
        <v>805.5</v>
      </c>
      <c r="N395" s="19">
        <f t="shared" si="13"/>
        <v>739.4</v>
      </c>
    </row>
    <row r="396" ht="24.75" customHeight="1">
      <c r="A396" s="21" t="s">
        <v>359</v>
      </c>
      <c r="B396" s="13">
        <f>IFERROR(__xludf.DUMMYFUNCTION("GOOGLEFINANCE(A396,""PRICE"")"),1899.0)</f>
        <v>1899</v>
      </c>
      <c r="C396" s="14">
        <f>IFERROR(__xludf.DUMMYFUNCTION("GOOGLEFINANCE(A396,""PRICEOPEN"")"),1877.8)</f>
        <v>1877.8</v>
      </c>
      <c r="D396" s="14">
        <f>IFERROR(__xludf.DUMMYFUNCTION("GOOGLEFINANCE(A396,""HIGH"")"),1900.1)</f>
        <v>1900.1</v>
      </c>
      <c r="E396" s="14">
        <f>IFERROR(__xludf.DUMMYFUNCTION("GOOGLEFINANCE(A396,""LOW"")"),1862.1)</f>
        <v>1862.1</v>
      </c>
      <c r="F396" s="15" t="str">
        <f t="shared" si="8"/>
        <v/>
      </c>
      <c r="G396" s="16">
        <f>IFERROR(__xludf.DUMMYFUNCTION("GOOGLEFINANCE(A396,""CLOSEYEST"")"),1877.8)</f>
        <v>1877.8</v>
      </c>
      <c r="H396" s="17" t="str">
        <f t="shared" si="14"/>
        <v/>
      </c>
      <c r="I396" s="18">
        <f t="shared" si="9"/>
        <v>1880</v>
      </c>
      <c r="J396" s="19">
        <f t="shared" si="10"/>
        <v>1897.9</v>
      </c>
      <c r="K396" s="19"/>
      <c r="L396" s="19">
        <f t="shared" si="11"/>
        <v>1859.9</v>
      </c>
      <c r="M396" s="19">
        <f t="shared" si="12"/>
        <v>1918</v>
      </c>
      <c r="N396" s="19">
        <f t="shared" si="13"/>
        <v>1842</v>
      </c>
    </row>
    <row r="397" ht="24.75" customHeight="1">
      <c r="A397" s="21" t="s">
        <v>360</v>
      </c>
      <c r="B397" s="13">
        <f>IFERROR(__xludf.DUMMYFUNCTION("GOOGLEFINANCE(A397,""PRICE"")"),52.34)</f>
        <v>52.34</v>
      </c>
      <c r="C397" s="14">
        <f>IFERROR(__xludf.DUMMYFUNCTION("GOOGLEFINANCE(A397,""PRICEOPEN"")"),52.15)</f>
        <v>52.15</v>
      </c>
      <c r="D397" s="14">
        <f>IFERROR(__xludf.DUMMYFUNCTION("GOOGLEFINANCE(A397,""HIGH"")"),52.55)</f>
        <v>52.55</v>
      </c>
      <c r="E397" s="14">
        <f>IFERROR(__xludf.DUMMYFUNCTION("GOOGLEFINANCE(A397,""LOW"")"),51.9)</f>
        <v>51.9</v>
      </c>
      <c r="F397" s="15" t="str">
        <f t="shared" si="8"/>
        <v/>
      </c>
      <c r="G397" s="16">
        <f>IFERROR(__xludf.DUMMYFUNCTION("GOOGLEFINANCE(A397,""CLOSEYEST"")"),52.1)</f>
        <v>52.1</v>
      </c>
      <c r="H397" s="17" t="str">
        <f t="shared" si="14"/>
        <v/>
      </c>
      <c r="I397" s="18">
        <f t="shared" si="9"/>
        <v>52.18333333</v>
      </c>
      <c r="J397" s="19">
        <f t="shared" si="10"/>
        <v>52.46666667</v>
      </c>
      <c r="K397" s="19"/>
      <c r="L397" s="19">
        <f t="shared" si="11"/>
        <v>51.81666667</v>
      </c>
      <c r="M397" s="19">
        <f t="shared" si="12"/>
        <v>52.83333333</v>
      </c>
      <c r="N397" s="19">
        <f t="shared" si="13"/>
        <v>51.53333333</v>
      </c>
    </row>
    <row r="398" ht="24.75" customHeight="1">
      <c r="A398" s="21" t="s">
        <v>361</v>
      </c>
      <c r="B398" s="13" t="str">
        <f>IFERROR(__xludf.DUMMYFUNCTION("GOOGLEFINANCE(A398,""PRICE"")"),"#N/A")</f>
        <v>#N/A</v>
      </c>
      <c r="C398" s="14" t="str">
        <f>IFERROR(__xludf.DUMMYFUNCTION("GOOGLEFINANCE(A398,""PRICEOPEN"")"),"#N/A")</f>
        <v>#N/A</v>
      </c>
      <c r="D398" s="14" t="str">
        <f>IFERROR(__xludf.DUMMYFUNCTION("GOOGLEFINANCE(A398,""HIGH"")"),"#N/A")</f>
        <v>#N/A</v>
      </c>
      <c r="E398" s="14" t="str">
        <f>IFERROR(__xludf.DUMMYFUNCTION("GOOGLEFINANCE(A398,""LOW"")"),"#N/A")</f>
        <v>#N/A</v>
      </c>
      <c r="F398" s="15" t="str">
        <f t="shared" si="8"/>
        <v>#N/A</v>
      </c>
      <c r="G398" s="16" t="str">
        <f>IFERROR(__xludf.DUMMYFUNCTION("GOOGLEFINANCE(A398,""CLOSEYEST"")"),"#N/A")</f>
        <v>#N/A</v>
      </c>
      <c r="H398" s="17" t="str">
        <f t="shared" si="14"/>
        <v>#N/A</v>
      </c>
      <c r="I398" s="18" t="str">
        <f t="shared" si="9"/>
        <v>#N/A</v>
      </c>
      <c r="J398" s="19" t="str">
        <f t="shared" si="10"/>
        <v>#N/A</v>
      </c>
      <c r="K398" s="19"/>
      <c r="L398" s="19" t="str">
        <f t="shared" si="11"/>
        <v>#N/A</v>
      </c>
      <c r="M398" s="19" t="str">
        <f t="shared" si="12"/>
        <v>#N/A</v>
      </c>
      <c r="N398" s="19" t="str">
        <f t="shared" si="13"/>
        <v>#N/A</v>
      </c>
    </row>
    <row r="399" ht="24.75" customHeight="1">
      <c r="A399" s="21" t="s">
        <v>362</v>
      </c>
      <c r="B399" s="13">
        <f>IFERROR(__xludf.DUMMYFUNCTION("GOOGLEFINANCE(A399,""PRICE"")"),2200.0)</f>
        <v>2200</v>
      </c>
      <c r="C399" s="14">
        <f>IFERROR(__xludf.DUMMYFUNCTION("GOOGLEFINANCE(A399,""PRICEOPEN"")"),2208.8)</f>
        <v>2208.8</v>
      </c>
      <c r="D399" s="14">
        <f>IFERROR(__xludf.DUMMYFUNCTION("GOOGLEFINANCE(A399,""HIGH"")"),2216.5)</f>
        <v>2216.5</v>
      </c>
      <c r="E399" s="14">
        <f>IFERROR(__xludf.DUMMYFUNCTION("GOOGLEFINANCE(A399,""LOW"")"),2186.6)</f>
        <v>2186.6</v>
      </c>
      <c r="F399" s="15" t="str">
        <f t="shared" si="8"/>
        <v/>
      </c>
      <c r="G399" s="16">
        <f>IFERROR(__xludf.DUMMYFUNCTION("GOOGLEFINANCE(A399,""CLOSEYEST"")"),2208.8)</f>
        <v>2208.8</v>
      </c>
      <c r="H399" s="17" t="str">
        <f t="shared" si="14"/>
        <v/>
      </c>
      <c r="I399" s="18">
        <f t="shared" si="9"/>
        <v>2203.966667</v>
      </c>
      <c r="J399" s="19">
        <f t="shared" si="10"/>
        <v>2221.333333</v>
      </c>
      <c r="K399" s="19"/>
      <c r="L399" s="19">
        <f t="shared" si="11"/>
        <v>2191.433333</v>
      </c>
      <c r="M399" s="19">
        <f t="shared" si="12"/>
        <v>2233.866667</v>
      </c>
      <c r="N399" s="19">
        <f t="shared" si="13"/>
        <v>2174.066667</v>
      </c>
    </row>
    <row r="400" ht="24.75" customHeight="1">
      <c r="A400" s="21" t="s">
        <v>363</v>
      </c>
      <c r="B400" s="13">
        <f>IFERROR(__xludf.DUMMYFUNCTION("GOOGLEFINANCE(A400,""PRICE"")"),32.1)</f>
        <v>32.1</v>
      </c>
      <c r="C400" s="14">
        <f>IFERROR(__xludf.DUMMYFUNCTION("GOOGLEFINANCE(A400,""PRICEOPEN"")"),32.01)</f>
        <v>32.01</v>
      </c>
      <c r="D400" s="14">
        <f>IFERROR(__xludf.DUMMYFUNCTION("GOOGLEFINANCE(A400,""HIGH"")"),32.36)</f>
        <v>32.36</v>
      </c>
      <c r="E400" s="14">
        <f>IFERROR(__xludf.DUMMYFUNCTION("GOOGLEFINANCE(A400,""LOW"")"),31.83)</f>
        <v>31.83</v>
      </c>
      <c r="F400" s="15" t="str">
        <f t="shared" si="8"/>
        <v/>
      </c>
      <c r="G400" s="16">
        <f>IFERROR(__xludf.DUMMYFUNCTION("GOOGLEFINANCE(A400,""CLOSEYEST"")"),32.04)</f>
        <v>32.04</v>
      </c>
      <c r="H400" s="17" t="str">
        <f t="shared" si="14"/>
        <v/>
      </c>
      <c r="I400" s="18">
        <f t="shared" si="9"/>
        <v>32.07666667</v>
      </c>
      <c r="J400" s="19">
        <f t="shared" si="10"/>
        <v>32.32333333</v>
      </c>
      <c r="K400" s="19"/>
      <c r="L400" s="19">
        <f t="shared" si="11"/>
        <v>31.79333333</v>
      </c>
      <c r="M400" s="19">
        <f t="shared" si="12"/>
        <v>32.60666667</v>
      </c>
      <c r="N400" s="19">
        <f t="shared" si="13"/>
        <v>31.54666667</v>
      </c>
    </row>
    <row r="401" ht="24.75" customHeight="1">
      <c r="A401" s="21" t="s">
        <v>364</v>
      </c>
      <c r="B401" s="13">
        <f>IFERROR(__xludf.DUMMYFUNCTION("GOOGLEFINANCE(A401,""PRICE"")"),113.08)</f>
        <v>113.08</v>
      </c>
      <c r="C401" s="14">
        <f>IFERROR(__xludf.DUMMYFUNCTION("GOOGLEFINANCE(A401,""PRICEOPEN"")"),109.81)</f>
        <v>109.81</v>
      </c>
      <c r="D401" s="14">
        <f>IFERROR(__xludf.DUMMYFUNCTION("GOOGLEFINANCE(A401,""HIGH"")"),113.6)</f>
        <v>113.6</v>
      </c>
      <c r="E401" s="14">
        <f>IFERROR(__xludf.DUMMYFUNCTION("GOOGLEFINANCE(A401,""LOW"")"),109.21)</f>
        <v>109.21</v>
      </c>
      <c r="F401" s="15" t="str">
        <f t="shared" si="8"/>
        <v/>
      </c>
      <c r="G401" s="16">
        <f>IFERROR(__xludf.DUMMYFUNCTION("GOOGLEFINANCE(A401,""CLOSEYEST"")"),109.48)</f>
        <v>109.48</v>
      </c>
      <c r="H401" s="17" t="str">
        <f t="shared" si="14"/>
        <v/>
      </c>
      <c r="I401" s="18">
        <f t="shared" si="9"/>
        <v>110.7633333</v>
      </c>
      <c r="J401" s="19">
        <f t="shared" si="10"/>
        <v>112.3166667</v>
      </c>
      <c r="K401" s="19"/>
      <c r="L401" s="19">
        <f t="shared" si="11"/>
        <v>107.9266667</v>
      </c>
      <c r="M401" s="19">
        <f t="shared" si="12"/>
        <v>115.1533333</v>
      </c>
      <c r="N401" s="19">
        <f t="shared" si="13"/>
        <v>106.3733333</v>
      </c>
    </row>
    <row r="402" ht="24.75" customHeight="1">
      <c r="A402" s="21" t="s">
        <v>365</v>
      </c>
      <c r="B402" s="13" t="str">
        <f>IFERROR(__xludf.DUMMYFUNCTION("GOOGLEFINANCE(A402,""PRICE"")"),"#N/A")</f>
        <v>#N/A</v>
      </c>
      <c r="C402" s="14" t="str">
        <f>IFERROR(__xludf.DUMMYFUNCTION("GOOGLEFINANCE(A402,""PRICEOPEN"")"),"#N/A")</f>
        <v>#N/A</v>
      </c>
      <c r="D402" s="14" t="str">
        <f>IFERROR(__xludf.DUMMYFUNCTION("GOOGLEFINANCE(A402,""HIGH"")"),"#N/A")</f>
        <v>#N/A</v>
      </c>
      <c r="E402" s="14" t="str">
        <f>IFERROR(__xludf.DUMMYFUNCTION("GOOGLEFINANCE(A402,""LOW"")"),"#N/A")</f>
        <v>#N/A</v>
      </c>
      <c r="F402" s="15" t="str">
        <f t="shared" si="8"/>
        <v>#N/A</v>
      </c>
      <c r="G402" s="16" t="str">
        <f>IFERROR(__xludf.DUMMYFUNCTION("GOOGLEFINANCE(A402,""CLOSEYEST"")"),"#N/A")</f>
        <v>#N/A</v>
      </c>
      <c r="H402" s="17" t="str">
        <f t="shared" si="14"/>
        <v>#N/A</v>
      </c>
      <c r="I402" s="18" t="str">
        <f t="shared" si="9"/>
        <v>#N/A</v>
      </c>
      <c r="J402" s="19" t="str">
        <f t="shared" si="10"/>
        <v>#N/A</v>
      </c>
      <c r="K402" s="19"/>
      <c r="L402" s="19" t="str">
        <f t="shared" si="11"/>
        <v>#N/A</v>
      </c>
      <c r="M402" s="19" t="str">
        <f t="shared" si="12"/>
        <v>#N/A</v>
      </c>
      <c r="N402" s="19" t="str">
        <f t="shared" si="13"/>
        <v>#N/A</v>
      </c>
    </row>
    <row r="403" ht="24.75" customHeight="1">
      <c r="A403" s="21" t="s">
        <v>366</v>
      </c>
      <c r="B403" s="13">
        <f>IFERROR(__xludf.DUMMYFUNCTION("GOOGLEFINANCE(A403,""PRICE"")"),643.0)</f>
        <v>643</v>
      </c>
      <c r="C403" s="14">
        <f>IFERROR(__xludf.DUMMYFUNCTION("GOOGLEFINANCE(A403,""PRICEOPEN"")"),629.75)</f>
        <v>629.75</v>
      </c>
      <c r="D403" s="14">
        <f>IFERROR(__xludf.DUMMYFUNCTION("GOOGLEFINANCE(A403,""HIGH"")"),647.9)</f>
        <v>647.9</v>
      </c>
      <c r="E403" s="14">
        <f>IFERROR(__xludf.DUMMYFUNCTION("GOOGLEFINANCE(A403,""LOW"")"),626.55)</f>
        <v>626.55</v>
      </c>
      <c r="F403" s="15" t="str">
        <f t="shared" si="8"/>
        <v/>
      </c>
      <c r="G403" s="16">
        <f>IFERROR(__xludf.DUMMYFUNCTION("GOOGLEFINANCE(A403,""CLOSEYEST"")"),630.85)</f>
        <v>630.85</v>
      </c>
      <c r="H403" s="17" t="str">
        <f t="shared" si="14"/>
        <v/>
      </c>
      <c r="I403" s="18">
        <f t="shared" si="9"/>
        <v>635.1</v>
      </c>
      <c r="J403" s="19">
        <f t="shared" si="10"/>
        <v>643.65</v>
      </c>
      <c r="K403" s="19"/>
      <c r="L403" s="19">
        <f t="shared" si="11"/>
        <v>622.3</v>
      </c>
      <c r="M403" s="19">
        <f t="shared" si="12"/>
        <v>656.45</v>
      </c>
      <c r="N403" s="19">
        <f t="shared" si="13"/>
        <v>613.75</v>
      </c>
    </row>
    <row r="404" ht="24.75" customHeight="1">
      <c r="A404" s="21" t="s">
        <v>367</v>
      </c>
      <c r="B404" s="13">
        <f>IFERROR(__xludf.DUMMYFUNCTION("GOOGLEFINANCE(A404,""PRICE"")"),350.15)</f>
        <v>350.15</v>
      </c>
      <c r="C404" s="14">
        <f>IFERROR(__xludf.DUMMYFUNCTION("GOOGLEFINANCE(A404,""PRICEOPEN"")"),348.7)</f>
        <v>348.7</v>
      </c>
      <c r="D404" s="14">
        <f>IFERROR(__xludf.DUMMYFUNCTION("GOOGLEFINANCE(A404,""HIGH"")"),351.55)</f>
        <v>351.55</v>
      </c>
      <c r="E404" s="14">
        <f>IFERROR(__xludf.DUMMYFUNCTION("GOOGLEFINANCE(A404,""LOW"")"),346.5)</f>
        <v>346.5</v>
      </c>
      <c r="F404" s="15" t="str">
        <f t="shared" si="8"/>
        <v/>
      </c>
      <c r="G404" s="16">
        <f>IFERROR(__xludf.DUMMYFUNCTION("GOOGLEFINANCE(A404,""CLOSEYEST"")"),348.3)</f>
        <v>348.3</v>
      </c>
      <c r="H404" s="17" t="str">
        <f t="shared" si="14"/>
        <v/>
      </c>
      <c r="I404" s="18">
        <f t="shared" si="9"/>
        <v>348.7833333</v>
      </c>
      <c r="J404" s="19">
        <f t="shared" si="10"/>
        <v>351.0666667</v>
      </c>
      <c r="K404" s="19"/>
      <c r="L404" s="19">
        <f t="shared" si="11"/>
        <v>346.0166667</v>
      </c>
      <c r="M404" s="19">
        <f t="shared" si="12"/>
        <v>353.8333333</v>
      </c>
      <c r="N404" s="19">
        <f t="shared" si="13"/>
        <v>343.7333333</v>
      </c>
    </row>
    <row r="405" ht="24.75" customHeight="1">
      <c r="A405" s="21" t="s">
        <v>368</v>
      </c>
      <c r="B405" s="13">
        <f>IFERROR(__xludf.DUMMYFUNCTION("GOOGLEFINANCE(A405,""PRICE"")"),281.0)</f>
        <v>281</v>
      </c>
      <c r="C405" s="14">
        <f>IFERROR(__xludf.DUMMYFUNCTION("GOOGLEFINANCE(A405,""PRICEOPEN"")"),277.15)</f>
        <v>277.15</v>
      </c>
      <c r="D405" s="14">
        <f>IFERROR(__xludf.DUMMYFUNCTION("GOOGLEFINANCE(A405,""HIGH"")"),285.0)</f>
        <v>285</v>
      </c>
      <c r="E405" s="14">
        <f>IFERROR(__xludf.DUMMYFUNCTION("GOOGLEFINANCE(A405,""LOW"")"),275.85)</f>
        <v>275.85</v>
      </c>
      <c r="F405" s="15" t="str">
        <f t="shared" si="8"/>
        <v/>
      </c>
      <c r="G405" s="16">
        <f>IFERROR(__xludf.DUMMYFUNCTION("GOOGLEFINANCE(A405,""CLOSEYEST"")"),277.05)</f>
        <v>277.05</v>
      </c>
      <c r="H405" s="17" t="str">
        <f t="shared" si="14"/>
        <v/>
      </c>
      <c r="I405" s="18">
        <f t="shared" si="9"/>
        <v>279.3</v>
      </c>
      <c r="J405" s="19">
        <f t="shared" si="10"/>
        <v>282.75</v>
      </c>
      <c r="K405" s="19"/>
      <c r="L405" s="19">
        <f t="shared" si="11"/>
        <v>273.6</v>
      </c>
      <c r="M405" s="19">
        <f t="shared" si="12"/>
        <v>288.45</v>
      </c>
      <c r="N405" s="19">
        <f t="shared" si="13"/>
        <v>270.15</v>
      </c>
    </row>
    <row r="406" ht="24.75" customHeight="1">
      <c r="A406" s="21" t="s">
        <v>369</v>
      </c>
      <c r="B406" s="13">
        <f>IFERROR(__xludf.DUMMYFUNCTION("GOOGLEFINANCE(A406,""PRICE"")"),2410.0)</f>
        <v>2410</v>
      </c>
      <c r="C406" s="14">
        <f>IFERROR(__xludf.DUMMYFUNCTION("GOOGLEFINANCE(A406,""PRICEOPEN"")"),2414.4)</f>
        <v>2414.4</v>
      </c>
      <c r="D406" s="14">
        <f>IFERROR(__xludf.DUMMYFUNCTION("GOOGLEFINANCE(A406,""HIGH"")"),2429.1)</f>
        <v>2429.1</v>
      </c>
      <c r="E406" s="14">
        <f>IFERROR(__xludf.DUMMYFUNCTION("GOOGLEFINANCE(A406,""LOW"")"),2391.0)</f>
        <v>2391</v>
      </c>
      <c r="F406" s="15" t="str">
        <f t="shared" si="8"/>
        <v/>
      </c>
      <c r="G406" s="16">
        <f>IFERROR(__xludf.DUMMYFUNCTION("GOOGLEFINANCE(A406,""CLOSEYEST"")"),2414.4)</f>
        <v>2414.4</v>
      </c>
      <c r="H406" s="17" t="str">
        <f t="shared" si="14"/>
        <v/>
      </c>
      <c r="I406" s="18">
        <f t="shared" si="9"/>
        <v>2411.5</v>
      </c>
      <c r="J406" s="19">
        <f t="shared" si="10"/>
        <v>2432</v>
      </c>
      <c r="K406" s="19"/>
      <c r="L406" s="19">
        <f t="shared" si="11"/>
        <v>2393.9</v>
      </c>
      <c r="M406" s="19">
        <f t="shared" si="12"/>
        <v>2449.6</v>
      </c>
      <c r="N406" s="19">
        <f t="shared" si="13"/>
        <v>2373.4</v>
      </c>
    </row>
    <row r="407" ht="24.75" customHeight="1">
      <c r="A407" s="21" t="s">
        <v>370</v>
      </c>
      <c r="B407" s="13">
        <f>IFERROR(__xludf.DUMMYFUNCTION("GOOGLEFINANCE(A407,""PRICE"")"),189.0)</f>
        <v>189</v>
      </c>
      <c r="C407" s="14">
        <f>IFERROR(__xludf.DUMMYFUNCTION("GOOGLEFINANCE(A407,""PRICEOPEN"")"),190.44)</f>
        <v>190.44</v>
      </c>
      <c r="D407" s="14">
        <f>IFERROR(__xludf.DUMMYFUNCTION("GOOGLEFINANCE(A407,""HIGH"")"),190.99)</f>
        <v>190.99</v>
      </c>
      <c r="E407" s="14">
        <f>IFERROR(__xludf.DUMMYFUNCTION("GOOGLEFINANCE(A407,""LOW"")"),186.0)</f>
        <v>186</v>
      </c>
      <c r="F407" s="15" t="str">
        <f t="shared" si="8"/>
        <v/>
      </c>
      <c r="G407" s="16">
        <f>IFERROR(__xludf.DUMMYFUNCTION("GOOGLEFINANCE(A407,""CLOSEYEST"")"),188.76)</f>
        <v>188.76</v>
      </c>
      <c r="H407" s="17" t="str">
        <f t="shared" si="14"/>
        <v/>
      </c>
      <c r="I407" s="18">
        <f t="shared" si="9"/>
        <v>188.5833333</v>
      </c>
      <c r="J407" s="19">
        <f t="shared" si="10"/>
        <v>191.1666667</v>
      </c>
      <c r="K407" s="19"/>
      <c r="L407" s="19">
        <f t="shared" si="11"/>
        <v>186.1766667</v>
      </c>
      <c r="M407" s="19">
        <f t="shared" si="12"/>
        <v>193.5733333</v>
      </c>
      <c r="N407" s="19">
        <f t="shared" si="13"/>
        <v>183.5933333</v>
      </c>
    </row>
    <row r="408" ht="24.75" customHeight="1">
      <c r="A408" s="21" t="s">
        <v>371</v>
      </c>
      <c r="B408" s="13">
        <f>IFERROR(__xludf.DUMMYFUNCTION("GOOGLEFINANCE(A408,""PRICE"")"),1121.0)</f>
        <v>1121</v>
      </c>
      <c r="C408" s="14">
        <f>IFERROR(__xludf.DUMMYFUNCTION("GOOGLEFINANCE(A408,""PRICEOPEN"")"),1122.9)</f>
        <v>1122.9</v>
      </c>
      <c r="D408" s="14">
        <f>IFERROR(__xludf.DUMMYFUNCTION("GOOGLEFINANCE(A408,""HIGH"")"),1137.0)</f>
        <v>1137</v>
      </c>
      <c r="E408" s="14">
        <f>IFERROR(__xludf.DUMMYFUNCTION("GOOGLEFINANCE(A408,""LOW"")"),1111.0)</f>
        <v>1111</v>
      </c>
      <c r="F408" s="15" t="str">
        <f t="shared" si="8"/>
        <v/>
      </c>
      <c r="G408" s="16">
        <f>IFERROR(__xludf.DUMMYFUNCTION("GOOGLEFINANCE(A408,""CLOSEYEST"")"),1113.0)</f>
        <v>1113</v>
      </c>
      <c r="H408" s="17" t="str">
        <f t="shared" si="14"/>
        <v/>
      </c>
      <c r="I408" s="18">
        <f t="shared" si="9"/>
        <v>1120.333333</v>
      </c>
      <c r="J408" s="19">
        <f t="shared" si="10"/>
        <v>1129.666667</v>
      </c>
      <c r="K408" s="19"/>
      <c r="L408" s="19">
        <f t="shared" si="11"/>
        <v>1103.666667</v>
      </c>
      <c r="M408" s="19">
        <f t="shared" si="12"/>
        <v>1146.333333</v>
      </c>
      <c r="N408" s="19">
        <f t="shared" si="13"/>
        <v>1094.333333</v>
      </c>
    </row>
    <row r="409" ht="24.75" customHeight="1">
      <c r="A409" s="21" t="s">
        <v>372</v>
      </c>
      <c r="B409" s="13">
        <f>IFERROR(__xludf.DUMMYFUNCTION("GOOGLEFINANCE(A409,""PRICE"")"),225.5)</f>
        <v>225.5</v>
      </c>
      <c r="C409" s="14">
        <f>IFERROR(__xludf.DUMMYFUNCTION("GOOGLEFINANCE(A409,""PRICEOPEN"")"),227.05)</f>
        <v>227.05</v>
      </c>
      <c r="D409" s="14">
        <f>IFERROR(__xludf.DUMMYFUNCTION("GOOGLEFINANCE(A409,""HIGH"")"),229.2)</f>
        <v>229.2</v>
      </c>
      <c r="E409" s="14">
        <f>IFERROR(__xludf.DUMMYFUNCTION("GOOGLEFINANCE(A409,""LOW"")"),223.1)</f>
        <v>223.1</v>
      </c>
      <c r="F409" s="15" t="str">
        <f t="shared" si="8"/>
        <v/>
      </c>
      <c r="G409" s="16">
        <f>IFERROR(__xludf.DUMMYFUNCTION("GOOGLEFINANCE(A409,""CLOSEYEST"")"),227.05)</f>
        <v>227.05</v>
      </c>
      <c r="H409" s="17" t="str">
        <f t="shared" si="14"/>
        <v/>
      </c>
      <c r="I409" s="18">
        <f t="shared" si="9"/>
        <v>226.45</v>
      </c>
      <c r="J409" s="19">
        <f t="shared" si="10"/>
        <v>229.8</v>
      </c>
      <c r="K409" s="19"/>
      <c r="L409" s="19">
        <f t="shared" si="11"/>
        <v>223.7</v>
      </c>
      <c r="M409" s="19">
        <f t="shared" si="12"/>
        <v>232.55</v>
      </c>
      <c r="N409" s="19">
        <f t="shared" si="13"/>
        <v>220.35</v>
      </c>
    </row>
    <row r="410" ht="24.75" customHeight="1">
      <c r="A410" s="21" t="s">
        <v>373</v>
      </c>
      <c r="B410" s="13">
        <f>IFERROR(__xludf.DUMMYFUNCTION("GOOGLEFINANCE(A410,""PRICE"")"),3356.5)</f>
        <v>3356.5</v>
      </c>
      <c r="C410" s="14">
        <f>IFERROR(__xludf.DUMMYFUNCTION("GOOGLEFINANCE(A410,""PRICEOPEN"")"),3319.5)</f>
        <v>3319.5</v>
      </c>
      <c r="D410" s="14">
        <f>IFERROR(__xludf.DUMMYFUNCTION("GOOGLEFINANCE(A410,""HIGH"")"),3386.0)</f>
        <v>3386</v>
      </c>
      <c r="E410" s="14">
        <f>IFERROR(__xludf.DUMMYFUNCTION("GOOGLEFINANCE(A410,""LOW"")"),3302.1)</f>
        <v>3302.1</v>
      </c>
      <c r="F410" s="15" t="str">
        <f t="shared" si="8"/>
        <v/>
      </c>
      <c r="G410" s="16">
        <f>IFERROR(__xludf.DUMMYFUNCTION("GOOGLEFINANCE(A410,""CLOSEYEST"")"),3316.2)</f>
        <v>3316.2</v>
      </c>
      <c r="H410" s="17" t="str">
        <f t="shared" si="14"/>
        <v/>
      </c>
      <c r="I410" s="18">
        <f t="shared" si="9"/>
        <v>3334.766667</v>
      </c>
      <c r="J410" s="19">
        <f t="shared" si="10"/>
        <v>3367.433333</v>
      </c>
      <c r="K410" s="19"/>
      <c r="L410" s="19">
        <f t="shared" si="11"/>
        <v>3283.533333</v>
      </c>
      <c r="M410" s="19">
        <f t="shared" si="12"/>
        <v>3418.666667</v>
      </c>
      <c r="N410" s="19">
        <f t="shared" si="13"/>
        <v>3250.866667</v>
      </c>
    </row>
    <row r="411" ht="24.75" customHeight="1">
      <c r="A411" s="21" t="s">
        <v>374</v>
      </c>
      <c r="B411" s="13">
        <f>IFERROR(__xludf.DUMMYFUNCTION("GOOGLEFINANCE(A411,""PRICE"")"),1913.2)</f>
        <v>1913.2</v>
      </c>
      <c r="C411" s="14">
        <f>IFERROR(__xludf.DUMMYFUNCTION("GOOGLEFINANCE(A411,""PRICEOPEN"")"),1931.0)</f>
        <v>1931</v>
      </c>
      <c r="D411" s="14">
        <f>IFERROR(__xludf.DUMMYFUNCTION("GOOGLEFINANCE(A411,""HIGH"")"),1935.8)</f>
        <v>1935.8</v>
      </c>
      <c r="E411" s="14">
        <f>IFERROR(__xludf.DUMMYFUNCTION("GOOGLEFINANCE(A411,""LOW"")"),1875.2)</f>
        <v>1875.2</v>
      </c>
      <c r="F411" s="15" t="str">
        <f t="shared" si="8"/>
        <v/>
      </c>
      <c r="G411" s="16">
        <f>IFERROR(__xludf.DUMMYFUNCTION("GOOGLEFINANCE(A411,""CLOSEYEST"")"),1951.0)</f>
        <v>1951</v>
      </c>
      <c r="H411" s="17" t="str">
        <f t="shared" si="14"/>
        <v>GAP DOWN</v>
      </c>
      <c r="I411" s="18">
        <f t="shared" si="9"/>
        <v>1920.666667</v>
      </c>
      <c r="J411" s="19">
        <f t="shared" si="10"/>
        <v>1966.133333</v>
      </c>
      <c r="K411" s="19"/>
      <c r="L411" s="19">
        <f t="shared" si="11"/>
        <v>1905.533333</v>
      </c>
      <c r="M411" s="19">
        <f t="shared" si="12"/>
        <v>1981.266667</v>
      </c>
      <c r="N411" s="19">
        <f t="shared" si="13"/>
        <v>1860.066667</v>
      </c>
    </row>
    <row r="412" ht="24.75" customHeight="1">
      <c r="A412" s="21" t="s">
        <v>375</v>
      </c>
      <c r="B412" s="13">
        <f>IFERROR(__xludf.DUMMYFUNCTION("GOOGLEFINANCE(A412,""PRICE"")"),972.25)</f>
        <v>972.25</v>
      </c>
      <c r="C412" s="14">
        <f>IFERROR(__xludf.DUMMYFUNCTION("GOOGLEFINANCE(A412,""PRICEOPEN"")"),920.0)</f>
        <v>920</v>
      </c>
      <c r="D412" s="14">
        <f>IFERROR(__xludf.DUMMYFUNCTION("GOOGLEFINANCE(A412,""HIGH"")"),978.9)</f>
        <v>978.9</v>
      </c>
      <c r="E412" s="14">
        <f>IFERROR(__xludf.DUMMYFUNCTION("GOOGLEFINANCE(A412,""LOW"")"),920.0)</f>
        <v>920</v>
      </c>
      <c r="F412" s="15" t="str">
        <f t="shared" si="8"/>
        <v>BUY</v>
      </c>
      <c r="G412" s="16">
        <f>IFERROR(__xludf.DUMMYFUNCTION("GOOGLEFINANCE(A412,""CLOSEYEST"")"),924.35)</f>
        <v>924.35</v>
      </c>
      <c r="H412" s="17" t="str">
        <f t="shared" si="14"/>
        <v/>
      </c>
      <c r="I412" s="18">
        <f t="shared" si="9"/>
        <v>941.0833333</v>
      </c>
      <c r="J412" s="19">
        <f t="shared" si="10"/>
        <v>962.1666667</v>
      </c>
      <c r="K412" s="19"/>
      <c r="L412" s="19">
        <f t="shared" si="11"/>
        <v>903.2666667</v>
      </c>
      <c r="M412" s="19">
        <f t="shared" si="12"/>
        <v>999.9833333</v>
      </c>
      <c r="N412" s="19">
        <f t="shared" si="13"/>
        <v>882.1833333</v>
      </c>
    </row>
    <row r="413" ht="24.75" customHeight="1">
      <c r="A413" s="21" t="s">
        <v>376</v>
      </c>
      <c r="B413" s="13">
        <f>IFERROR(__xludf.DUMMYFUNCTION("GOOGLEFINANCE(A413,""PRICE"")"),10.31)</f>
        <v>10.31</v>
      </c>
      <c r="C413" s="14">
        <f>IFERROR(__xludf.DUMMYFUNCTION("GOOGLEFINANCE(A413,""PRICEOPEN"")"),10.31)</f>
        <v>10.31</v>
      </c>
      <c r="D413" s="14">
        <f>IFERROR(__xludf.DUMMYFUNCTION("GOOGLEFINANCE(A413,""HIGH"")"),10.31)</f>
        <v>10.31</v>
      </c>
      <c r="E413" s="14">
        <f>IFERROR(__xludf.DUMMYFUNCTION("GOOGLEFINANCE(A413,""LOW"")"),10.31)</f>
        <v>10.31</v>
      </c>
      <c r="F413" s="15" t="str">
        <f t="shared" si="8"/>
        <v>SELL</v>
      </c>
      <c r="G413" s="16">
        <f>IFERROR(__xludf.DUMMYFUNCTION("GOOGLEFINANCE(A413,""CLOSEYEST"")"),10.31)</f>
        <v>10.31</v>
      </c>
      <c r="H413" s="17" t="str">
        <f t="shared" si="14"/>
        <v/>
      </c>
      <c r="I413" s="18">
        <f t="shared" si="9"/>
        <v>10.31</v>
      </c>
      <c r="J413" s="19">
        <f t="shared" si="10"/>
        <v>10.31</v>
      </c>
      <c r="K413" s="19"/>
      <c r="L413" s="19">
        <f t="shared" si="11"/>
        <v>10.31</v>
      </c>
      <c r="M413" s="19">
        <f t="shared" si="12"/>
        <v>10.31</v>
      </c>
      <c r="N413" s="19">
        <f t="shared" si="13"/>
        <v>10.31</v>
      </c>
    </row>
    <row r="414" ht="24.75" customHeight="1">
      <c r="A414" s="21" t="s">
        <v>377</v>
      </c>
      <c r="B414" s="13">
        <f>IFERROR(__xludf.DUMMYFUNCTION("GOOGLEFINANCE(A414,""PRICE"")"),198.09)</f>
        <v>198.09</v>
      </c>
      <c r="C414" s="14">
        <f>IFERROR(__xludf.DUMMYFUNCTION("GOOGLEFINANCE(A414,""PRICEOPEN"")"),200.1)</f>
        <v>200.1</v>
      </c>
      <c r="D414" s="14">
        <f>IFERROR(__xludf.DUMMYFUNCTION("GOOGLEFINANCE(A414,""HIGH"")"),200.1)</f>
        <v>200.1</v>
      </c>
      <c r="E414" s="14">
        <f>IFERROR(__xludf.DUMMYFUNCTION("GOOGLEFINANCE(A414,""LOW"")"),197.53)</f>
        <v>197.53</v>
      </c>
      <c r="F414" s="15" t="str">
        <f t="shared" si="8"/>
        <v>SELL</v>
      </c>
      <c r="G414" s="16">
        <f>IFERROR(__xludf.DUMMYFUNCTION("GOOGLEFINANCE(A414,""CLOSEYEST"")"),198.99)</f>
        <v>198.99</v>
      </c>
      <c r="H414" s="17" t="str">
        <f t="shared" si="14"/>
        <v/>
      </c>
      <c r="I414" s="18">
        <f t="shared" si="9"/>
        <v>198.8733333</v>
      </c>
      <c r="J414" s="19">
        <f t="shared" si="10"/>
        <v>200.2166667</v>
      </c>
      <c r="K414" s="19"/>
      <c r="L414" s="19">
        <f t="shared" si="11"/>
        <v>197.6466667</v>
      </c>
      <c r="M414" s="19">
        <f t="shared" si="12"/>
        <v>201.4433333</v>
      </c>
      <c r="N414" s="19">
        <f t="shared" si="13"/>
        <v>196.3033333</v>
      </c>
    </row>
    <row r="415" ht="24.75" customHeight="1">
      <c r="A415" s="21" t="s">
        <v>378</v>
      </c>
      <c r="B415" s="13">
        <f>IFERROR(__xludf.DUMMYFUNCTION("GOOGLEFINANCE(A415,""PRICE"")"),1398.0)</f>
        <v>1398</v>
      </c>
      <c r="C415" s="14">
        <f>IFERROR(__xludf.DUMMYFUNCTION("GOOGLEFINANCE(A415,""PRICEOPEN"")"),1398.0)</f>
        <v>1398</v>
      </c>
      <c r="D415" s="14">
        <f>IFERROR(__xludf.DUMMYFUNCTION("GOOGLEFINANCE(A415,""HIGH"")"),1417.7)</f>
        <v>1417.7</v>
      </c>
      <c r="E415" s="14">
        <f>IFERROR(__xludf.DUMMYFUNCTION("GOOGLEFINANCE(A415,""LOW"")"),1380.0)</f>
        <v>1380</v>
      </c>
      <c r="F415" s="15" t="str">
        <f t="shared" si="8"/>
        <v/>
      </c>
      <c r="G415" s="16">
        <f>IFERROR(__xludf.DUMMYFUNCTION("GOOGLEFINANCE(A415,""CLOSEYEST"")"),1400.8)</f>
        <v>1400.8</v>
      </c>
      <c r="H415" s="17" t="str">
        <f t="shared" si="14"/>
        <v/>
      </c>
      <c r="I415" s="18">
        <f t="shared" si="9"/>
        <v>1399.5</v>
      </c>
      <c r="J415" s="19">
        <f t="shared" si="10"/>
        <v>1419</v>
      </c>
      <c r="K415" s="19"/>
      <c r="L415" s="19">
        <f t="shared" si="11"/>
        <v>1381.3</v>
      </c>
      <c r="M415" s="19">
        <f t="shared" si="12"/>
        <v>1437.2</v>
      </c>
      <c r="N415" s="19">
        <f t="shared" si="13"/>
        <v>1361.8</v>
      </c>
    </row>
    <row r="416" ht="24.75" customHeight="1">
      <c r="A416" s="21" t="s">
        <v>379</v>
      </c>
      <c r="B416" s="13">
        <f>IFERROR(__xludf.DUMMYFUNCTION("GOOGLEFINANCE(A416,""PRICE"")"),275.6)</f>
        <v>275.6</v>
      </c>
      <c r="C416" s="14">
        <f>IFERROR(__xludf.DUMMYFUNCTION("GOOGLEFINANCE(A416,""PRICEOPEN"")"),275.0)</f>
        <v>275</v>
      </c>
      <c r="D416" s="14">
        <f>IFERROR(__xludf.DUMMYFUNCTION("GOOGLEFINANCE(A416,""HIGH"")"),280.15)</f>
        <v>280.15</v>
      </c>
      <c r="E416" s="14">
        <f>IFERROR(__xludf.DUMMYFUNCTION("GOOGLEFINANCE(A416,""LOW"")"),273.1)</f>
        <v>273.1</v>
      </c>
      <c r="F416" s="15" t="str">
        <f t="shared" si="8"/>
        <v/>
      </c>
      <c r="G416" s="16">
        <f>IFERROR(__xludf.DUMMYFUNCTION("GOOGLEFINANCE(A416,""CLOSEYEST"")"),275.2)</f>
        <v>275.2</v>
      </c>
      <c r="H416" s="17" t="str">
        <f t="shared" si="14"/>
        <v/>
      </c>
      <c r="I416" s="18">
        <f t="shared" si="9"/>
        <v>276.15</v>
      </c>
      <c r="J416" s="19">
        <f t="shared" si="10"/>
        <v>279.2</v>
      </c>
      <c r="K416" s="19"/>
      <c r="L416" s="19">
        <f t="shared" si="11"/>
        <v>272.15</v>
      </c>
      <c r="M416" s="19">
        <f t="shared" si="12"/>
        <v>283.2</v>
      </c>
      <c r="N416" s="19">
        <f t="shared" si="13"/>
        <v>269.1</v>
      </c>
    </row>
    <row r="417" ht="24.75" customHeight="1">
      <c r="A417" s="21" t="s">
        <v>380</v>
      </c>
      <c r="B417" s="13">
        <f>IFERROR(__xludf.DUMMYFUNCTION("GOOGLEFINANCE(A417,""PRICE"")"),2097.0)</f>
        <v>2097</v>
      </c>
      <c r="C417" s="14">
        <f>IFERROR(__xludf.DUMMYFUNCTION("GOOGLEFINANCE(A417,""PRICEOPEN"")"),2080.9)</f>
        <v>2080.9</v>
      </c>
      <c r="D417" s="14">
        <f>IFERROR(__xludf.DUMMYFUNCTION("GOOGLEFINANCE(A417,""HIGH"")"),2099.9)</f>
        <v>2099.9</v>
      </c>
      <c r="E417" s="14">
        <f>IFERROR(__xludf.DUMMYFUNCTION("GOOGLEFINANCE(A417,""LOW"")"),2050.0)</f>
        <v>2050</v>
      </c>
      <c r="F417" s="15" t="str">
        <f t="shared" si="8"/>
        <v/>
      </c>
      <c r="G417" s="16">
        <f>IFERROR(__xludf.DUMMYFUNCTION("GOOGLEFINANCE(A417,""CLOSEYEST"")"),2081.4)</f>
        <v>2081.4</v>
      </c>
      <c r="H417" s="17" t="str">
        <f t="shared" si="14"/>
        <v/>
      </c>
      <c r="I417" s="18">
        <f t="shared" si="9"/>
        <v>2077.1</v>
      </c>
      <c r="J417" s="19">
        <f t="shared" si="10"/>
        <v>2104.2</v>
      </c>
      <c r="K417" s="19"/>
      <c r="L417" s="19">
        <f t="shared" si="11"/>
        <v>2054.3</v>
      </c>
      <c r="M417" s="19">
        <f t="shared" si="12"/>
        <v>2127</v>
      </c>
      <c r="N417" s="19">
        <f t="shared" si="13"/>
        <v>2027.2</v>
      </c>
    </row>
    <row r="418" ht="24.75" customHeight="1">
      <c r="A418" s="21" t="s">
        <v>381</v>
      </c>
      <c r="B418" s="13">
        <f>IFERROR(__xludf.DUMMYFUNCTION("GOOGLEFINANCE(A418,""PRICE"")"),0.25)</f>
        <v>0.25</v>
      </c>
      <c r="C418" s="14">
        <f>IFERROR(__xludf.DUMMYFUNCTION("GOOGLEFINANCE(A418,""PRICEOPEN"")"),0.25)</f>
        <v>0.25</v>
      </c>
      <c r="D418" s="14">
        <f>IFERROR(__xludf.DUMMYFUNCTION("GOOGLEFINANCE(A418,""HIGH"")"),0.25)</f>
        <v>0.25</v>
      </c>
      <c r="E418" s="14">
        <f>IFERROR(__xludf.DUMMYFUNCTION("GOOGLEFINANCE(A418,""LOW"")"),0.25)</f>
        <v>0.25</v>
      </c>
      <c r="F418" s="15" t="str">
        <f t="shared" si="8"/>
        <v>SELL</v>
      </c>
      <c r="G418" s="16">
        <f>IFERROR(__xludf.DUMMYFUNCTION("GOOGLEFINANCE(A418,""CLOSEYEST"")"),0.22)</f>
        <v>0.22</v>
      </c>
      <c r="H418" s="17" t="str">
        <f t="shared" si="14"/>
        <v>GAP UP</v>
      </c>
      <c r="I418" s="18">
        <f t="shared" si="9"/>
        <v>0.24</v>
      </c>
      <c r="J418" s="19">
        <f t="shared" si="10"/>
        <v>0.23</v>
      </c>
      <c r="K418" s="19"/>
      <c r="L418" s="19">
        <f t="shared" si="11"/>
        <v>0.23</v>
      </c>
      <c r="M418" s="19">
        <f t="shared" si="12"/>
        <v>0.24</v>
      </c>
      <c r="N418" s="19">
        <f t="shared" si="13"/>
        <v>0.24</v>
      </c>
    </row>
    <row r="419" ht="24.75" customHeight="1">
      <c r="A419" s="21" t="s">
        <v>382</v>
      </c>
      <c r="B419" s="13">
        <f>IFERROR(__xludf.DUMMYFUNCTION("GOOGLEFINANCE(A419,""PRICE"")"),233.67)</f>
        <v>233.67</v>
      </c>
      <c r="C419" s="14">
        <f>IFERROR(__xludf.DUMMYFUNCTION("GOOGLEFINANCE(A419,""PRICEOPEN"")"),232.4)</f>
        <v>232.4</v>
      </c>
      <c r="D419" s="14">
        <f>IFERROR(__xludf.DUMMYFUNCTION("GOOGLEFINANCE(A419,""HIGH"")"),237.45)</f>
        <v>237.45</v>
      </c>
      <c r="E419" s="14">
        <f>IFERROR(__xludf.DUMMYFUNCTION("GOOGLEFINANCE(A419,""LOW"")"),230.46)</f>
        <v>230.46</v>
      </c>
      <c r="F419" s="15" t="str">
        <f t="shared" si="8"/>
        <v/>
      </c>
      <c r="G419" s="16">
        <f>IFERROR(__xludf.DUMMYFUNCTION("GOOGLEFINANCE(A419,""CLOSEYEST"")"),232.47)</f>
        <v>232.47</v>
      </c>
      <c r="H419" s="17" t="str">
        <f t="shared" si="14"/>
        <v/>
      </c>
      <c r="I419" s="18">
        <f t="shared" si="9"/>
        <v>233.46</v>
      </c>
      <c r="J419" s="19">
        <f t="shared" si="10"/>
        <v>236.46</v>
      </c>
      <c r="K419" s="19"/>
      <c r="L419" s="19">
        <f t="shared" si="11"/>
        <v>229.47</v>
      </c>
      <c r="M419" s="19">
        <f t="shared" si="12"/>
        <v>240.45</v>
      </c>
      <c r="N419" s="19">
        <f t="shared" si="13"/>
        <v>226.47</v>
      </c>
    </row>
    <row r="420" ht="24.75" customHeight="1">
      <c r="A420" s="21" t="s">
        <v>383</v>
      </c>
      <c r="B420" s="13">
        <f>IFERROR(__xludf.DUMMYFUNCTION("GOOGLEFINANCE(A420,""PRICE"")"),1045.0)</f>
        <v>1045</v>
      </c>
      <c r="C420" s="14">
        <f>IFERROR(__xludf.DUMMYFUNCTION("GOOGLEFINANCE(A420,""PRICEOPEN"")"),1030.1)</f>
        <v>1030.1</v>
      </c>
      <c r="D420" s="14">
        <f>IFERROR(__xludf.DUMMYFUNCTION("GOOGLEFINANCE(A420,""HIGH"")"),1046.5)</f>
        <v>1046.5</v>
      </c>
      <c r="E420" s="14">
        <f>IFERROR(__xludf.DUMMYFUNCTION("GOOGLEFINANCE(A420,""LOW"")"),1027.5)</f>
        <v>1027.5</v>
      </c>
      <c r="F420" s="15" t="str">
        <f t="shared" si="8"/>
        <v/>
      </c>
      <c r="G420" s="16">
        <f>IFERROR(__xludf.DUMMYFUNCTION("GOOGLEFINANCE(A420,""CLOSEYEST"")"),1035.0)</f>
        <v>1035</v>
      </c>
      <c r="H420" s="17" t="str">
        <f t="shared" si="14"/>
        <v/>
      </c>
      <c r="I420" s="18">
        <f t="shared" si="9"/>
        <v>1036.333333</v>
      </c>
      <c r="J420" s="19">
        <f t="shared" si="10"/>
        <v>1045.166667</v>
      </c>
      <c r="K420" s="19"/>
      <c r="L420" s="19">
        <f t="shared" si="11"/>
        <v>1026.166667</v>
      </c>
      <c r="M420" s="19">
        <f t="shared" si="12"/>
        <v>1055.333333</v>
      </c>
      <c r="N420" s="19">
        <f t="shared" si="13"/>
        <v>1017.333333</v>
      </c>
    </row>
    <row r="421" ht="24.75" customHeight="1">
      <c r="A421" s="21" t="s">
        <v>384</v>
      </c>
      <c r="B421" s="13">
        <f>IFERROR(__xludf.DUMMYFUNCTION("GOOGLEFINANCE(A421,""PRICE"")"),464.0)</f>
        <v>464</v>
      </c>
      <c r="C421" s="14">
        <f>IFERROR(__xludf.DUMMYFUNCTION("GOOGLEFINANCE(A421,""PRICEOPEN"")"),457.0)</f>
        <v>457</v>
      </c>
      <c r="D421" s="14">
        <f>IFERROR(__xludf.DUMMYFUNCTION("GOOGLEFINANCE(A421,""HIGH"")"),466.8)</f>
        <v>466.8</v>
      </c>
      <c r="E421" s="14">
        <f>IFERROR(__xludf.DUMMYFUNCTION("GOOGLEFINANCE(A421,""LOW"")"),456.1)</f>
        <v>456.1</v>
      </c>
      <c r="F421" s="15" t="str">
        <f t="shared" si="8"/>
        <v/>
      </c>
      <c r="G421" s="16">
        <f>IFERROR(__xludf.DUMMYFUNCTION("GOOGLEFINANCE(A421,""CLOSEYEST"")"),456.95)</f>
        <v>456.95</v>
      </c>
      <c r="H421" s="17" t="str">
        <f t="shared" si="14"/>
        <v/>
      </c>
      <c r="I421" s="18">
        <f t="shared" si="9"/>
        <v>459.95</v>
      </c>
      <c r="J421" s="19">
        <f t="shared" si="10"/>
        <v>463.8</v>
      </c>
      <c r="K421" s="19"/>
      <c r="L421" s="19">
        <f t="shared" si="11"/>
        <v>453.1</v>
      </c>
      <c r="M421" s="19">
        <f t="shared" si="12"/>
        <v>470.65</v>
      </c>
      <c r="N421" s="19">
        <f t="shared" si="13"/>
        <v>449.25</v>
      </c>
    </row>
    <row r="422" ht="24.75" customHeight="1">
      <c r="A422" s="21" t="s">
        <v>385</v>
      </c>
      <c r="B422" s="13">
        <f>IFERROR(__xludf.DUMMYFUNCTION("GOOGLEFINANCE(A422,""PRICE"")"),2411.8)</f>
        <v>2411.8</v>
      </c>
      <c r="C422" s="14">
        <f>IFERROR(__xludf.DUMMYFUNCTION("GOOGLEFINANCE(A422,""PRICEOPEN"")"),2378.1)</f>
        <v>2378.1</v>
      </c>
      <c r="D422" s="14">
        <f>IFERROR(__xludf.DUMMYFUNCTION("GOOGLEFINANCE(A422,""HIGH"")"),2436.6)</f>
        <v>2436.6</v>
      </c>
      <c r="E422" s="14">
        <f>IFERROR(__xludf.DUMMYFUNCTION("GOOGLEFINANCE(A422,""LOW"")"),2345.3)</f>
        <v>2345.3</v>
      </c>
      <c r="F422" s="15" t="str">
        <f t="shared" si="8"/>
        <v/>
      </c>
      <c r="G422" s="16">
        <f>IFERROR(__xludf.DUMMYFUNCTION("GOOGLEFINANCE(A422,""CLOSEYEST"")"),2359.2)</f>
        <v>2359.2</v>
      </c>
      <c r="H422" s="17" t="str">
        <f t="shared" si="14"/>
        <v/>
      </c>
      <c r="I422" s="18">
        <f t="shared" si="9"/>
        <v>2380.366667</v>
      </c>
      <c r="J422" s="19">
        <f t="shared" si="10"/>
        <v>2415.433333</v>
      </c>
      <c r="K422" s="19"/>
      <c r="L422" s="19">
        <f t="shared" si="11"/>
        <v>2324.133333</v>
      </c>
      <c r="M422" s="19">
        <f t="shared" si="12"/>
        <v>2471.666667</v>
      </c>
      <c r="N422" s="19">
        <f t="shared" si="13"/>
        <v>2289.066667</v>
      </c>
    </row>
    <row r="423" ht="24.75" customHeight="1">
      <c r="A423" s="21" t="s">
        <v>386</v>
      </c>
      <c r="B423" s="13">
        <f>IFERROR(__xludf.DUMMYFUNCTION("GOOGLEFINANCE(A423,""PRICE"")"),6288.0)</f>
        <v>6288</v>
      </c>
      <c r="C423" s="14">
        <f>IFERROR(__xludf.DUMMYFUNCTION("GOOGLEFINANCE(A423,""PRICEOPEN"")"),6305.0)</f>
        <v>6305</v>
      </c>
      <c r="D423" s="14">
        <f>IFERROR(__xludf.DUMMYFUNCTION("GOOGLEFINANCE(A423,""HIGH"")"),6329.5)</f>
        <v>6329.5</v>
      </c>
      <c r="E423" s="14">
        <f>IFERROR(__xludf.DUMMYFUNCTION("GOOGLEFINANCE(A423,""LOW"")"),6237.0)</f>
        <v>6237</v>
      </c>
      <c r="F423" s="15" t="str">
        <f t="shared" si="8"/>
        <v/>
      </c>
      <c r="G423" s="16">
        <f>IFERROR(__xludf.DUMMYFUNCTION("GOOGLEFINANCE(A423,""CLOSEYEST"")"),6302.0)</f>
        <v>6302</v>
      </c>
      <c r="H423" s="17" t="str">
        <f t="shared" si="14"/>
        <v/>
      </c>
      <c r="I423" s="18">
        <f t="shared" si="9"/>
        <v>6289.5</v>
      </c>
      <c r="J423" s="19">
        <f t="shared" si="10"/>
        <v>6342</v>
      </c>
      <c r="K423" s="19"/>
      <c r="L423" s="19">
        <f t="shared" si="11"/>
        <v>6249.5</v>
      </c>
      <c r="M423" s="19">
        <f t="shared" si="12"/>
        <v>6382</v>
      </c>
      <c r="N423" s="19">
        <f t="shared" si="13"/>
        <v>6197</v>
      </c>
    </row>
    <row r="424" ht="24.75" customHeight="1">
      <c r="A424" s="21" t="s">
        <v>387</v>
      </c>
      <c r="B424" s="13" t="str">
        <f>IFERROR(__xludf.DUMMYFUNCTION("GOOGLEFINANCE(A424,""PRICE"")"),"#N/A")</f>
        <v>#N/A</v>
      </c>
      <c r="C424" s="14" t="str">
        <f>IFERROR(__xludf.DUMMYFUNCTION("GOOGLEFINANCE(A424,""PRICEOPEN"")"),"#N/A")</f>
        <v>#N/A</v>
      </c>
      <c r="D424" s="14" t="str">
        <f>IFERROR(__xludf.DUMMYFUNCTION("GOOGLEFINANCE(A424,""HIGH"")"),"#N/A")</f>
        <v>#N/A</v>
      </c>
      <c r="E424" s="14" t="str">
        <f>IFERROR(__xludf.DUMMYFUNCTION("GOOGLEFINANCE(A424,""LOW"")"),"#N/A")</f>
        <v>#N/A</v>
      </c>
      <c r="F424" s="15" t="str">
        <f t="shared" si="8"/>
        <v>#N/A</v>
      </c>
      <c r="G424" s="16" t="str">
        <f>IFERROR(__xludf.DUMMYFUNCTION("GOOGLEFINANCE(A424,""CLOSEYEST"")"),"#N/A")</f>
        <v>#N/A</v>
      </c>
      <c r="H424" s="17" t="str">
        <f t="shared" si="14"/>
        <v>#N/A</v>
      </c>
      <c r="I424" s="18" t="str">
        <f t="shared" si="9"/>
        <v>#N/A</v>
      </c>
      <c r="J424" s="19" t="str">
        <f t="shared" si="10"/>
        <v>#N/A</v>
      </c>
      <c r="K424" s="19"/>
      <c r="L424" s="19" t="str">
        <f t="shared" si="11"/>
        <v>#N/A</v>
      </c>
      <c r="M424" s="19" t="str">
        <f t="shared" si="12"/>
        <v>#N/A</v>
      </c>
      <c r="N424" s="19" t="str">
        <f t="shared" si="13"/>
        <v>#N/A</v>
      </c>
    </row>
    <row r="425" ht="24.75" customHeight="1">
      <c r="A425" s="21" t="s">
        <v>388</v>
      </c>
      <c r="B425" s="13">
        <f>IFERROR(__xludf.DUMMYFUNCTION("GOOGLEFINANCE(A425,""PRICE"")"),464.0)</f>
        <v>464</v>
      </c>
      <c r="C425" s="14">
        <f>IFERROR(__xludf.DUMMYFUNCTION("GOOGLEFINANCE(A425,""PRICEOPEN"")"),467.0)</f>
        <v>467</v>
      </c>
      <c r="D425" s="14">
        <f>IFERROR(__xludf.DUMMYFUNCTION("GOOGLEFINANCE(A425,""HIGH"")"),468.95)</f>
        <v>468.95</v>
      </c>
      <c r="E425" s="14">
        <f>IFERROR(__xludf.DUMMYFUNCTION("GOOGLEFINANCE(A425,""LOW"")"),452.2)</f>
        <v>452.2</v>
      </c>
      <c r="F425" s="15" t="str">
        <f t="shared" si="8"/>
        <v/>
      </c>
      <c r="G425" s="16">
        <f>IFERROR(__xludf.DUMMYFUNCTION("GOOGLEFINANCE(A425,""CLOSEYEST"")"),462.55)</f>
        <v>462.55</v>
      </c>
      <c r="H425" s="17" t="str">
        <f t="shared" si="14"/>
        <v/>
      </c>
      <c r="I425" s="18">
        <f t="shared" si="9"/>
        <v>461.2333333</v>
      </c>
      <c r="J425" s="19">
        <f t="shared" si="10"/>
        <v>470.2666667</v>
      </c>
      <c r="K425" s="19"/>
      <c r="L425" s="19">
        <f t="shared" si="11"/>
        <v>453.5166667</v>
      </c>
      <c r="M425" s="19">
        <f t="shared" si="12"/>
        <v>477.9833333</v>
      </c>
      <c r="N425" s="19">
        <f t="shared" si="13"/>
        <v>444.4833333</v>
      </c>
    </row>
    <row r="426" ht="24.75" customHeight="1">
      <c r="A426" s="21" t="s">
        <v>389</v>
      </c>
      <c r="B426" s="13">
        <f>IFERROR(__xludf.DUMMYFUNCTION("GOOGLEFINANCE(A426,""PRICE"")"),441.9)</f>
        <v>441.9</v>
      </c>
      <c r="C426" s="14">
        <f>IFERROR(__xludf.DUMMYFUNCTION("GOOGLEFINANCE(A426,""PRICEOPEN"")"),437.0)</f>
        <v>437</v>
      </c>
      <c r="D426" s="14">
        <f>IFERROR(__xludf.DUMMYFUNCTION("GOOGLEFINANCE(A426,""HIGH"")"),442.3)</f>
        <v>442.3</v>
      </c>
      <c r="E426" s="14">
        <f>IFERROR(__xludf.DUMMYFUNCTION("GOOGLEFINANCE(A426,""LOW"")"),430.0)</f>
        <v>430</v>
      </c>
      <c r="F426" s="15" t="str">
        <f t="shared" si="8"/>
        <v/>
      </c>
      <c r="G426" s="16">
        <f>IFERROR(__xludf.DUMMYFUNCTION("GOOGLEFINANCE(A426,""CLOSEYEST"")"),436.1)</f>
        <v>436.1</v>
      </c>
      <c r="H426" s="17" t="str">
        <f t="shared" si="14"/>
        <v/>
      </c>
      <c r="I426" s="18">
        <f t="shared" si="9"/>
        <v>436.1333333</v>
      </c>
      <c r="J426" s="19">
        <f t="shared" si="10"/>
        <v>442.2666667</v>
      </c>
      <c r="K426" s="19"/>
      <c r="L426" s="19">
        <f t="shared" si="11"/>
        <v>429.9666667</v>
      </c>
      <c r="M426" s="19">
        <f t="shared" si="12"/>
        <v>448.4333333</v>
      </c>
      <c r="N426" s="19">
        <f t="shared" si="13"/>
        <v>423.8333333</v>
      </c>
    </row>
    <row r="427" ht="24.75" customHeight="1">
      <c r="A427" s="21" t="s">
        <v>390</v>
      </c>
      <c r="B427" s="13" t="str">
        <f>IFERROR(__xludf.DUMMYFUNCTION("GOOGLEFINANCE(A427,""PRICE"")"),"#N/A")</f>
        <v>#N/A</v>
      </c>
      <c r="C427" s="14" t="str">
        <f>IFERROR(__xludf.DUMMYFUNCTION("GOOGLEFINANCE(A427,""PRICEOPEN"")"),"#N/A")</f>
        <v>#N/A</v>
      </c>
      <c r="D427" s="14" t="str">
        <f>IFERROR(__xludf.DUMMYFUNCTION("GOOGLEFINANCE(A427,""HIGH"")"),"#N/A")</f>
        <v>#N/A</v>
      </c>
      <c r="E427" s="14" t="str">
        <f>IFERROR(__xludf.DUMMYFUNCTION("GOOGLEFINANCE(A427,""LOW"")"),"#N/A")</f>
        <v>#N/A</v>
      </c>
      <c r="F427" s="15" t="str">
        <f t="shared" si="8"/>
        <v>#N/A</v>
      </c>
      <c r="G427" s="16" t="str">
        <f>IFERROR(__xludf.DUMMYFUNCTION("GOOGLEFINANCE(A427,""CLOSEYEST"")"),"#N/A")</f>
        <v>#N/A</v>
      </c>
      <c r="H427" s="17" t="str">
        <f t="shared" si="14"/>
        <v>#N/A</v>
      </c>
      <c r="I427" s="18" t="str">
        <f t="shared" si="9"/>
        <v>#N/A</v>
      </c>
      <c r="J427" s="19" t="str">
        <f t="shared" si="10"/>
        <v>#N/A</v>
      </c>
      <c r="K427" s="19"/>
      <c r="L427" s="19" t="str">
        <f t="shared" si="11"/>
        <v>#N/A</v>
      </c>
      <c r="M427" s="19" t="str">
        <f t="shared" si="12"/>
        <v>#N/A</v>
      </c>
      <c r="N427" s="19" t="str">
        <f t="shared" si="13"/>
        <v>#N/A</v>
      </c>
    </row>
    <row r="428" ht="24.75" customHeight="1">
      <c r="A428" s="21" t="s">
        <v>391</v>
      </c>
      <c r="B428" s="13">
        <f>IFERROR(__xludf.DUMMYFUNCTION("GOOGLEFINANCE(A428,""PRICE"")"),132.3)</f>
        <v>132.3</v>
      </c>
      <c r="C428" s="14">
        <f>IFERROR(__xludf.DUMMYFUNCTION("GOOGLEFINANCE(A428,""PRICEOPEN"")"),133.0)</f>
        <v>133</v>
      </c>
      <c r="D428" s="14">
        <f>IFERROR(__xludf.DUMMYFUNCTION("GOOGLEFINANCE(A428,""HIGH"")"),133.54)</f>
        <v>133.54</v>
      </c>
      <c r="E428" s="14">
        <f>IFERROR(__xludf.DUMMYFUNCTION("GOOGLEFINANCE(A428,""LOW"")"),130.42)</f>
        <v>130.42</v>
      </c>
      <c r="F428" s="15" t="str">
        <f t="shared" si="8"/>
        <v/>
      </c>
      <c r="G428" s="16">
        <f>IFERROR(__xludf.DUMMYFUNCTION("GOOGLEFINANCE(A428,""CLOSEYEST"")"),132.15)</f>
        <v>132.15</v>
      </c>
      <c r="H428" s="17" t="str">
        <f t="shared" si="14"/>
        <v/>
      </c>
      <c r="I428" s="18">
        <f t="shared" si="9"/>
        <v>132.0366667</v>
      </c>
      <c r="J428" s="19">
        <f t="shared" si="10"/>
        <v>133.6533333</v>
      </c>
      <c r="K428" s="19"/>
      <c r="L428" s="19">
        <f t="shared" si="11"/>
        <v>130.5333333</v>
      </c>
      <c r="M428" s="19">
        <f t="shared" si="12"/>
        <v>135.1566667</v>
      </c>
      <c r="N428" s="19">
        <f t="shared" si="13"/>
        <v>128.9166667</v>
      </c>
    </row>
    <row r="429" ht="24.75" customHeight="1">
      <c r="A429" s="21" t="s">
        <v>392</v>
      </c>
      <c r="B429" s="13">
        <f>IFERROR(__xludf.DUMMYFUNCTION("GOOGLEFINANCE(A429,""PRICE"")"),628.7)</f>
        <v>628.7</v>
      </c>
      <c r="C429" s="14">
        <f>IFERROR(__xludf.DUMMYFUNCTION("GOOGLEFINANCE(A429,""PRICEOPEN"")"),581.35)</f>
        <v>581.35</v>
      </c>
      <c r="D429" s="14">
        <f>IFERROR(__xludf.DUMMYFUNCTION("GOOGLEFINANCE(A429,""HIGH"")"),630.0)</f>
        <v>630</v>
      </c>
      <c r="E429" s="14">
        <f>IFERROR(__xludf.DUMMYFUNCTION("GOOGLEFINANCE(A429,""LOW"")"),579.5)</f>
        <v>579.5</v>
      </c>
      <c r="F429" s="15" t="str">
        <f t="shared" si="8"/>
        <v/>
      </c>
      <c r="G429" s="16">
        <f>IFERROR(__xludf.DUMMYFUNCTION("GOOGLEFINANCE(A429,""CLOSEYEST"")"),581.35)</f>
        <v>581.35</v>
      </c>
      <c r="H429" s="17" t="str">
        <f t="shared" si="14"/>
        <v/>
      </c>
      <c r="I429" s="18">
        <f t="shared" si="9"/>
        <v>596.95</v>
      </c>
      <c r="J429" s="19">
        <f t="shared" si="10"/>
        <v>614.4</v>
      </c>
      <c r="K429" s="19"/>
      <c r="L429" s="19">
        <f t="shared" si="11"/>
        <v>563.9</v>
      </c>
      <c r="M429" s="19">
        <f t="shared" si="12"/>
        <v>647.45</v>
      </c>
      <c r="N429" s="19">
        <f t="shared" si="13"/>
        <v>546.45</v>
      </c>
    </row>
    <row r="430" ht="24.75" customHeight="1">
      <c r="A430" s="21" t="s">
        <v>393</v>
      </c>
      <c r="B430" s="13">
        <f>IFERROR(__xludf.DUMMYFUNCTION("GOOGLEFINANCE(A430,""PRICE"")"),890.0)</f>
        <v>890</v>
      </c>
      <c r="C430" s="14">
        <f>IFERROR(__xludf.DUMMYFUNCTION("GOOGLEFINANCE(A430,""PRICEOPEN"")"),887.0)</f>
        <v>887</v>
      </c>
      <c r="D430" s="14">
        <f>IFERROR(__xludf.DUMMYFUNCTION("GOOGLEFINANCE(A430,""HIGH"")"),896.0)</f>
        <v>896</v>
      </c>
      <c r="E430" s="14">
        <f>IFERROR(__xludf.DUMMYFUNCTION("GOOGLEFINANCE(A430,""LOW"")"),878.6)</f>
        <v>878.6</v>
      </c>
      <c r="F430" s="15" t="str">
        <f t="shared" si="8"/>
        <v/>
      </c>
      <c r="G430" s="16">
        <f>IFERROR(__xludf.DUMMYFUNCTION("GOOGLEFINANCE(A430,""CLOSEYEST"")"),882.3)</f>
        <v>882.3</v>
      </c>
      <c r="H430" s="17" t="str">
        <f t="shared" si="14"/>
        <v/>
      </c>
      <c r="I430" s="18">
        <f t="shared" si="9"/>
        <v>885.6333333</v>
      </c>
      <c r="J430" s="19">
        <f t="shared" si="10"/>
        <v>892.6666667</v>
      </c>
      <c r="K430" s="19"/>
      <c r="L430" s="19">
        <f t="shared" si="11"/>
        <v>875.2666667</v>
      </c>
      <c r="M430" s="19">
        <f t="shared" si="12"/>
        <v>903.0333333</v>
      </c>
      <c r="N430" s="19">
        <f t="shared" si="13"/>
        <v>868.2333333</v>
      </c>
    </row>
    <row r="431" ht="24.75" customHeight="1">
      <c r="A431" s="21" t="s">
        <v>394</v>
      </c>
      <c r="B431" s="13">
        <f>IFERROR(__xludf.DUMMYFUNCTION("GOOGLEFINANCE(A431,""PRICE"")"),52.82)</f>
        <v>52.82</v>
      </c>
      <c r="C431" s="14">
        <f>IFERROR(__xludf.DUMMYFUNCTION("GOOGLEFINANCE(A431,""PRICEOPEN"")"),52.74)</f>
        <v>52.74</v>
      </c>
      <c r="D431" s="14">
        <f>IFERROR(__xludf.DUMMYFUNCTION("GOOGLEFINANCE(A431,""HIGH"")"),52.98)</f>
        <v>52.98</v>
      </c>
      <c r="E431" s="14">
        <f>IFERROR(__xludf.DUMMYFUNCTION("GOOGLEFINANCE(A431,""LOW"")"),52.02)</f>
        <v>52.02</v>
      </c>
      <c r="F431" s="15" t="str">
        <f t="shared" si="8"/>
        <v/>
      </c>
      <c r="G431" s="16">
        <f>IFERROR(__xludf.DUMMYFUNCTION("GOOGLEFINANCE(A431,""CLOSEYEST"")"),52.49)</f>
        <v>52.49</v>
      </c>
      <c r="H431" s="17" t="str">
        <f t="shared" si="14"/>
        <v/>
      </c>
      <c r="I431" s="18">
        <f t="shared" si="9"/>
        <v>52.49666667</v>
      </c>
      <c r="J431" s="19">
        <f t="shared" si="10"/>
        <v>52.97333333</v>
      </c>
      <c r="K431" s="19"/>
      <c r="L431" s="19">
        <f t="shared" si="11"/>
        <v>52.01333333</v>
      </c>
      <c r="M431" s="19">
        <f t="shared" si="12"/>
        <v>53.45666667</v>
      </c>
      <c r="N431" s="19">
        <f t="shared" si="13"/>
        <v>51.53666667</v>
      </c>
    </row>
    <row r="432" ht="24.75" customHeight="1">
      <c r="A432" s="21" t="s">
        <v>395</v>
      </c>
      <c r="B432" s="13">
        <f>IFERROR(__xludf.DUMMYFUNCTION("GOOGLEFINANCE(A432,""PRICE"")"),674.0)</f>
        <v>674</v>
      </c>
      <c r="C432" s="14">
        <f>IFERROR(__xludf.DUMMYFUNCTION("GOOGLEFINANCE(A432,""PRICEOPEN"")"),683.95)</f>
        <v>683.95</v>
      </c>
      <c r="D432" s="14">
        <f>IFERROR(__xludf.DUMMYFUNCTION("GOOGLEFINANCE(A432,""HIGH"")"),686.95)</f>
        <v>686.95</v>
      </c>
      <c r="E432" s="14">
        <f>IFERROR(__xludf.DUMMYFUNCTION("GOOGLEFINANCE(A432,""LOW"")"),672.1)</f>
        <v>672.1</v>
      </c>
      <c r="F432" s="15" t="str">
        <f t="shared" si="8"/>
        <v/>
      </c>
      <c r="G432" s="16">
        <f>IFERROR(__xludf.DUMMYFUNCTION("GOOGLEFINANCE(A432,""CLOSEYEST"")"),682.35)</f>
        <v>682.35</v>
      </c>
      <c r="H432" s="17" t="str">
        <f t="shared" si="14"/>
        <v/>
      </c>
      <c r="I432" s="18">
        <f t="shared" si="9"/>
        <v>680.4666667</v>
      </c>
      <c r="J432" s="19">
        <f t="shared" si="10"/>
        <v>688.8333333</v>
      </c>
      <c r="K432" s="19"/>
      <c r="L432" s="19">
        <f t="shared" si="11"/>
        <v>673.9833333</v>
      </c>
      <c r="M432" s="19">
        <f t="shared" si="12"/>
        <v>695.3166667</v>
      </c>
      <c r="N432" s="19">
        <f t="shared" si="13"/>
        <v>665.6166667</v>
      </c>
    </row>
    <row r="433" ht="24.75" customHeight="1">
      <c r="A433" s="21" t="s">
        <v>396</v>
      </c>
      <c r="B433" s="13">
        <f>IFERROR(__xludf.DUMMYFUNCTION("GOOGLEFINANCE(A433,""PRICE"")"),650.0)</f>
        <v>650</v>
      </c>
      <c r="C433" s="14">
        <f>IFERROR(__xludf.DUMMYFUNCTION("GOOGLEFINANCE(A433,""PRICEOPEN"")"),640.0)</f>
        <v>640</v>
      </c>
      <c r="D433" s="14">
        <f>IFERROR(__xludf.DUMMYFUNCTION("GOOGLEFINANCE(A433,""HIGH"")"),652.35)</f>
        <v>652.35</v>
      </c>
      <c r="E433" s="14">
        <f>IFERROR(__xludf.DUMMYFUNCTION("GOOGLEFINANCE(A433,""LOW"")"),640.0)</f>
        <v>640</v>
      </c>
      <c r="F433" s="15" t="str">
        <f t="shared" si="8"/>
        <v>BUY</v>
      </c>
      <c r="G433" s="16">
        <f>IFERROR(__xludf.DUMMYFUNCTION("GOOGLEFINANCE(A433,""CLOSEYEST"")"),640.25)</f>
        <v>640.25</v>
      </c>
      <c r="H433" s="17" t="str">
        <f t="shared" si="14"/>
        <v/>
      </c>
      <c r="I433" s="18">
        <f t="shared" si="9"/>
        <v>644.2</v>
      </c>
      <c r="J433" s="19">
        <f t="shared" si="10"/>
        <v>648.4</v>
      </c>
      <c r="K433" s="19"/>
      <c r="L433" s="19">
        <f t="shared" si="11"/>
        <v>636.05</v>
      </c>
      <c r="M433" s="19">
        <f t="shared" si="12"/>
        <v>656.55</v>
      </c>
      <c r="N433" s="19">
        <f t="shared" si="13"/>
        <v>631.85</v>
      </c>
    </row>
    <row r="434" ht="24.75" customHeight="1">
      <c r="A434" s="21" t="s">
        <v>397</v>
      </c>
      <c r="B434" s="13">
        <f>IFERROR(__xludf.DUMMYFUNCTION("GOOGLEFINANCE(A434,""PRICE"")"),392.35)</f>
        <v>392.35</v>
      </c>
      <c r="C434" s="14">
        <f>IFERROR(__xludf.DUMMYFUNCTION("GOOGLEFINANCE(A434,""PRICEOPEN"")"),365.65)</f>
        <v>365.65</v>
      </c>
      <c r="D434" s="14">
        <f>IFERROR(__xludf.DUMMYFUNCTION("GOOGLEFINANCE(A434,""HIGH"")"),413.95)</f>
        <v>413.95</v>
      </c>
      <c r="E434" s="14">
        <f>IFERROR(__xludf.DUMMYFUNCTION("GOOGLEFINANCE(A434,""LOW"")"),364.15)</f>
        <v>364.15</v>
      </c>
      <c r="F434" s="15" t="str">
        <f t="shared" si="8"/>
        <v/>
      </c>
      <c r="G434" s="16">
        <f>IFERROR(__xludf.DUMMYFUNCTION("GOOGLEFINANCE(A434,""CLOSEYEST"")"),365.65)</f>
        <v>365.65</v>
      </c>
      <c r="H434" s="17" t="str">
        <f t="shared" si="14"/>
        <v/>
      </c>
      <c r="I434" s="18">
        <f t="shared" si="9"/>
        <v>381.25</v>
      </c>
      <c r="J434" s="19">
        <f t="shared" si="10"/>
        <v>398.35</v>
      </c>
      <c r="K434" s="19"/>
      <c r="L434" s="19">
        <f t="shared" si="11"/>
        <v>348.55</v>
      </c>
      <c r="M434" s="19">
        <f t="shared" si="12"/>
        <v>431.05</v>
      </c>
      <c r="N434" s="19">
        <f t="shared" si="13"/>
        <v>331.45</v>
      </c>
    </row>
    <row r="435" ht="24.75" customHeight="1">
      <c r="A435" s="21" t="s">
        <v>398</v>
      </c>
      <c r="B435" s="13">
        <f>IFERROR(__xludf.DUMMYFUNCTION("GOOGLEFINANCE(A435,""PRICE"")"),1474.8)</f>
        <v>1474.8</v>
      </c>
      <c r="C435" s="14">
        <f>IFERROR(__xludf.DUMMYFUNCTION("GOOGLEFINANCE(A435,""PRICEOPEN"")"),1519.8)</f>
        <v>1519.8</v>
      </c>
      <c r="D435" s="14">
        <f>IFERROR(__xludf.DUMMYFUNCTION("GOOGLEFINANCE(A435,""HIGH"")"),1526.5)</f>
        <v>1526.5</v>
      </c>
      <c r="E435" s="14">
        <f>IFERROR(__xludf.DUMMYFUNCTION("GOOGLEFINANCE(A435,""LOW"")"),1463.0)</f>
        <v>1463</v>
      </c>
      <c r="F435" s="15" t="str">
        <f t="shared" si="8"/>
        <v/>
      </c>
      <c r="G435" s="16">
        <f>IFERROR(__xludf.DUMMYFUNCTION("GOOGLEFINANCE(A435,""CLOSEYEST"")"),1514.9)</f>
        <v>1514.9</v>
      </c>
      <c r="H435" s="17" t="str">
        <f t="shared" si="14"/>
        <v/>
      </c>
      <c r="I435" s="18">
        <f t="shared" si="9"/>
        <v>1501.466667</v>
      </c>
      <c r="J435" s="19">
        <f t="shared" si="10"/>
        <v>1539.933333</v>
      </c>
      <c r="K435" s="19"/>
      <c r="L435" s="19">
        <f t="shared" si="11"/>
        <v>1476.433333</v>
      </c>
      <c r="M435" s="19">
        <f t="shared" si="12"/>
        <v>1564.966667</v>
      </c>
      <c r="N435" s="19">
        <f t="shared" si="13"/>
        <v>1437.966667</v>
      </c>
    </row>
    <row r="436" ht="24.75" customHeight="1">
      <c r="A436" s="21" t="s">
        <v>399</v>
      </c>
      <c r="B436" s="13">
        <f>IFERROR(__xludf.DUMMYFUNCTION("GOOGLEFINANCE(A436,""PRICE"")"),560.0)</f>
        <v>560</v>
      </c>
      <c r="C436" s="14">
        <f>IFERROR(__xludf.DUMMYFUNCTION("GOOGLEFINANCE(A436,""PRICEOPEN"")"),544.95)</f>
        <v>544.95</v>
      </c>
      <c r="D436" s="14">
        <f>IFERROR(__xludf.DUMMYFUNCTION("GOOGLEFINANCE(A436,""HIGH"")"),562.7)</f>
        <v>562.7</v>
      </c>
      <c r="E436" s="14">
        <f>IFERROR(__xludf.DUMMYFUNCTION("GOOGLEFINANCE(A436,""LOW"")"),542.0)</f>
        <v>542</v>
      </c>
      <c r="F436" s="15" t="str">
        <f t="shared" si="8"/>
        <v/>
      </c>
      <c r="G436" s="16">
        <f>IFERROR(__xludf.DUMMYFUNCTION("GOOGLEFINANCE(A436,""CLOSEYEST"")"),542.65)</f>
        <v>542.65</v>
      </c>
      <c r="H436" s="17" t="str">
        <f t="shared" si="14"/>
        <v/>
      </c>
      <c r="I436" s="18">
        <f t="shared" si="9"/>
        <v>549.1166667</v>
      </c>
      <c r="J436" s="19">
        <f t="shared" si="10"/>
        <v>556.2333333</v>
      </c>
      <c r="K436" s="19"/>
      <c r="L436" s="19">
        <f t="shared" si="11"/>
        <v>535.5333333</v>
      </c>
      <c r="M436" s="19">
        <f t="shared" si="12"/>
        <v>569.8166667</v>
      </c>
      <c r="N436" s="19">
        <f t="shared" si="13"/>
        <v>528.4166667</v>
      </c>
    </row>
    <row r="437" ht="24.75" customHeight="1">
      <c r="A437" s="21" t="s">
        <v>400</v>
      </c>
      <c r="B437" s="13">
        <f>IFERROR(__xludf.DUMMYFUNCTION("GOOGLEFINANCE(A437,""PRICE"")"),829.0)</f>
        <v>829</v>
      </c>
      <c r="C437" s="14">
        <f>IFERROR(__xludf.DUMMYFUNCTION("GOOGLEFINANCE(A437,""PRICEOPEN"")"),820.7)</f>
        <v>820.7</v>
      </c>
      <c r="D437" s="14">
        <f>IFERROR(__xludf.DUMMYFUNCTION("GOOGLEFINANCE(A437,""HIGH"")"),829.2)</f>
        <v>829.2</v>
      </c>
      <c r="E437" s="14">
        <f>IFERROR(__xludf.DUMMYFUNCTION("GOOGLEFINANCE(A437,""LOW"")"),817.2)</f>
        <v>817.2</v>
      </c>
      <c r="F437" s="15" t="str">
        <f t="shared" si="8"/>
        <v/>
      </c>
      <c r="G437" s="16">
        <f>IFERROR(__xludf.DUMMYFUNCTION("GOOGLEFINANCE(A437,""CLOSEYEST"")"),820.7)</f>
        <v>820.7</v>
      </c>
      <c r="H437" s="17" t="str">
        <f t="shared" si="14"/>
        <v/>
      </c>
      <c r="I437" s="18">
        <f t="shared" si="9"/>
        <v>822.3666667</v>
      </c>
      <c r="J437" s="19">
        <f t="shared" si="10"/>
        <v>827.5333333</v>
      </c>
      <c r="K437" s="19"/>
      <c r="L437" s="19">
        <f t="shared" si="11"/>
        <v>815.5333333</v>
      </c>
      <c r="M437" s="19">
        <f t="shared" si="12"/>
        <v>834.3666667</v>
      </c>
      <c r="N437" s="19">
        <f t="shared" si="13"/>
        <v>810.3666667</v>
      </c>
    </row>
    <row r="438" ht="24.75" customHeight="1">
      <c r="A438" s="21" t="s">
        <v>401</v>
      </c>
      <c r="B438" s="13">
        <f>IFERROR(__xludf.DUMMYFUNCTION("GOOGLEFINANCE(A438,""PRICE"")"),424.0)</f>
        <v>424</v>
      </c>
      <c r="C438" s="14">
        <f>IFERROR(__xludf.DUMMYFUNCTION("GOOGLEFINANCE(A438,""PRICEOPEN"")"),416.0)</f>
        <v>416</v>
      </c>
      <c r="D438" s="14">
        <f>IFERROR(__xludf.DUMMYFUNCTION("GOOGLEFINANCE(A438,""HIGH"")"),424.0)</f>
        <v>424</v>
      </c>
      <c r="E438" s="14">
        <f>IFERROR(__xludf.DUMMYFUNCTION("GOOGLEFINANCE(A438,""LOW"")"),414.55)</f>
        <v>414.55</v>
      </c>
      <c r="F438" s="15" t="str">
        <f t="shared" si="8"/>
        <v/>
      </c>
      <c r="G438" s="16">
        <f>IFERROR(__xludf.DUMMYFUNCTION("GOOGLEFINANCE(A438,""CLOSEYEST"")"),416.0)</f>
        <v>416</v>
      </c>
      <c r="H438" s="17" t="str">
        <f t="shared" si="14"/>
        <v/>
      </c>
      <c r="I438" s="18">
        <f t="shared" si="9"/>
        <v>418.1833333</v>
      </c>
      <c r="J438" s="19">
        <f t="shared" si="10"/>
        <v>421.8166667</v>
      </c>
      <c r="K438" s="19"/>
      <c r="L438" s="19">
        <f t="shared" si="11"/>
        <v>412.3666667</v>
      </c>
      <c r="M438" s="19">
        <f t="shared" si="12"/>
        <v>427.6333333</v>
      </c>
      <c r="N438" s="19">
        <f t="shared" si="13"/>
        <v>408.7333333</v>
      </c>
    </row>
    <row r="439" ht="24.75" customHeight="1">
      <c r="A439" s="21" t="s">
        <v>402</v>
      </c>
      <c r="B439" s="13">
        <f>IFERROR(__xludf.DUMMYFUNCTION("GOOGLEFINANCE(A439,""PRICE"")"),731.3)</f>
        <v>731.3</v>
      </c>
      <c r="C439" s="14">
        <f>IFERROR(__xludf.DUMMYFUNCTION("GOOGLEFINANCE(A439,""PRICEOPEN"")"),726.5)</f>
        <v>726.5</v>
      </c>
      <c r="D439" s="14">
        <f>IFERROR(__xludf.DUMMYFUNCTION("GOOGLEFINANCE(A439,""HIGH"")"),736.4)</f>
        <v>736.4</v>
      </c>
      <c r="E439" s="14">
        <f>IFERROR(__xludf.DUMMYFUNCTION("GOOGLEFINANCE(A439,""LOW"")"),720.0)</f>
        <v>720</v>
      </c>
      <c r="F439" s="15" t="str">
        <f t="shared" si="8"/>
        <v/>
      </c>
      <c r="G439" s="16">
        <f>IFERROR(__xludf.DUMMYFUNCTION("GOOGLEFINANCE(A439,""CLOSEYEST"")"),732.1)</f>
        <v>732.1</v>
      </c>
      <c r="H439" s="17" t="str">
        <f t="shared" si="14"/>
        <v/>
      </c>
      <c r="I439" s="18">
        <f t="shared" si="9"/>
        <v>729.5</v>
      </c>
      <c r="J439" s="19">
        <f t="shared" si="10"/>
        <v>739</v>
      </c>
      <c r="K439" s="19"/>
      <c r="L439" s="19">
        <f t="shared" si="11"/>
        <v>722.6</v>
      </c>
      <c r="M439" s="19">
        <f t="shared" si="12"/>
        <v>745.9</v>
      </c>
      <c r="N439" s="19">
        <f t="shared" si="13"/>
        <v>713.1</v>
      </c>
    </row>
    <row r="440" ht="24.75" customHeight="1">
      <c r="A440" s="21" t="s">
        <v>403</v>
      </c>
      <c r="B440" s="13">
        <f>IFERROR(__xludf.DUMMYFUNCTION("GOOGLEFINANCE(A440,""PRICE"")"),22197.62)</f>
        <v>22197.62</v>
      </c>
      <c r="C440" s="14">
        <f>IFERROR(__xludf.DUMMYFUNCTION("GOOGLEFINANCE(A440,""PRICEOPEN"")"),22047.25)</f>
        <v>22047.25</v>
      </c>
      <c r="D440" s="14">
        <f>IFERROR(__xludf.DUMMYFUNCTION("GOOGLEFINANCE(A440,""HIGH"")"),22234.65)</f>
        <v>22234.65</v>
      </c>
      <c r="E440" s="14">
        <f>IFERROR(__xludf.DUMMYFUNCTION("GOOGLEFINANCE(A440,""LOW"")"),22047.25)</f>
        <v>22047.25</v>
      </c>
      <c r="F440" s="15" t="str">
        <f t="shared" si="8"/>
        <v>BUY</v>
      </c>
      <c r="G440" s="16">
        <f>IFERROR(__xludf.DUMMYFUNCTION("GOOGLEFINANCE(A440,""CLOSEYEST"")"),22047.3)</f>
        <v>22047.3</v>
      </c>
      <c r="H440" s="17" t="str">
        <f t="shared" si="14"/>
        <v/>
      </c>
      <c r="I440" s="18">
        <f t="shared" si="9"/>
        <v>22109.73333</v>
      </c>
      <c r="J440" s="19">
        <f t="shared" si="10"/>
        <v>22172.21667</v>
      </c>
      <c r="K440" s="19"/>
      <c r="L440" s="19">
        <f t="shared" si="11"/>
        <v>21984.81667</v>
      </c>
      <c r="M440" s="19">
        <f t="shared" si="12"/>
        <v>22297.13333</v>
      </c>
      <c r="N440" s="19">
        <f t="shared" si="13"/>
        <v>21922.33333</v>
      </c>
    </row>
    <row r="441" ht="24.75" customHeight="1">
      <c r="A441" s="21" t="s">
        <v>404</v>
      </c>
      <c r="B441" s="13">
        <f>IFERROR(__xludf.DUMMYFUNCTION("GOOGLEFINANCE(A441,""PRICE"")"),795.0)</f>
        <v>795</v>
      </c>
      <c r="C441" s="14">
        <f>IFERROR(__xludf.DUMMYFUNCTION("GOOGLEFINANCE(A441,""PRICEOPEN"")"),784.0)</f>
        <v>784</v>
      </c>
      <c r="D441" s="14">
        <f>IFERROR(__xludf.DUMMYFUNCTION("GOOGLEFINANCE(A441,""HIGH"")"),796.0)</f>
        <v>796</v>
      </c>
      <c r="E441" s="14">
        <f>IFERROR(__xludf.DUMMYFUNCTION("GOOGLEFINANCE(A441,""LOW"")"),781.3)</f>
        <v>781.3</v>
      </c>
      <c r="F441" s="15" t="str">
        <f t="shared" si="8"/>
        <v/>
      </c>
      <c r="G441" s="16">
        <f>IFERROR(__xludf.DUMMYFUNCTION("GOOGLEFINANCE(A441,""CLOSEYEST"")"),782.95)</f>
        <v>782.95</v>
      </c>
      <c r="H441" s="17" t="str">
        <f t="shared" si="14"/>
        <v/>
      </c>
      <c r="I441" s="18">
        <f t="shared" si="9"/>
        <v>786.75</v>
      </c>
      <c r="J441" s="19">
        <f t="shared" si="10"/>
        <v>792.2</v>
      </c>
      <c r="K441" s="19"/>
      <c r="L441" s="19">
        <f t="shared" si="11"/>
        <v>777.5</v>
      </c>
      <c r="M441" s="19">
        <f t="shared" si="12"/>
        <v>801.45</v>
      </c>
      <c r="N441" s="19">
        <f t="shared" si="13"/>
        <v>772.05</v>
      </c>
    </row>
    <row r="442" ht="24.75" customHeight="1">
      <c r="A442" s="21" t="s">
        <v>405</v>
      </c>
      <c r="B442" s="13">
        <f>IFERROR(__xludf.DUMMYFUNCTION("GOOGLEFINANCE(A442,""PRICE"")"),4.83)</f>
        <v>4.83</v>
      </c>
      <c r="C442" s="14">
        <f>IFERROR(__xludf.DUMMYFUNCTION("GOOGLEFINANCE(A442,""PRICEOPEN"")"),5.23)</f>
        <v>5.23</v>
      </c>
      <c r="D442" s="14">
        <f>IFERROR(__xludf.DUMMYFUNCTION("GOOGLEFINANCE(A442,""HIGH"")"),5.42)</f>
        <v>5.42</v>
      </c>
      <c r="E442" s="14">
        <f>IFERROR(__xludf.DUMMYFUNCTION("GOOGLEFINANCE(A442,""LOW"")"),4.63)</f>
        <v>4.63</v>
      </c>
      <c r="F442" s="15" t="str">
        <f t="shared" si="8"/>
        <v/>
      </c>
      <c r="G442" s="16">
        <f>IFERROR(__xludf.DUMMYFUNCTION("GOOGLEFINANCE(A442,""CLOSEYEST"")"),5.03)</f>
        <v>5.03</v>
      </c>
      <c r="H442" s="17" t="str">
        <f t="shared" si="14"/>
        <v>GAP UP</v>
      </c>
      <c r="I442" s="18">
        <f t="shared" si="9"/>
        <v>5.026666667</v>
      </c>
      <c r="J442" s="19">
        <f t="shared" si="10"/>
        <v>5.423333333</v>
      </c>
      <c r="K442" s="19"/>
      <c r="L442" s="19">
        <f t="shared" si="11"/>
        <v>4.633333333</v>
      </c>
      <c r="M442" s="19">
        <f t="shared" si="12"/>
        <v>5.816666667</v>
      </c>
      <c r="N442" s="19">
        <f t="shared" si="13"/>
        <v>4.236666667</v>
      </c>
    </row>
    <row r="443" ht="24.75" customHeight="1">
      <c r="A443" s="21" t="s">
        <v>406</v>
      </c>
      <c r="B443" s="13" t="str">
        <f>IFERROR(__xludf.DUMMYFUNCTION("GOOGLEFINANCE(A443,""PRICE"")"),"#N/A")</f>
        <v>#N/A</v>
      </c>
      <c r="C443" s="14" t="str">
        <f>IFERROR(__xludf.DUMMYFUNCTION("GOOGLEFINANCE(A443,""PRICEOPEN"")"),"#N/A")</f>
        <v>#N/A</v>
      </c>
      <c r="D443" s="14" t="str">
        <f>IFERROR(__xludf.DUMMYFUNCTION("GOOGLEFINANCE(A443,""HIGH"")"),"#N/A")</f>
        <v>#N/A</v>
      </c>
      <c r="E443" s="14" t="str">
        <f>IFERROR(__xludf.DUMMYFUNCTION("GOOGLEFINANCE(A443,""LOW"")"),"#N/A")</f>
        <v>#N/A</v>
      </c>
      <c r="F443" s="15" t="str">
        <f t="shared" si="8"/>
        <v>#N/A</v>
      </c>
      <c r="G443" s="16" t="str">
        <f>IFERROR(__xludf.DUMMYFUNCTION("GOOGLEFINANCE(A443,""CLOSEYEST"")"),"#N/A")</f>
        <v>#N/A</v>
      </c>
      <c r="H443" s="17" t="str">
        <f t="shared" si="14"/>
        <v>#N/A</v>
      </c>
      <c r="I443" s="18" t="str">
        <f t="shared" si="9"/>
        <v>#N/A</v>
      </c>
      <c r="J443" s="19" t="str">
        <f t="shared" si="10"/>
        <v>#N/A</v>
      </c>
      <c r="K443" s="19"/>
      <c r="L443" s="19" t="str">
        <f t="shared" si="11"/>
        <v>#N/A</v>
      </c>
      <c r="M443" s="19" t="str">
        <f t="shared" si="12"/>
        <v>#N/A</v>
      </c>
      <c r="N443" s="19" t="str">
        <f t="shared" si="13"/>
        <v>#N/A</v>
      </c>
    </row>
    <row r="444" ht="24.75" customHeight="1">
      <c r="A444" s="21" t="s">
        <v>407</v>
      </c>
      <c r="B444" s="13" t="str">
        <f>IFERROR(__xludf.DUMMYFUNCTION("GOOGLEFINANCE(A444,""PRICE"")"),"#N/A")</f>
        <v>#N/A</v>
      </c>
      <c r="C444" s="14" t="str">
        <f>IFERROR(__xludf.DUMMYFUNCTION("GOOGLEFINANCE(A444,""PRICEOPEN"")"),"#N/A")</f>
        <v>#N/A</v>
      </c>
      <c r="D444" s="14" t="str">
        <f>IFERROR(__xludf.DUMMYFUNCTION("GOOGLEFINANCE(A444,""HIGH"")"),"#N/A")</f>
        <v>#N/A</v>
      </c>
      <c r="E444" s="14" t="str">
        <f>IFERROR(__xludf.DUMMYFUNCTION("GOOGLEFINANCE(A444,""LOW"")"),"#N/A")</f>
        <v>#N/A</v>
      </c>
      <c r="F444" s="15" t="str">
        <f t="shared" si="8"/>
        <v>#N/A</v>
      </c>
      <c r="G444" s="16" t="str">
        <f>IFERROR(__xludf.DUMMYFUNCTION("GOOGLEFINANCE(A444,""CLOSEYEST"")"),"#N/A")</f>
        <v>#N/A</v>
      </c>
      <c r="H444" s="17" t="str">
        <f t="shared" si="14"/>
        <v>#N/A</v>
      </c>
      <c r="I444" s="18" t="str">
        <f t="shared" si="9"/>
        <v>#N/A</v>
      </c>
      <c r="J444" s="19" t="str">
        <f t="shared" si="10"/>
        <v>#N/A</v>
      </c>
      <c r="K444" s="19"/>
      <c r="L444" s="19" t="str">
        <f t="shared" si="11"/>
        <v>#N/A</v>
      </c>
      <c r="M444" s="19" t="str">
        <f t="shared" si="12"/>
        <v>#N/A</v>
      </c>
      <c r="N444" s="19" t="str">
        <f t="shared" si="13"/>
        <v>#N/A</v>
      </c>
    </row>
    <row r="445" ht="24.75" customHeight="1">
      <c r="A445" s="21" t="s">
        <v>408</v>
      </c>
      <c r="B445" s="13">
        <f>IFERROR(__xludf.DUMMYFUNCTION("GOOGLEFINANCE(A445,""PRICE"")"),4390.0)</f>
        <v>4390</v>
      </c>
      <c r="C445" s="14">
        <f>IFERROR(__xludf.DUMMYFUNCTION("GOOGLEFINANCE(A445,""PRICEOPEN"")"),4318.7)</f>
        <v>4318.7</v>
      </c>
      <c r="D445" s="14">
        <f>IFERROR(__xludf.DUMMYFUNCTION("GOOGLEFINANCE(A445,""HIGH"")"),4410.0)</f>
        <v>4410</v>
      </c>
      <c r="E445" s="14">
        <f>IFERROR(__xludf.DUMMYFUNCTION("GOOGLEFINANCE(A445,""LOW"")"),4303.2)</f>
        <v>4303.2</v>
      </c>
      <c r="F445" s="15" t="str">
        <f t="shared" si="8"/>
        <v/>
      </c>
      <c r="G445" s="16">
        <f>IFERROR(__xludf.DUMMYFUNCTION("GOOGLEFINANCE(A445,""CLOSEYEST"")"),4318.7)</f>
        <v>4318.7</v>
      </c>
      <c r="H445" s="17" t="str">
        <f t="shared" si="14"/>
        <v/>
      </c>
      <c r="I445" s="18">
        <f t="shared" si="9"/>
        <v>4343.966667</v>
      </c>
      <c r="J445" s="19">
        <f t="shared" si="10"/>
        <v>4384.733333</v>
      </c>
      <c r="K445" s="19"/>
      <c r="L445" s="19">
        <f t="shared" si="11"/>
        <v>4277.933333</v>
      </c>
      <c r="M445" s="19">
        <f t="shared" si="12"/>
        <v>4450.766667</v>
      </c>
      <c r="N445" s="19">
        <f t="shared" si="13"/>
        <v>4237.166667</v>
      </c>
    </row>
    <row r="446" ht="24.75" customHeight="1">
      <c r="A446" s="21" t="s">
        <v>409</v>
      </c>
      <c r="B446" s="13">
        <f>IFERROR(__xludf.DUMMYFUNCTION("GOOGLEFINANCE(A446,""PRICE"")"),144.0)</f>
        <v>144</v>
      </c>
      <c r="C446" s="14">
        <f>IFERROR(__xludf.DUMMYFUNCTION("GOOGLEFINANCE(A446,""PRICEOPEN"")"),134.49)</f>
        <v>134.49</v>
      </c>
      <c r="D446" s="14">
        <f>IFERROR(__xludf.DUMMYFUNCTION("GOOGLEFINANCE(A446,""HIGH"")"),146.77)</f>
        <v>146.77</v>
      </c>
      <c r="E446" s="14">
        <f>IFERROR(__xludf.DUMMYFUNCTION("GOOGLEFINANCE(A446,""LOW"")"),132.15)</f>
        <v>132.15</v>
      </c>
      <c r="F446" s="15" t="str">
        <f t="shared" si="8"/>
        <v/>
      </c>
      <c r="G446" s="16">
        <f>IFERROR(__xludf.DUMMYFUNCTION("GOOGLEFINANCE(A446,""CLOSEYEST"")"),133.31)</f>
        <v>133.31</v>
      </c>
      <c r="H446" s="17" t="str">
        <f t="shared" si="14"/>
        <v/>
      </c>
      <c r="I446" s="18">
        <f t="shared" si="9"/>
        <v>137.41</v>
      </c>
      <c r="J446" s="19">
        <f t="shared" si="10"/>
        <v>142.67</v>
      </c>
      <c r="K446" s="19"/>
      <c r="L446" s="19">
        <f t="shared" si="11"/>
        <v>128.05</v>
      </c>
      <c r="M446" s="19">
        <f t="shared" si="12"/>
        <v>152.03</v>
      </c>
      <c r="N446" s="19">
        <f t="shared" si="13"/>
        <v>122.79</v>
      </c>
    </row>
    <row r="447" ht="24.75" customHeight="1">
      <c r="A447" s="21" t="s">
        <v>410</v>
      </c>
      <c r="B447" s="13" t="str">
        <f>IFERROR(__xludf.DUMMYFUNCTION("GOOGLEFINANCE(A447,""PRICE"")"),"#N/A")</f>
        <v>#N/A</v>
      </c>
      <c r="C447" s="14" t="str">
        <f>IFERROR(__xludf.DUMMYFUNCTION("GOOGLEFINANCE(A447,""PRICEOPEN"")"),"#N/A")</f>
        <v>#N/A</v>
      </c>
      <c r="D447" s="14" t="str">
        <f>IFERROR(__xludf.DUMMYFUNCTION("GOOGLEFINANCE(A447,""HIGH"")"),"#N/A")</f>
        <v>#N/A</v>
      </c>
      <c r="E447" s="14" t="str">
        <f>IFERROR(__xludf.DUMMYFUNCTION("GOOGLEFINANCE(A447,""LOW"")"),"#N/A")</f>
        <v>#N/A</v>
      </c>
      <c r="F447" s="15" t="str">
        <f t="shared" si="8"/>
        <v>#N/A</v>
      </c>
      <c r="G447" s="16" t="str">
        <f>IFERROR(__xludf.DUMMYFUNCTION("GOOGLEFINANCE(A447,""CLOSEYEST"")"),"#N/A")</f>
        <v>#N/A</v>
      </c>
      <c r="H447" s="17" t="str">
        <f t="shared" si="14"/>
        <v>#N/A</v>
      </c>
      <c r="I447" s="18" t="str">
        <f t="shared" si="9"/>
        <v>#N/A</v>
      </c>
      <c r="J447" s="19" t="str">
        <f t="shared" si="10"/>
        <v>#N/A</v>
      </c>
      <c r="K447" s="19"/>
      <c r="L447" s="19" t="str">
        <f t="shared" si="11"/>
        <v>#N/A</v>
      </c>
      <c r="M447" s="19" t="str">
        <f t="shared" si="12"/>
        <v>#N/A</v>
      </c>
      <c r="N447" s="19" t="str">
        <f t="shared" si="13"/>
        <v>#N/A</v>
      </c>
    </row>
    <row r="448" ht="24.75" customHeight="1">
      <c r="A448" s="21" t="s">
        <v>411</v>
      </c>
      <c r="B448" s="13">
        <f>IFERROR(__xludf.DUMMYFUNCTION("GOOGLEFINANCE(A448,""PRICE"")"),199.0)</f>
        <v>199</v>
      </c>
      <c r="C448" s="14">
        <f>IFERROR(__xludf.DUMMYFUNCTION("GOOGLEFINANCE(A448,""PRICEOPEN"")"),199.0)</f>
        <v>199</v>
      </c>
      <c r="D448" s="14">
        <f>IFERROR(__xludf.DUMMYFUNCTION("GOOGLEFINANCE(A448,""HIGH"")"),199.79)</f>
        <v>199.79</v>
      </c>
      <c r="E448" s="14">
        <f>IFERROR(__xludf.DUMMYFUNCTION("GOOGLEFINANCE(A448,""LOW"")"),196.37)</f>
        <v>196.37</v>
      </c>
      <c r="F448" s="15" t="str">
        <f t="shared" si="8"/>
        <v/>
      </c>
      <c r="G448" s="16">
        <f>IFERROR(__xludf.DUMMYFUNCTION("GOOGLEFINANCE(A448,""CLOSEYEST"")"),197.09)</f>
        <v>197.09</v>
      </c>
      <c r="H448" s="17" t="str">
        <f t="shared" si="14"/>
        <v/>
      </c>
      <c r="I448" s="18">
        <f t="shared" si="9"/>
        <v>197.75</v>
      </c>
      <c r="J448" s="19">
        <f t="shared" si="10"/>
        <v>199.13</v>
      </c>
      <c r="K448" s="19"/>
      <c r="L448" s="19">
        <f t="shared" si="11"/>
        <v>195.71</v>
      </c>
      <c r="M448" s="19">
        <f t="shared" si="12"/>
        <v>201.17</v>
      </c>
      <c r="N448" s="19">
        <f t="shared" si="13"/>
        <v>194.33</v>
      </c>
    </row>
    <row r="449" ht="24.75" customHeight="1">
      <c r="A449" s="21" t="s">
        <v>412</v>
      </c>
      <c r="B449" s="13">
        <f>IFERROR(__xludf.DUMMYFUNCTION("GOOGLEFINANCE(A449,""PRICE"")"),1842.5)</f>
        <v>1842.5</v>
      </c>
      <c r="C449" s="14">
        <f>IFERROR(__xludf.DUMMYFUNCTION("GOOGLEFINANCE(A449,""PRICEOPEN"")"),1822.0)</f>
        <v>1822</v>
      </c>
      <c r="D449" s="14">
        <f>IFERROR(__xludf.DUMMYFUNCTION("GOOGLEFINANCE(A449,""HIGH"")"),1843.0)</f>
        <v>1843</v>
      </c>
      <c r="E449" s="14">
        <f>IFERROR(__xludf.DUMMYFUNCTION("GOOGLEFINANCE(A449,""LOW"")"),1792.0)</f>
        <v>1792</v>
      </c>
      <c r="F449" s="15" t="str">
        <f t="shared" si="8"/>
        <v/>
      </c>
      <c r="G449" s="16">
        <f>IFERROR(__xludf.DUMMYFUNCTION("GOOGLEFINANCE(A449,""CLOSEYEST"")"),1802.8)</f>
        <v>1802.8</v>
      </c>
      <c r="H449" s="17" t="str">
        <f t="shared" si="14"/>
        <v>GAP UP</v>
      </c>
      <c r="I449" s="18">
        <f t="shared" si="9"/>
        <v>1812.6</v>
      </c>
      <c r="J449" s="19">
        <f t="shared" si="10"/>
        <v>1833.2</v>
      </c>
      <c r="K449" s="19"/>
      <c r="L449" s="19">
        <f t="shared" si="11"/>
        <v>1782.2</v>
      </c>
      <c r="M449" s="19">
        <f t="shared" si="12"/>
        <v>1863.6</v>
      </c>
      <c r="N449" s="19">
        <f t="shared" si="13"/>
        <v>1761.6</v>
      </c>
    </row>
    <row r="450" ht="24.75" customHeight="1">
      <c r="A450" s="21" t="s">
        <v>413</v>
      </c>
      <c r="B450" s="13">
        <f>IFERROR(__xludf.DUMMYFUNCTION("GOOGLEFINANCE(A450,""PRICE"")"),295.55)</f>
        <v>295.55</v>
      </c>
      <c r="C450" s="14">
        <f>IFERROR(__xludf.DUMMYFUNCTION("GOOGLEFINANCE(A450,""PRICEOPEN"")"),294.5)</f>
        <v>294.5</v>
      </c>
      <c r="D450" s="14">
        <f>IFERROR(__xludf.DUMMYFUNCTION("GOOGLEFINANCE(A450,""HIGH"")"),295.9)</f>
        <v>295.9</v>
      </c>
      <c r="E450" s="14">
        <f>IFERROR(__xludf.DUMMYFUNCTION("GOOGLEFINANCE(A450,""LOW"")"),292.3)</f>
        <v>292.3</v>
      </c>
      <c r="F450" s="15" t="str">
        <f t="shared" si="8"/>
        <v/>
      </c>
      <c r="G450" s="16">
        <f>IFERROR(__xludf.DUMMYFUNCTION("GOOGLEFINANCE(A450,""CLOSEYEST"")"),294.55)</f>
        <v>294.55</v>
      </c>
      <c r="H450" s="17" t="str">
        <f t="shared" si="14"/>
        <v/>
      </c>
      <c r="I450" s="18">
        <f t="shared" si="9"/>
        <v>294.25</v>
      </c>
      <c r="J450" s="19">
        <f t="shared" si="10"/>
        <v>296.2</v>
      </c>
      <c r="K450" s="19"/>
      <c r="L450" s="19">
        <f t="shared" si="11"/>
        <v>292.6</v>
      </c>
      <c r="M450" s="19">
        <f t="shared" si="12"/>
        <v>297.85</v>
      </c>
      <c r="N450" s="19">
        <f t="shared" si="13"/>
        <v>290.65</v>
      </c>
    </row>
    <row r="451" ht="24.75" customHeight="1">
      <c r="A451" s="21" t="s">
        <v>414</v>
      </c>
      <c r="B451" s="13">
        <f>IFERROR(__xludf.DUMMYFUNCTION("GOOGLEFINANCE(A451,""PRICE"")"),81.7)</f>
        <v>81.7</v>
      </c>
      <c r="C451" s="14">
        <f>IFERROR(__xludf.DUMMYFUNCTION("GOOGLEFINANCE(A451,""PRICEOPEN"")"),79.05)</f>
        <v>79.05</v>
      </c>
      <c r="D451" s="14">
        <f>IFERROR(__xludf.DUMMYFUNCTION("GOOGLEFINANCE(A451,""HIGH"")"),84.9)</f>
        <v>84.9</v>
      </c>
      <c r="E451" s="14">
        <f>IFERROR(__xludf.DUMMYFUNCTION("GOOGLEFINANCE(A451,""LOW"")"),79.02)</f>
        <v>79.02</v>
      </c>
      <c r="F451" s="15" t="str">
        <f t="shared" si="8"/>
        <v/>
      </c>
      <c r="G451" s="16">
        <f>IFERROR(__xludf.DUMMYFUNCTION("GOOGLEFINANCE(A451,""CLOSEYEST"")"),79.04)</f>
        <v>79.04</v>
      </c>
      <c r="H451" s="17" t="str">
        <f t="shared" si="14"/>
        <v/>
      </c>
      <c r="I451" s="18">
        <f t="shared" si="9"/>
        <v>80.98666667</v>
      </c>
      <c r="J451" s="19">
        <f t="shared" si="10"/>
        <v>82.95333333</v>
      </c>
      <c r="K451" s="19"/>
      <c r="L451" s="19">
        <f t="shared" si="11"/>
        <v>77.07333333</v>
      </c>
      <c r="M451" s="19">
        <f t="shared" si="12"/>
        <v>86.86666667</v>
      </c>
      <c r="N451" s="19">
        <f t="shared" si="13"/>
        <v>75.10666667</v>
      </c>
    </row>
    <row r="452" ht="24.75" customHeight="1">
      <c r="A452" s="21" t="s">
        <v>415</v>
      </c>
      <c r="B452" s="13">
        <f>IFERROR(__xludf.DUMMYFUNCTION("GOOGLEFINANCE(A452,""PRICE"")"),341.5)</f>
        <v>341.5</v>
      </c>
      <c r="C452" s="14">
        <f>IFERROR(__xludf.DUMMYFUNCTION("GOOGLEFINANCE(A452,""PRICEOPEN"")"),323.0)</f>
        <v>323</v>
      </c>
      <c r="D452" s="14">
        <f>IFERROR(__xludf.DUMMYFUNCTION("GOOGLEFINANCE(A452,""HIGH"")"),344.35)</f>
        <v>344.35</v>
      </c>
      <c r="E452" s="14">
        <f>IFERROR(__xludf.DUMMYFUNCTION("GOOGLEFINANCE(A452,""LOW"")"),323.0)</f>
        <v>323</v>
      </c>
      <c r="F452" s="15" t="str">
        <f t="shared" si="8"/>
        <v>BUY</v>
      </c>
      <c r="G452" s="16">
        <f>IFERROR(__xludf.DUMMYFUNCTION("GOOGLEFINANCE(A452,""CLOSEYEST"")"),325.3)</f>
        <v>325.3</v>
      </c>
      <c r="H452" s="17" t="str">
        <f t="shared" si="14"/>
        <v/>
      </c>
      <c r="I452" s="18">
        <f t="shared" si="9"/>
        <v>330.8833333</v>
      </c>
      <c r="J452" s="19">
        <f t="shared" si="10"/>
        <v>338.7666667</v>
      </c>
      <c r="K452" s="19"/>
      <c r="L452" s="19">
        <f t="shared" si="11"/>
        <v>317.4166667</v>
      </c>
      <c r="M452" s="19">
        <f t="shared" si="12"/>
        <v>352.2333333</v>
      </c>
      <c r="N452" s="19">
        <f t="shared" si="13"/>
        <v>309.5333333</v>
      </c>
    </row>
    <row r="453" ht="24.75" customHeight="1">
      <c r="A453" s="21" t="s">
        <v>416</v>
      </c>
      <c r="B453" s="13">
        <f>IFERROR(__xludf.DUMMYFUNCTION("GOOGLEFINANCE(A453,""PRICE"")"),279.0)</f>
        <v>279</v>
      </c>
      <c r="C453" s="14">
        <f>IFERROR(__xludf.DUMMYFUNCTION("GOOGLEFINANCE(A453,""PRICEOPEN"")"),277.25)</f>
        <v>277.25</v>
      </c>
      <c r="D453" s="14">
        <f>IFERROR(__xludf.DUMMYFUNCTION("GOOGLEFINANCE(A453,""HIGH"")"),281.0)</f>
        <v>281</v>
      </c>
      <c r="E453" s="14">
        <f>IFERROR(__xludf.DUMMYFUNCTION("GOOGLEFINANCE(A453,""LOW"")"),273.5)</f>
        <v>273.5</v>
      </c>
      <c r="F453" s="15" t="str">
        <f t="shared" si="8"/>
        <v/>
      </c>
      <c r="G453" s="16">
        <f>IFERROR(__xludf.DUMMYFUNCTION("GOOGLEFINANCE(A453,""CLOSEYEST"")"),277.25)</f>
        <v>277.25</v>
      </c>
      <c r="H453" s="17" t="str">
        <f t="shared" si="14"/>
        <v/>
      </c>
      <c r="I453" s="18">
        <f t="shared" si="9"/>
        <v>277.25</v>
      </c>
      <c r="J453" s="19">
        <f t="shared" si="10"/>
        <v>281</v>
      </c>
      <c r="K453" s="19"/>
      <c r="L453" s="19">
        <f t="shared" si="11"/>
        <v>273.5</v>
      </c>
      <c r="M453" s="19">
        <f t="shared" si="12"/>
        <v>284.75</v>
      </c>
      <c r="N453" s="19">
        <f t="shared" si="13"/>
        <v>269.75</v>
      </c>
    </row>
    <row r="454" ht="24.75" customHeight="1">
      <c r="A454" s="21" t="s">
        <v>417</v>
      </c>
      <c r="B454" s="13">
        <f>IFERROR(__xludf.DUMMYFUNCTION("GOOGLEFINANCE(A454,""PRICE"")"),847.0)</f>
        <v>847</v>
      </c>
      <c r="C454" s="14">
        <f>IFERROR(__xludf.DUMMYFUNCTION("GOOGLEFINANCE(A454,""PRICEOPEN"")"),779.0)</f>
        <v>779</v>
      </c>
      <c r="D454" s="14">
        <f>IFERROR(__xludf.DUMMYFUNCTION("GOOGLEFINANCE(A454,""HIGH"")"),867.4)</f>
        <v>867.4</v>
      </c>
      <c r="E454" s="14">
        <f>IFERROR(__xludf.DUMMYFUNCTION("GOOGLEFINANCE(A454,""LOW"")"),756.7)</f>
        <v>756.7</v>
      </c>
      <c r="F454" s="15" t="str">
        <f t="shared" si="8"/>
        <v/>
      </c>
      <c r="G454" s="16">
        <f>IFERROR(__xludf.DUMMYFUNCTION("GOOGLEFINANCE(A454,""CLOSEYEST"")"),726.7)</f>
        <v>726.7</v>
      </c>
      <c r="H454" s="17" t="str">
        <f t="shared" si="14"/>
        <v>GAP UP</v>
      </c>
      <c r="I454" s="18">
        <f t="shared" si="9"/>
        <v>783.6</v>
      </c>
      <c r="J454" s="19">
        <f t="shared" si="10"/>
        <v>810.5</v>
      </c>
      <c r="K454" s="19"/>
      <c r="L454" s="19">
        <f t="shared" si="11"/>
        <v>699.8</v>
      </c>
      <c r="M454" s="19">
        <f t="shared" si="12"/>
        <v>894.3</v>
      </c>
      <c r="N454" s="19">
        <f t="shared" si="13"/>
        <v>672.9</v>
      </c>
    </row>
    <row r="455" ht="24.75" customHeight="1">
      <c r="A455" s="21" t="s">
        <v>418</v>
      </c>
      <c r="B455" s="13">
        <f>IFERROR(__xludf.DUMMYFUNCTION("GOOGLEFINANCE(A455,""PRICE"")"),32.24)</f>
        <v>32.24</v>
      </c>
      <c r="C455" s="14">
        <f>IFERROR(__xludf.DUMMYFUNCTION("GOOGLEFINANCE(A455,""PRICEOPEN"")"),32.24)</f>
        <v>32.24</v>
      </c>
      <c r="D455" s="14" t="str">
        <f>IFERROR(__xludf.DUMMYFUNCTION("GOOGLEFINANCE(A455,""HIGH"")"),"#N/A")</f>
        <v>#N/A</v>
      </c>
      <c r="E455" s="14">
        <f>IFERROR(__xludf.DUMMYFUNCTION("GOOGLEFINANCE(A455,""LOW"")"),32.24)</f>
        <v>32.24</v>
      </c>
      <c r="F455" s="15" t="str">
        <f t="shared" si="8"/>
        <v>#N/A</v>
      </c>
      <c r="G455" s="16">
        <f>IFERROR(__xludf.DUMMYFUNCTION("GOOGLEFINANCE(A455,""CLOSEYEST"")"),30.99)</f>
        <v>30.99</v>
      </c>
      <c r="H455" s="17" t="str">
        <f t="shared" si="14"/>
        <v>GAP UP</v>
      </c>
      <c r="I455" s="18" t="str">
        <f t="shared" si="9"/>
        <v>#N/A</v>
      </c>
      <c r="J455" s="19" t="str">
        <f t="shared" si="10"/>
        <v>#N/A</v>
      </c>
      <c r="K455" s="19"/>
      <c r="L455" s="19" t="str">
        <f t="shared" si="11"/>
        <v>#N/A</v>
      </c>
      <c r="M455" s="19" t="str">
        <f t="shared" si="12"/>
        <v>#N/A</v>
      </c>
      <c r="N455" s="19" t="str">
        <f t="shared" si="13"/>
        <v>#N/A</v>
      </c>
    </row>
    <row r="456" ht="24.75" customHeight="1">
      <c r="A456" s="21" t="s">
        <v>419</v>
      </c>
      <c r="B456" s="13">
        <f>IFERROR(__xludf.DUMMYFUNCTION("GOOGLEFINANCE(A456,""PRICE"")"),9339.0)</f>
        <v>9339</v>
      </c>
      <c r="C456" s="14">
        <f>IFERROR(__xludf.DUMMYFUNCTION("GOOGLEFINANCE(A456,""PRICEOPEN"")"),9248.0)</f>
        <v>9248</v>
      </c>
      <c r="D456" s="14">
        <f>IFERROR(__xludf.DUMMYFUNCTION("GOOGLEFINANCE(A456,""HIGH"")"),9380.0)</f>
        <v>9380</v>
      </c>
      <c r="E456" s="14">
        <f>IFERROR(__xludf.DUMMYFUNCTION("GOOGLEFINANCE(A456,""LOW"")"),9156.0)</f>
        <v>9156</v>
      </c>
      <c r="F456" s="15" t="str">
        <f t="shared" si="8"/>
        <v/>
      </c>
      <c r="G456" s="16">
        <f>IFERROR(__xludf.DUMMYFUNCTION("GOOGLEFINANCE(A456,""CLOSEYEST"")"),9222.0)</f>
        <v>9222</v>
      </c>
      <c r="H456" s="17" t="str">
        <f t="shared" si="14"/>
        <v/>
      </c>
      <c r="I456" s="18">
        <f t="shared" si="9"/>
        <v>9252.666667</v>
      </c>
      <c r="J456" s="19">
        <f t="shared" si="10"/>
        <v>9349.333333</v>
      </c>
      <c r="K456" s="19"/>
      <c r="L456" s="19">
        <f t="shared" si="11"/>
        <v>9125.333333</v>
      </c>
      <c r="M456" s="19">
        <f t="shared" si="12"/>
        <v>9476.666667</v>
      </c>
      <c r="N456" s="19">
        <f t="shared" si="13"/>
        <v>9028.666667</v>
      </c>
    </row>
    <row r="457" ht="24.75" customHeight="1">
      <c r="A457" s="21" t="s">
        <v>420</v>
      </c>
      <c r="B457" s="13">
        <f>IFERROR(__xludf.DUMMYFUNCTION("GOOGLEFINANCE(A457,""PRICE"")"),385.4)</f>
        <v>385.4</v>
      </c>
      <c r="C457" s="14">
        <f>IFERROR(__xludf.DUMMYFUNCTION("GOOGLEFINANCE(A457,""PRICEOPEN"")"),391.2)</f>
        <v>391.2</v>
      </c>
      <c r="D457" s="14">
        <f>IFERROR(__xludf.DUMMYFUNCTION("GOOGLEFINANCE(A457,""HIGH"")"),392.95)</f>
        <v>392.95</v>
      </c>
      <c r="E457" s="14">
        <f>IFERROR(__xludf.DUMMYFUNCTION("GOOGLEFINANCE(A457,""LOW"")"),384.3)</f>
        <v>384.3</v>
      </c>
      <c r="F457" s="15" t="str">
        <f t="shared" si="8"/>
        <v/>
      </c>
      <c r="G457" s="16">
        <f>IFERROR(__xludf.DUMMYFUNCTION("GOOGLEFINANCE(A457,""CLOSEYEST"")"),391.2)</f>
        <v>391.2</v>
      </c>
      <c r="H457" s="17" t="str">
        <f t="shared" si="14"/>
        <v/>
      </c>
      <c r="I457" s="18">
        <f t="shared" si="9"/>
        <v>389.4833333</v>
      </c>
      <c r="J457" s="19">
        <f t="shared" si="10"/>
        <v>394.6666667</v>
      </c>
      <c r="K457" s="19"/>
      <c r="L457" s="19">
        <f t="shared" si="11"/>
        <v>386.0166667</v>
      </c>
      <c r="M457" s="19">
        <f t="shared" si="12"/>
        <v>398.1333333</v>
      </c>
      <c r="N457" s="19">
        <f t="shared" si="13"/>
        <v>380.8333333</v>
      </c>
    </row>
    <row r="458" ht="24.75" customHeight="1">
      <c r="A458" s="21" t="s">
        <v>421</v>
      </c>
      <c r="B458" s="13" t="str">
        <f>IFERROR(__xludf.DUMMYFUNCTION("GOOGLEFINANCE(A458,""PRICE"")"),"#N/A")</f>
        <v>#N/A</v>
      </c>
      <c r="C458" s="14" t="str">
        <f>IFERROR(__xludf.DUMMYFUNCTION("GOOGLEFINANCE(A458,""PRICEOPEN"")"),"#N/A")</f>
        <v>#N/A</v>
      </c>
      <c r="D458" s="14" t="str">
        <f>IFERROR(__xludf.DUMMYFUNCTION("GOOGLEFINANCE(A458,""HIGH"")"),"#N/A")</f>
        <v>#N/A</v>
      </c>
      <c r="E458" s="14" t="str">
        <f>IFERROR(__xludf.DUMMYFUNCTION("GOOGLEFINANCE(A458,""LOW"")"),"#N/A")</f>
        <v>#N/A</v>
      </c>
      <c r="F458" s="15" t="str">
        <f t="shared" si="8"/>
        <v>#N/A</v>
      </c>
      <c r="G458" s="16" t="str">
        <f>IFERROR(__xludf.DUMMYFUNCTION("GOOGLEFINANCE(A458,""CLOSEYEST"")"),"#N/A")</f>
        <v>#N/A</v>
      </c>
      <c r="H458" s="17" t="str">
        <f t="shared" si="14"/>
        <v>#N/A</v>
      </c>
      <c r="I458" s="18" t="str">
        <f t="shared" si="9"/>
        <v>#N/A</v>
      </c>
      <c r="J458" s="19" t="str">
        <f t="shared" si="10"/>
        <v>#N/A</v>
      </c>
      <c r="K458" s="19"/>
      <c r="L458" s="19" t="str">
        <f t="shared" si="11"/>
        <v>#N/A</v>
      </c>
      <c r="M458" s="19" t="str">
        <f t="shared" si="12"/>
        <v>#N/A</v>
      </c>
      <c r="N458" s="19" t="str">
        <f t="shared" si="13"/>
        <v>#N/A</v>
      </c>
    </row>
    <row r="459" ht="24.75" customHeight="1">
      <c r="A459" s="21" t="s">
        <v>422</v>
      </c>
      <c r="B459" s="13">
        <f>IFERROR(__xludf.DUMMYFUNCTION("GOOGLEFINANCE(A459,""PRICE"")"),1042.0)</f>
        <v>1042</v>
      </c>
      <c r="C459" s="14">
        <f>IFERROR(__xludf.DUMMYFUNCTION("GOOGLEFINANCE(A459,""PRICEOPEN"")"),1053.1)</f>
        <v>1053.1</v>
      </c>
      <c r="D459" s="14">
        <f>IFERROR(__xludf.DUMMYFUNCTION("GOOGLEFINANCE(A459,""HIGH"")"),1054.9)</f>
        <v>1054.9</v>
      </c>
      <c r="E459" s="14">
        <f>IFERROR(__xludf.DUMMYFUNCTION("GOOGLEFINANCE(A459,""LOW"")"),1039.4)</f>
        <v>1039.4</v>
      </c>
      <c r="F459" s="15" t="str">
        <f t="shared" si="8"/>
        <v/>
      </c>
      <c r="G459" s="16">
        <f>IFERROR(__xludf.DUMMYFUNCTION("GOOGLEFINANCE(A459,""CLOSEYEST"")"),1053.1)</f>
        <v>1053.1</v>
      </c>
      <c r="H459" s="17" t="str">
        <f t="shared" si="14"/>
        <v/>
      </c>
      <c r="I459" s="18">
        <f t="shared" si="9"/>
        <v>1049.133333</v>
      </c>
      <c r="J459" s="19">
        <f t="shared" si="10"/>
        <v>1058.866667</v>
      </c>
      <c r="K459" s="19"/>
      <c r="L459" s="19">
        <f t="shared" si="11"/>
        <v>1043.366667</v>
      </c>
      <c r="M459" s="19">
        <f t="shared" si="12"/>
        <v>1064.633333</v>
      </c>
      <c r="N459" s="19">
        <f t="shared" si="13"/>
        <v>1033.633333</v>
      </c>
    </row>
    <row r="460" ht="24.75" customHeight="1">
      <c r="A460" s="21" t="s">
        <v>423</v>
      </c>
      <c r="B460" s="13">
        <f>IFERROR(__xludf.DUMMYFUNCTION("GOOGLEFINANCE(A460,""PRICE"")"),32.06)</f>
        <v>32.06</v>
      </c>
      <c r="C460" s="14">
        <f>IFERROR(__xludf.DUMMYFUNCTION("GOOGLEFINANCE(A460,""PRICEOPEN"")"),31.4)</f>
        <v>31.4</v>
      </c>
      <c r="D460" s="14">
        <f>IFERROR(__xludf.DUMMYFUNCTION("GOOGLEFINANCE(A460,""HIGH"")"),32.31)</f>
        <v>32.31</v>
      </c>
      <c r="E460" s="14">
        <f>IFERROR(__xludf.DUMMYFUNCTION("GOOGLEFINANCE(A460,""LOW"")"),30.2)</f>
        <v>30.2</v>
      </c>
      <c r="F460" s="15" t="str">
        <f t="shared" si="8"/>
        <v/>
      </c>
      <c r="G460" s="16">
        <f>IFERROR(__xludf.DUMMYFUNCTION("GOOGLEFINANCE(A460,""CLOSEYEST"")"),31.56)</f>
        <v>31.56</v>
      </c>
      <c r="H460" s="17" t="str">
        <f t="shared" si="14"/>
        <v/>
      </c>
      <c r="I460" s="18">
        <f t="shared" si="9"/>
        <v>31.35666667</v>
      </c>
      <c r="J460" s="19">
        <f t="shared" si="10"/>
        <v>32.51333333</v>
      </c>
      <c r="K460" s="19"/>
      <c r="L460" s="19">
        <f t="shared" si="11"/>
        <v>30.40333333</v>
      </c>
      <c r="M460" s="19">
        <f t="shared" si="12"/>
        <v>33.46666667</v>
      </c>
      <c r="N460" s="19">
        <f t="shared" si="13"/>
        <v>29.24666667</v>
      </c>
    </row>
    <row r="461" ht="24.75" customHeight="1">
      <c r="A461" s="21" t="s">
        <v>424</v>
      </c>
      <c r="B461" s="13">
        <f>IFERROR(__xludf.DUMMYFUNCTION("GOOGLEFINANCE(A461,""PRICE"")"),62.8)</f>
        <v>62.8</v>
      </c>
      <c r="C461" s="14">
        <f>IFERROR(__xludf.DUMMYFUNCTION("GOOGLEFINANCE(A461,""PRICEOPEN"")"),64.0)</f>
        <v>64</v>
      </c>
      <c r="D461" s="14">
        <f>IFERROR(__xludf.DUMMYFUNCTION("GOOGLEFINANCE(A461,""HIGH"")"),64.32)</f>
        <v>64.32</v>
      </c>
      <c r="E461" s="14">
        <f>IFERROR(__xludf.DUMMYFUNCTION("GOOGLEFINANCE(A461,""LOW"")"),62.13)</f>
        <v>62.13</v>
      </c>
      <c r="F461" s="15" t="str">
        <f t="shared" si="8"/>
        <v/>
      </c>
      <c r="G461" s="16">
        <f>IFERROR(__xludf.DUMMYFUNCTION("GOOGLEFINANCE(A461,""CLOSEYEST"")"),63.61)</f>
        <v>63.61</v>
      </c>
      <c r="H461" s="17" t="str">
        <f t="shared" si="14"/>
        <v/>
      </c>
      <c r="I461" s="18">
        <f t="shared" si="9"/>
        <v>63.35333333</v>
      </c>
      <c r="J461" s="19">
        <f t="shared" si="10"/>
        <v>64.57666667</v>
      </c>
      <c r="K461" s="19"/>
      <c r="L461" s="19">
        <f t="shared" si="11"/>
        <v>62.38666667</v>
      </c>
      <c r="M461" s="19">
        <f t="shared" si="12"/>
        <v>65.54333333</v>
      </c>
      <c r="N461" s="19">
        <f t="shared" si="13"/>
        <v>61.16333333</v>
      </c>
    </row>
    <row r="462" ht="24.75" customHeight="1">
      <c r="A462" s="21" t="s">
        <v>425</v>
      </c>
      <c r="B462" s="13">
        <f>IFERROR(__xludf.DUMMYFUNCTION("GOOGLEFINANCE(A462,""PRICE"")"),168.99)</f>
        <v>168.99</v>
      </c>
      <c r="C462" s="14">
        <f>IFERROR(__xludf.DUMMYFUNCTION("GOOGLEFINANCE(A462,""PRICEOPEN"")"),164.3)</f>
        <v>164.3</v>
      </c>
      <c r="D462" s="14">
        <f>IFERROR(__xludf.DUMMYFUNCTION("GOOGLEFINANCE(A462,""HIGH"")"),169.55)</f>
        <v>169.55</v>
      </c>
      <c r="E462" s="14">
        <f>IFERROR(__xludf.DUMMYFUNCTION("GOOGLEFINANCE(A462,""LOW"")"),162.45)</f>
        <v>162.45</v>
      </c>
      <c r="F462" s="15" t="str">
        <f t="shared" si="8"/>
        <v/>
      </c>
      <c r="G462" s="16">
        <f>IFERROR(__xludf.DUMMYFUNCTION("GOOGLEFINANCE(A462,""CLOSEYEST"")"),163.2)</f>
        <v>163.2</v>
      </c>
      <c r="H462" s="17" t="str">
        <f t="shared" si="14"/>
        <v/>
      </c>
      <c r="I462" s="18">
        <f t="shared" si="9"/>
        <v>165.0666667</v>
      </c>
      <c r="J462" s="19">
        <f t="shared" si="10"/>
        <v>167.6833333</v>
      </c>
      <c r="K462" s="19"/>
      <c r="L462" s="19">
        <f t="shared" si="11"/>
        <v>160.5833333</v>
      </c>
      <c r="M462" s="19">
        <f t="shared" si="12"/>
        <v>172.1666667</v>
      </c>
      <c r="N462" s="19">
        <f t="shared" si="13"/>
        <v>157.9666667</v>
      </c>
    </row>
    <row r="463" ht="24.75" customHeight="1">
      <c r="A463" s="21" t="s">
        <v>426</v>
      </c>
      <c r="B463" s="13">
        <f>IFERROR(__xludf.DUMMYFUNCTION("GOOGLEFINANCE(A463,""PRICE"")"),490.55)</f>
        <v>490.55</v>
      </c>
      <c r="C463" s="14">
        <f>IFERROR(__xludf.DUMMYFUNCTION("GOOGLEFINANCE(A463,""PRICEOPEN"")"),468.0)</f>
        <v>468</v>
      </c>
      <c r="D463" s="14">
        <f>IFERROR(__xludf.DUMMYFUNCTION("GOOGLEFINANCE(A463,""HIGH"")"),498.25)</f>
        <v>498.25</v>
      </c>
      <c r="E463" s="14">
        <f>IFERROR(__xludf.DUMMYFUNCTION("GOOGLEFINANCE(A463,""LOW"")"),462.7)</f>
        <v>462.7</v>
      </c>
      <c r="F463" s="15" t="str">
        <f t="shared" si="8"/>
        <v/>
      </c>
      <c r="G463" s="16">
        <f>IFERROR(__xludf.DUMMYFUNCTION("GOOGLEFINANCE(A463,""CLOSEYEST"")"),465.3)</f>
        <v>465.3</v>
      </c>
      <c r="H463" s="17" t="str">
        <f t="shared" si="14"/>
        <v/>
      </c>
      <c r="I463" s="18">
        <f t="shared" si="9"/>
        <v>475.4166667</v>
      </c>
      <c r="J463" s="19">
        <f t="shared" si="10"/>
        <v>488.1333333</v>
      </c>
      <c r="K463" s="19"/>
      <c r="L463" s="19">
        <f t="shared" si="11"/>
        <v>452.5833333</v>
      </c>
      <c r="M463" s="19">
        <f t="shared" si="12"/>
        <v>510.9666667</v>
      </c>
      <c r="N463" s="19">
        <f t="shared" si="13"/>
        <v>439.8666667</v>
      </c>
    </row>
    <row r="464" ht="24.75" customHeight="1">
      <c r="A464" s="21" t="s">
        <v>427</v>
      </c>
      <c r="B464" s="13" t="str">
        <f>IFERROR(__xludf.DUMMYFUNCTION("GOOGLEFINANCE(A464,""PRICE"")"),"#N/A")</f>
        <v>#N/A</v>
      </c>
      <c r="C464" s="14" t="str">
        <f>IFERROR(__xludf.DUMMYFUNCTION("GOOGLEFINANCE(A464,""PRICEOPEN"")"),"#N/A")</f>
        <v>#N/A</v>
      </c>
      <c r="D464" s="14" t="str">
        <f>IFERROR(__xludf.DUMMYFUNCTION("GOOGLEFINANCE(A464,""HIGH"")"),"#N/A")</f>
        <v>#N/A</v>
      </c>
      <c r="E464" s="14" t="str">
        <f>IFERROR(__xludf.DUMMYFUNCTION("GOOGLEFINANCE(A464,""LOW"")"),"#N/A")</f>
        <v>#N/A</v>
      </c>
      <c r="F464" s="15" t="str">
        <f t="shared" si="8"/>
        <v>#N/A</v>
      </c>
      <c r="G464" s="16" t="str">
        <f>IFERROR(__xludf.DUMMYFUNCTION("GOOGLEFINANCE(A464,""CLOSEYEST"")"),"#N/A")</f>
        <v>#N/A</v>
      </c>
      <c r="H464" s="17" t="str">
        <f t="shared" si="14"/>
        <v>#N/A</v>
      </c>
      <c r="I464" s="18" t="str">
        <f t="shared" si="9"/>
        <v>#N/A</v>
      </c>
      <c r="J464" s="19" t="str">
        <f t="shared" si="10"/>
        <v>#N/A</v>
      </c>
      <c r="K464" s="19"/>
      <c r="L464" s="19" t="str">
        <f t="shared" si="11"/>
        <v>#N/A</v>
      </c>
      <c r="M464" s="19" t="str">
        <f t="shared" si="12"/>
        <v>#N/A</v>
      </c>
      <c r="N464" s="19" t="str">
        <f t="shared" si="13"/>
        <v>#N/A</v>
      </c>
    </row>
    <row r="465" ht="24.75" customHeight="1">
      <c r="A465" s="21" t="s">
        <v>428</v>
      </c>
      <c r="B465" s="13">
        <f>IFERROR(__xludf.DUMMYFUNCTION("GOOGLEFINANCE(A465,""PRICE"")"),9995.0)</f>
        <v>9995</v>
      </c>
      <c r="C465" s="14">
        <f>IFERROR(__xludf.DUMMYFUNCTION("GOOGLEFINANCE(A465,""PRICEOPEN"")"),10600.0)</f>
        <v>10600</v>
      </c>
      <c r="D465" s="14">
        <f>IFERROR(__xludf.DUMMYFUNCTION("GOOGLEFINANCE(A465,""HIGH"")"),11847.0)</f>
        <v>11847</v>
      </c>
      <c r="E465" s="14">
        <f>IFERROR(__xludf.DUMMYFUNCTION("GOOGLEFINANCE(A465,""LOW"")"),9801.0)</f>
        <v>9801</v>
      </c>
      <c r="F465" s="15" t="str">
        <f t="shared" si="8"/>
        <v/>
      </c>
      <c r="G465" s="16">
        <f>IFERROR(__xludf.DUMMYFUNCTION("GOOGLEFINANCE(A465,""CLOSEYEST"")"),10580.0)</f>
        <v>10580</v>
      </c>
      <c r="H465" s="17" t="str">
        <f t="shared" si="14"/>
        <v/>
      </c>
      <c r="I465" s="18">
        <f t="shared" si="9"/>
        <v>10742.66667</v>
      </c>
      <c r="J465" s="19">
        <f t="shared" si="10"/>
        <v>11684.33333</v>
      </c>
      <c r="K465" s="19"/>
      <c r="L465" s="19">
        <f t="shared" si="11"/>
        <v>9638.333333</v>
      </c>
      <c r="M465" s="19">
        <f t="shared" si="12"/>
        <v>12788.66667</v>
      </c>
      <c r="N465" s="19">
        <f t="shared" si="13"/>
        <v>8696.666667</v>
      </c>
    </row>
    <row r="466" ht="24.75" customHeight="1">
      <c r="A466" s="21" t="s">
        <v>429</v>
      </c>
      <c r="B466" s="13">
        <f>IFERROR(__xludf.DUMMYFUNCTION("GOOGLEFINANCE(A466,""PRICE"")"),161.0)</f>
        <v>161</v>
      </c>
      <c r="C466" s="14">
        <f>IFERROR(__xludf.DUMMYFUNCTION("GOOGLEFINANCE(A466,""PRICEOPEN"")"),158.92)</f>
        <v>158.92</v>
      </c>
      <c r="D466" s="14">
        <f>IFERROR(__xludf.DUMMYFUNCTION("GOOGLEFINANCE(A466,""HIGH"")"),161.09)</f>
        <v>161.09</v>
      </c>
      <c r="E466" s="14">
        <f>IFERROR(__xludf.DUMMYFUNCTION("GOOGLEFINANCE(A466,""LOW"")"),157.24)</f>
        <v>157.24</v>
      </c>
      <c r="F466" s="15" t="str">
        <f t="shared" si="8"/>
        <v/>
      </c>
      <c r="G466" s="16">
        <f>IFERROR(__xludf.DUMMYFUNCTION("GOOGLEFINANCE(A466,""CLOSEYEST"")"),158.92)</f>
        <v>158.92</v>
      </c>
      <c r="H466" s="17" t="str">
        <f t="shared" si="14"/>
        <v/>
      </c>
      <c r="I466" s="18">
        <f t="shared" si="9"/>
        <v>159.0833333</v>
      </c>
      <c r="J466" s="19">
        <f t="shared" si="10"/>
        <v>160.9266667</v>
      </c>
      <c r="K466" s="19"/>
      <c r="L466" s="19">
        <f t="shared" si="11"/>
        <v>157.0766667</v>
      </c>
      <c r="M466" s="19">
        <f t="shared" si="12"/>
        <v>162.9333333</v>
      </c>
      <c r="N466" s="19">
        <f t="shared" si="13"/>
        <v>155.2333333</v>
      </c>
    </row>
    <row r="467" ht="24.75" customHeight="1">
      <c r="A467" s="21" t="s">
        <v>430</v>
      </c>
      <c r="B467" s="13">
        <f>IFERROR(__xludf.DUMMYFUNCTION("GOOGLEFINANCE(A467,""PRICE"")"),18.59)</f>
        <v>18.59</v>
      </c>
      <c r="C467" s="14">
        <f>IFERROR(__xludf.DUMMYFUNCTION("GOOGLEFINANCE(A467,""PRICEOPEN"")"),17.8)</f>
        <v>17.8</v>
      </c>
      <c r="D467" s="14">
        <f>IFERROR(__xludf.DUMMYFUNCTION("GOOGLEFINANCE(A467,""HIGH"")"),18.64)</f>
        <v>18.64</v>
      </c>
      <c r="E467" s="14">
        <f>IFERROR(__xludf.DUMMYFUNCTION("GOOGLEFINANCE(A467,""LOW"")"),17.74)</f>
        <v>17.74</v>
      </c>
      <c r="F467" s="15" t="str">
        <f t="shared" si="8"/>
        <v/>
      </c>
      <c r="G467" s="16">
        <f>IFERROR(__xludf.DUMMYFUNCTION("GOOGLEFINANCE(A467,""CLOSEYEST"")"),17.76)</f>
        <v>17.76</v>
      </c>
      <c r="H467" s="17" t="str">
        <f t="shared" si="14"/>
        <v/>
      </c>
      <c r="I467" s="18">
        <f t="shared" si="9"/>
        <v>18.04666667</v>
      </c>
      <c r="J467" s="19">
        <f t="shared" si="10"/>
        <v>18.35333333</v>
      </c>
      <c r="K467" s="19"/>
      <c r="L467" s="19">
        <f t="shared" si="11"/>
        <v>17.45333333</v>
      </c>
      <c r="M467" s="19">
        <f t="shared" si="12"/>
        <v>18.94666667</v>
      </c>
      <c r="N467" s="19">
        <f t="shared" si="13"/>
        <v>17.14666667</v>
      </c>
    </row>
    <row r="468" ht="24.75" customHeight="1">
      <c r="A468" s="21" t="s">
        <v>431</v>
      </c>
      <c r="B468" s="13">
        <f>IFERROR(__xludf.DUMMYFUNCTION("GOOGLEFINANCE(A468,""PRICE"")"),686.0)</f>
        <v>686</v>
      </c>
      <c r="C468" s="14">
        <f>IFERROR(__xludf.DUMMYFUNCTION("GOOGLEFINANCE(A468,""PRICEOPEN"")"),681.5)</f>
        <v>681.5</v>
      </c>
      <c r="D468" s="14">
        <f>IFERROR(__xludf.DUMMYFUNCTION("GOOGLEFINANCE(A468,""HIGH"")"),688.4)</f>
        <v>688.4</v>
      </c>
      <c r="E468" s="14">
        <f>IFERROR(__xludf.DUMMYFUNCTION("GOOGLEFINANCE(A468,""LOW"")"),675.95)</f>
        <v>675.95</v>
      </c>
      <c r="F468" s="15" t="str">
        <f t="shared" si="8"/>
        <v/>
      </c>
      <c r="G468" s="16">
        <f>IFERROR(__xludf.DUMMYFUNCTION("GOOGLEFINANCE(A468,""CLOSEYEST"")"),681.35)</f>
        <v>681.35</v>
      </c>
      <c r="H468" s="17" t="str">
        <f t="shared" si="14"/>
        <v/>
      </c>
      <c r="I468" s="18">
        <f t="shared" si="9"/>
        <v>681.9</v>
      </c>
      <c r="J468" s="19">
        <f t="shared" si="10"/>
        <v>687.85</v>
      </c>
      <c r="K468" s="19"/>
      <c r="L468" s="19">
        <f t="shared" si="11"/>
        <v>675.4</v>
      </c>
      <c r="M468" s="19">
        <f t="shared" si="12"/>
        <v>694.35</v>
      </c>
      <c r="N468" s="19">
        <f t="shared" si="13"/>
        <v>669.45</v>
      </c>
    </row>
    <row r="469" ht="24.75" customHeight="1">
      <c r="A469" s="21" t="s">
        <v>432</v>
      </c>
      <c r="B469" s="13">
        <f>IFERROR(__xludf.DUMMYFUNCTION("GOOGLEFINANCE(A469,""PRICE"")"),30.61)</f>
        <v>30.61</v>
      </c>
      <c r="C469" s="14">
        <f>IFERROR(__xludf.DUMMYFUNCTION("GOOGLEFINANCE(A469,""PRICEOPEN"")"),30.1)</f>
        <v>30.1</v>
      </c>
      <c r="D469" s="14">
        <f>IFERROR(__xludf.DUMMYFUNCTION("GOOGLEFINANCE(A469,""HIGH"")"),30.7)</f>
        <v>30.7</v>
      </c>
      <c r="E469" s="14">
        <f>IFERROR(__xludf.DUMMYFUNCTION("GOOGLEFINANCE(A469,""LOW"")"),29.96)</f>
        <v>29.96</v>
      </c>
      <c r="F469" s="15" t="str">
        <f t="shared" si="8"/>
        <v/>
      </c>
      <c r="G469" s="16">
        <f>IFERROR(__xludf.DUMMYFUNCTION("GOOGLEFINANCE(A469,""CLOSEYEST"")"),30.03)</f>
        <v>30.03</v>
      </c>
      <c r="H469" s="17" t="str">
        <f t="shared" si="14"/>
        <v/>
      </c>
      <c r="I469" s="18">
        <f t="shared" si="9"/>
        <v>30.23</v>
      </c>
      <c r="J469" s="19">
        <f t="shared" si="10"/>
        <v>30.5</v>
      </c>
      <c r="K469" s="19"/>
      <c r="L469" s="19">
        <f t="shared" si="11"/>
        <v>29.76</v>
      </c>
      <c r="M469" s="19">
        <f t="shared" si="12"/>
        <v>30.97</v>
      </c>
      <c r="N469" s="19">
        <f t="shared" si="13"/>
        <v>29.49</v>
      </c>
    </row>
    <row r="470" ht="24.75" customHeight="1">
      <c r="A470" s="21" t="s">
        <v>433</v>
      </c>
      <c r="B470" s="13">
        <f>IFERROR(__xludf.DUMMYFUNCTION("GOOGLEFINANCE(A470,""PRICE"")"),1940.8)</f>
        <v>1940.8</v>
      </c>
      <c r="C470" s="14">
        <f>IFERROR(__xludf.DUMMYFUNCTION("GOOGLEFINANCE(A470,""PRICEOPEN"")"),1900.0)</f>
        <v>1900</v>
      </c>
      <c r="D470" s="14">
        <f>IFERROR(__xludf.DUMMYFUNCTION("GOOGLEFINANCE(A470,""HIGH"")"),1945.0)</f>
        <v>1945</v>
      </c>
      <c r="E470" s="14">
        <f>IFERROR(__xludf.DUMMYFUNCTION("GOOGLEFINANCE(A470,""LOW"")"),1890.6)</f>
        <v>1890.6</v>
      </c>
      <c r="F470" s="15" t="str">
        <f t="shared" si="8"/>
        <v/>
      </c>
      <c r="G470" s="16">
        <f>IFERROR(__xludf.DUMMYFUNCTION("GOOGLEFINANCE(A470,""CLOSEYEST"")"),1898.6)</f>
        <v>1898.6</v>
      </c>
      <c r="H470" s="17" t="str">
        <f t="shared" si="14"/>
        <v/>
      </c>
      <c r="I470" s="18">
        <f t="shared" si="9"/>
        <v>1911.4</v>
      </c>
      <c r="J470" s="19">
        <f t="shared" si="10"/>
        <v>1932.2</v>
      </c>
      <c r="K470" s="19"/>
      <c r="L470" s="19">
        <f t="shared" si="11"/>
        <v>1877.8</v>
      </c>
      <c r="M470" s="19">
        <f t="shared" si="12"/>
        <v>1965.8</v>
      </c>
      <c r="N470" s="19">
        <f t="shared" si="13"/>
        <v>1857</v>
      </c>
    </row>
    <row r="471" ht="24.75" customHeight="1">
      <c r="A471" s="21" t="s">
        <v>434</v>
      </c>
      <c r="B471" s="13">
        <f>IFERROR(__xludf.DUMMYFUNCTION("GOOGLEFINANCE(A471,""PRICE"")"),832.0)</f>
        <v>832</v>
      </c>
      <c r="C471" s="14">
        <f>IFERROR(__xludf.DUMMYFUNCTION("GOOGLEFINANCE(A471,""PRICEOPEN"")"),839.8)</f>
        <v>839.8</v>
      </c>
      <c r="D471" s="14">
        <f>IFERROR(__xludf.DUMMYFUNCTION("GOOGLEFINANCE(A471,""HIGH"")"),846.2)</f>
        <v>846.2</v>
      </c>
      <c r="E471" s="14">
        <f>IFERROR(__xludf.DUMMYFUNCTION("GOOGLEFINANCE(A471,""LOW"")"),830.5)</f>
        <v>830.5</v>
      </c>
      <c r="F471" s="15" t="str">
        <f t="shared" si="8"/>
        <v/>
      </c>
      <c r="G471" s="16">
        <f>IFERROR(__xludf.DUMMYFUNCTION("GOOGLEFINANCE(A471,""CLOSEYEST"")"),833.45)</f>
        <v>833.45</v>
      </c>
      <c r="H471" s="17" t="str">
        <f t="shared" si="14"/>
        <v/>
      </c>
      <c r="I471" s="18">
        <f t="shared" si="9"/>
        <v>836.7166667</v>
      </c>
      <c r="J471" s="19">
        <f t="shared" si="10"/>
        <v>842.9333333</v>
      </c>
      <c r="K471" s="19"/>
      <c r="L471" s="19">
        <f t="shared" si="11"/>
        <v>827.2333333</v>
      </c>
      <c r="M471" s="19">
        <f t="shared" si="12"/>
        <v>852.4166667</v>
      </c>
      <c r="N471" s="19">
        <f t="shared" si="13"/>
        <v>821.0166667</v>
      </c>
    </row>
    <row r="472" ht="24.75" customHeight="1">
      <c r="A472" s="21" t="s">
        <v>435</v>
      </c>
      <c r="B472" s="13">
        <f>IFERROR(__xludf.DUMMYFUNCTION("GOOGLEFINANCE(A472,""PRICE"")"),921.5)</f>
        <v>921.5</v>
      </c>
      <c r="C472" s="14">
        <f>IFERROR(__xludf.DUMMYFUNCTION("GOOGLEFINANCE(A472,""PRICEOPEN"")"),918.0)</f>
        <v>918</v>
      </c>
      <c r="D472" s="14">
        <f>IFERROR(__xludf.DUMMYFUNCTION("GOOGLEFINANCE(A472,""HIGH"")"),924.5)</f>
        <v>924.5</v>
      </c>
      <c r="E472" s="14">
        <f>IFERROR(__xludf.DUMMYFUNCTION("GOOGLEFINANCE(A472,""LOW"")"),905.0)</f>
        <v>905</v>
      </c>
      <c r="F472" s="15" t="str">
        <f t="shared" si="8"/>
        <v/>
      </c>
      <c r="G472" s="16">
        <f>IFERROR(__xludf.DUMMYFUNCTION("GOOGLEFINANCE(A472,""CLOSEYEST"")"),912.5)</f>
        <v>912.5</v>
      </c>
      <c r="H472" s="17" t="str">
        <f t="shared" si="14"/>
        <v/>
      </c>
      <c r="I472" s="18">
        <f t="shared" si="9"/>
        <v>914</v>
      </c>
      <c r="J472" s="19">
        <f t="shared" si="10"/>
        <v>923</v>
      </c>
      <c r="K472" s="19"/>
      <c r="L472" s="19">
        <f t="shared" si="11"/>
        <v>903.5</v>
      </c>
      <c r="M472" s="19">
        <f t="shared" si="12"/>
        <v>933.5</v>
      </c>
      <c r="N472" s="19">
        <f t="shared" si="13"/>
        <v>894.5</v>
      </c>
    </row>
    <row r="473" ht="24.75" customHeight="1">
      <c r="A473" s="21" t="s">
        <v>436</v>
      </c>
      <c r="B473" s="13">
        <f>IFERROR(__xludf.DUMMYFUNCTION("GOOGLEFINANCE(A473,""PRICE"")"),1246.3)</f>
        <v>1246.3</v>
      </c>
      <c r="C473" s="14">
        <f>IFERROR(__xludf.DUMMYFUNCTION("GOOGLEFINANCE(A473,""PRICEOPEN"")"),1236.9)</f>
        <v>1236.9</v>
      </c>
      <c r="D473" s="14">
        <f>IFERROR(__xludf.DUMMYFUNCTION("GOOGLEFINANCE(A473,""HIGH"")"),1264.0)</f>
        <v>1264</v>
      </c>
      <c r="E473" s="14">
        <f>IFERROR(__xludf.DUMMYFUNCTION("GOOGLEFINANCE(A473,""LOW"")"),1220.1)</f>
        <v>1220.1</v>
      </c>
      <c r="F473" s="15" t="str">
        <f t="shared" si="8"/>
        <v/>
      </c>
      <c r="G473" s="16">
        <f>IFERROR(__xludf.DUMMYFUNCTION("GOOGLEFINANCE(A473,""CLOSEYEST"")"),1234.4)</f>
        <v>1234.4</v>
      </c>
      <c r="H473" s="17" t="str">
        <f t="shared" si="14"/>
        <v/>
      </c>
      <c r="I473" s="18">
        <f t="shared" si="9"/>
        <v>1239.5</v>
      </c>
      <c r="J473" s="19">
        <f t="shared" si="10"/>
        <v>1258.9</v>
      </c>
      <c r="K473" s="19"/>
      <c r="L473" s="19">
        <f t="shared" si="11"/>
        <v>1215</v>
      </c>
      <c r="M473" s="19">
        <f t="shared" si="12"/>
        <v>1283.4</v>
      </c>
      <c r="N473" s="19">
        <f t="shared" si="13"/>
        <v>1195.6</v>
      </c>
    </row>
    <row r="474" ht="24.75" customHeight="1">
      <c r="A474" s="21" t="s">
        <v>437</v>
      </c>
      <c r="B474" s="13">
        <f>IFERROR(__xludf.DUMMYFUNCTION("GOOGLEFINANCE(A474,""PRICE"")"),245.7)</f>
        <v>245.7</v>
      </c>
      <c r="C474" s="14">
        <f>IFERROR(__xludf.DUMMYFUNCTION("GOOGLEFINANCE(A474,""PRICEOPEN"")"),245.9)</f>
        <v>245.9</v>
      </c>
      <c r="D474" s="14">
        <f>IFERROR(__xludf.DUMMYFUNCTION("GOOGLEFINANCE(A474,""HIGH"")"),248.7)</f>
        <v>248.7</v>
      </c>
      <c r="E474" s="14">
        <f>IFERROR(__xludf.DUMMYFUNCTION("GOOGLEFINANCE(A474,""LOW"")"),245.05)</f>
        <v>245.05</v>
      </c>
      <c r="F474" s="15" t="str">
        <f t="shared" si="8"/>
        <v/>
      </c>
      <c r="G474" s="16">
        <f>IFERROR(__xludf.DUMMYFUNCTION("GOOGLEFINANCE(A474,""CLOSEYEST"")"),244.95)</f>
        <v>244.95</v>
      </c>
      <c r="H474" s="17" t="str">
        <f t="shared" si="14"/>
        <v/>
      </c>
      <c r="I474" s="18">
        <f t="shared" si="9"/>
        <v>246.2333333</v>
      </c>
      <c r="J474" s="19">
        <f t="shared" si="10"/>
        <v>247.4166667</v>
      </c>
      <c r="K474" s="19"/>
      <c r="L474" s="19">
        <f t="shared" si="11"/>
        <v>243.7666667</v>
      </c>
      <c r="M474" s="19">
        <f t="shared" si="12"/>
        <v>249.8833333</v>
      </c>
      <c r="N474" s="19">
        <f t="shared" si="13"/>
        <v>242.5833333</v>
      </c>
    </row>
    <row r="475" ht="24.75" customHeight="1">
      <c r="A475" s="21" t="s">
        <v>438</v>
      </c>
      <c r="B475" s="13">
        <f>IFERROR(__xludf.DUMMYFUNCTION("GOOGLEFINANCE(A475,""PRICE"")"),516.0)</f>
        <v>516</v>
      </c>
      <c r="C475" s="14">
        <f>IFERROR(__xludf.DUMMYFUNCTION("GOOGLEFINANCE(A475,""PRICEOPEN"")"),515.0)</f>
        <v>515</v>
      </c>
      <c r="D475" s="14">
        <f>IFERROR(__xludf.DUMMYFUNCTION("GOOGLEFINANCE(A475,""HIGH"")"),521.25)</f>
        <v>521.25</v>
      </c>
      <c r="E475" s="14">
        <f>IFERROR(__xludf.DUMMYFUNCTION("GOOGLEFINANCE(A475,""LOW"")"),512.3)</f>
        <v>512.3</v>
      </c>
      <c r="F475" s="15" t="str">
        <f t="shared" si="8"/>
        <v/>
      </c>
      <c r="G475" s="16">
        <f>IFERROR(__xludf.DUMMYFUNCTION("GOOGLEFINANCE(A475,""CLOSEYEST"")"),513.4)</f>
        <v>513.4</v>
      </c>
      <c r="H475" s="17" t="str">
        <f t="shared" si="14"/>
        <v/>
      </c>
      <c r="I475" s="18">
        <f t="shared" si="9"/>
        <v>515.65</v>
      </c>
      <c r="J475" s="19">
        <f t="shared" si="10"/>
        <v>519</v>
      </c>
      <c r="K475" s="19"/>
      <c r="L475" s="19">
        <f t="shared" si="11"/>
        <v>510.05</v>
      </c>
      <c r="M475" s="19">
        <f t="shared" si="12"/>
        <v>524.6</v>
      </c>
      <c r="N475" s="19">
        <f t="shared" si="13"/>
        <v>506.7</v>
      </c>
    </row>
    <row r="476" ht="24.75" customHeight="1">
      <c r="A476" s="21" t="s">
        <v>439</v>
      </c>
      <c r="B476" s="13">
        <f>IFERROR(__xludf.DUMMYFUNCTION("GOOGLEFINANCE(A476,""PRICE"")"),501.1)</f>
        <v>501.1</v>
      </c>
      <c r="C476" s="14">
        <f>IFERROR(__xludf.DUMMYFUNCTION("GOOGLEFINANCE(A476,""PRICEOPEN"")"),498.0)</f>
        <v>498</v>
      </c>
      <c r="D476" s="14">
        <f>IFERROR(__xludf.DUMMYFUNCTION("GOOGLEFINANCE(A476,""HIGH"")"),503.35)</f>
        <v>503.35</v>
      </c>
      <c r="E476" s="14">
        <f>IFERROR(__xludf.DUMMYFUNCTION("GOOGLEFINANCE(A476,""LOW"")"),497.15)</f>
        <v>497.15</v>
      </c>
      <c r="F476" s="15" t="str">
        <f t="shared" si="8"/>
        <v/>
      </c>
      <c r="G476" s="16">
        <f>IFERROR(__xludf.DUMMYFUNCTION("GOOGLEFINANCE(A476,""CLOSEYEST"")"),496.2)</f>
        <v>496.2</v>
      </c>
      <c r="H476" s="17" t="str">
        <f t="shared" si="14"/>
        <v/>
      </c>
      <c r="I476" s="18">
        <f t="shared" si="9"/>
        <v>498.9</v>
      </c>
      <c r="J476" s="19">
        <f t="shared" si="10"/>
        <v>500.65</v>
      </c>
      <c r="K476" s="19"/>
      <c r="L476" s="19">
        <f t="shared" si="11"/>
        <v>494.45</v>
      </c>
      <c r="M476" s="19">
        <f t="shared" si="12"/>
        <v>505.1</v>
      </c>
      <c r="N476" s="19">
        <f t="shared" si="13"/>
        <v>492.7</v>
      </c>
    </row>
    <row r="477" ht="24.75" customHeight="1">
      <c r="A477" s="21" t="s">
        <v>440</v>
      </c>
      <c r="B477" s="13">
        <f>IFERROR(__xludf.DUMMYFUNCTION("GOOGLEFINANCE(A477,""PRICE"")"),111.65)</f>
        <v>111.65</v>
      </c>
      <c r="C477" s="14">
        <f>IFERROR(__xludf.DUMMYFUNCTION("GOOGLEFINANCE(A477,""PRICEOPEN"")"),109.5)</f>
        <v>109.5</v>
      </c>
      <c r="D477" s="14">
        <f>IFERROR(__xludf.DUMMYFUNCTION("GOOGLEFINANCE(A477,""HIGH"")"),111.78)</f>
        <v>111.78</v>
      </c>
      <c r="E477" s="14">
        <f>IFERROR(__xludf.DUMMYFUNCTION("GOOGLEFINANCE(A477,""LOW"")"),108.66)</f>
        <v>108.66</v>
      </c>
      <c r="F477" s="15" t="str">
        <f t="shared" si="8"/>
        <v/>
      </c>
      <c r="G477" s="16">
        <f>IFERROR(__xludf.DUMMYFUNCTION("GOOGLEFINANCE(A477,""CLOSEYEST"")"),108.67)</f>
        <v>108.67</v>
      </c>
      <c r="H477" s="17" t="str">
        <f t="shared" si="14"/>
        <v/>
      </c>
      <c r="I477" s="18">
        <f t="shared" si="9"/>
        <v>109.7033333</v>
      </c>
      <c r="J477" s="19">
        <f t="shared" si="10"/>
        <v>110.7466667</v>
      </c>
      <c r="K477" s="19"/>
      <c r="L477" s="19">
        <f t="shared" si="11"/>
        <v>107.6266667</v>
      </c>
      <c r="M477" s="19">
        <f t="shared" si="12"/>
        <v>112.8233333</v>
      </c>
      <c r="N477" s="19">
        <f t="shared" si="13"/>
        <v>106.5833333</v>
      </c>
    </row>
    <row r="478" ht="24.75" customHeight="1">
      <c r="A478" s="21" t="s">
        <v>441</v>
      </c>
      <c r="B478" s="13">
        <f>IFERROR(__xludf.DUMMYFUNCTION("GOOGLEFINANCE(A478,""PRICE"")"),863.85)</f>
        <v>863.85</v>
      </c>
      <c r="C478" s="14">
        <f>IFERROR(__xludf.DUMMYFUNCTION("GOOGLEFINANCE(A478,""PRICEOPEN"")"),857.6)</f>
        <v>857.6</v>
      </c>
      <c r="D478" s="14">
        <f>IFERROR(__xludf.DUMMYFUNCTION("GOOGLEFINANCE(A478,""HIGH"")"),866.8)</f>
        <v>866.8</v>
      </c>
      <c r="E478" s="14">
        <f>IFERROR(__xludf.DUMMYFUNCTION("GOOGLEFINANCE(A478,""LOW"")"),855.65)</f>
        <v>855.65</v>
      </c>
      <c r="F478" s="15" t="str">
        <f t="shared" si="8"/>
        <v/>
      </c>
      <c r="G478" s="16">
        <f>IFERROR(__xludf.DUMMYFUNCTION("GOOGLEFINANCE(A478,""CLOSEYEST"")"),867.8)</f>
        <v>867.8</v>
      </c>
      <c r="H478" s="17" t="str">
        <f t="shared" si="14"/>
        <v>GAP DOWN</v>
      </c>
      <c r="I478" s="18">
        <f t="shared" si="9"/>
        <v>863.4166667</v>
      </c>
      <c r="J478" s="19">
        <f t="shared" si="10"/>
        <v>871.1833333</v>
      </c>
      <c r="K478" s="19"/>
      <c r="L478" s="19">
        <f t="shared" si="11"/>
        <v>860.0333333</v>
      </c>
      <c r="M478" s="19">
        <f t="shared" si="12"/>
        <v>874.5666667</v>
      </c>
      <c r="N478" s="19">
        <f t="shared" si="13"/>
        <v>852.2666667</v>
      </c>
    </row>
    <row r="479" ht="24.75" customHeight="1">
      <c r="A479" s="21" t="s">
        <v>442</v>
      </c>
      <c r="B479" s="13">
        <f>IFERROR(__xludf.DUMMYFUNCTION("GOOGLEFINANCE(A479,""PRICE"")"),1758.5)</f>
        <v>1758.5</v>
      </c>
      <c r="C479" s="14">
        <f>IFERROR(__xludf.DUMMYFUNCTION("GOOGLEFINANCE(A479,""PRICEOPEN"")"),1757.7)</f>
        <v>1757.7</v>
      </c>
      <c r="D479" s="14">
        <f>IFERROR(__xludf.DUMMYFUNCTION("GOOGLEFINANCE(A479,""HIGH"")"),1773.4)</f>
        <v>1773.4</v>
      </c>
      <c r="E479" s="14">
        <f>IFERROR(__xludf.DUMMYFUNCTION("GOOGLEFINANCE(A479,""LOW"")"),1743.0)</f>
        <v>1743</v>
      </c>
      <c r="F479" s="15" t="str">
        <f t="shared" si="8"/>
        <v/>
      </c>
      <c r="G479" s="16">
        <f>IFERROR(__xludf.DUMMYFUNCTION("GOOGLEFINANCE(A479,""CLOSEYEST"")"),1754.0)</f>
        <v>1754</v>
      </c>
      <c r="H479" s="17" t="str">
        <f t="shared" si="14"/>
        <v/>
      </c>
      <c r="I479" s="18">
        <f t="shared" si="9"/>
        <v>1756.8</v>
      </c>
      <c r="J479" s="19">
        <f t="shared" si="10"/>
        <v>1770.6</v>
      </c>
      <c r="K479" s="19"/>
      <c r="L479" s="19">
        <f t="shared" si="11"/>
        <v>1740.2</v>
      </c>
      <c r="M479" s="19">
        <f t="shared" si="12"/>
        <v>1787.2</v>
      </c>
      <c r="N479" s="19">
        <f t="shared" si="13"/>
        <v>1726.4</v>
      </c>
    </row>
    <row r="480" ht="24.75" customHeight="1">
      <c r="A480" s="21" t="s">
        <v>443</v>
      </c>
      <c r="B480" s="13">
        <f>IFERROR(__xludf.DUMMYFUNCTION("GOOGLEFINANCE(A480,""PRICE"")"),641.3)</f>
        <v>641.3</v>
      </c>
      <c r="C480" s="14">
        <f>IFERROR(__xludf.DUMMYFUNCTION("GOOGLEFINANCE(A480,""PRICEOPEN"")"),638.9)</f>
        <v>638.9</v>
      </c>
      <c r="D480" s="14">
        <f>IFERROR(__xludf.DUMMYFUNCTION("GOOGLEFINANCE(A480,""HIGH"")"),646.5)</f>
        <v>646.5</v>
      </c>
      <c r="E480" s="14">
        <f>IFERROR(__xludf.DUMMYFUNCTION("GOOGLEFINANCE(A480,""LOW"")"),633.1)</f>
        <v>633.1</v>
      </c>
      <c r="F480" s="15" t="str">
        <f t="shared" si="8"/>
        <v/>
      </c>
      <c r="G480" s="16">
        <f>IFERROR(__xludf.DUMMYFUNCTION("GOOGLEFINANCE(A480,""CLOSEYEST"")"),636.15)</f>
        <v>636.15</v>
      </c>
      <c r="H480" s="17" t="str">
        <f t="shared" si="14"/>
        <v/>
      </c>
      <c r="I480" s="18">
        <f t="shared" si="9"/>
        <v>638.5833333</v>
      </c>
      <c r="J480" s="19">
        <f t="shared" si="10"/>
        <v>644.0666667</v>
      </c>
      <c r="K480" s="19"/>
      <c r="L480" s="19">
        <f t="shared" si="11"/>
        <v>630.6666667</v>
      </c>
      <c r="M480" s="19">
        <f t="shared" si="12"/>
        <v>651.9833333</v>
      </c>
      <c r="N480" s="19">
        <f t="shared" si="13"/>
        <v>625.1833333</v>
      </c>
    </row>
    <row r="481" ht="24.75" customHeight="1">
      <c r="A481" s="21" t="s">
        <v>444</v>
      </c>
      <c r="B481" s="13">
        <f>IFERROR(__xludf.DUMMYFUNCTION("GOOGLEFINANCE(A481,""PRICE"")"),760.0)</f>
        <v>760</v>
      </c>
      <c r="C481" s="14">
        <f>IFERROR(__xludf.DUMMYFUNCTION("GOOGLEFINANCE(A481,""PRICEOPEN"")"),772.4)</f>
        <v>772.4</v>
      </c>
      <c r="D481" s="14">
        <f>IFERROR(__xludf.DUMMYFUNCTION("GOOGLEFINANCE(A481,""HIGH"")"),779.4)</f>
        <v>779.4</v>
      </c>
      <c r="E481" s="14">
        <f>IFERROR(__xludf.DUMMYFUNCTION("GOOGLEFINANCE(A481,""LOW"")"),754.0)</f>
        <v>754</v>
      </c>
      <c r="F481" s="15" t="str">
        <f t="shared" si="8"/>
        <v/>
      </c>
      <c r="G481" s="16">
        <f>IFERROR(__xludf.DUMMYFUNCTION("GOOGLEFINANCE(A481,""CLOSEYEST"")"),772.2)</f>
        <v>772.2</v>
      </c>
      <c r="H481" s="17" t="str">
        <f t="shared" si="14"/>
        <v/>
      </c>
      <c r="I481" s="18">
        <f t="shared" si="9"/>
        <v>768.5333333</v>
      </c>
      <c r="J481" s="19">
        <f t="shared" si="10"/>
        <v>783.0666667</v>
      </c>
      <c r="K481" s="19"/>
      <c r="L481" s="19">
        <f t="shared" si="11"/>
        <v>757.6666667</v>
      </c>
      <c r="M481" s="19">
        <f t="shared" si="12"/>
        <v>793.9333333</v>
      </c>
      <c r="N481" s="19">
        <f t="shared" si="13"/>
        <v>743.1333333</v>
      </c>
    </row>
    <row r="482" ht="24.75" customHeight="1">
      <c r="A482" s="21" t="s">
        <v>445</v>
      </c>
      <c r="B482" s="13" t="str">
        <f>IFERROR(__xludf.DUMMYFUNCTION("GOOGLEFINANCE(A482,""PRICE"")"),"#N/A")</f>
        <v>#N/A</v>
      </c>
      <c r="C482" s="14" t="str">
        <f>IFERROR(__xludf.DUMMYFUNCTION("GOOGLEFINANCE(A482,""PRICEOPEN"")"),"#N/A")</f>
        <v>#N/A</v>
      </c>
      <c r="D482" s="14" t="str">
        <f>IFERROR(__xludf.DUMMYFUNCTION("GOOGLEFINANCE(A482,""HIGH"")"),"#N/A")</f>
        <v>#N/A</v>
      </c>
      <c r="E482" s="14" t="str">
        <f>IFERROR(__xludf.DUMMYFUNCTION("GOOGLEFINANCE(A482,""LOW"")"),"#N/A")</f>
        <v>#N/A</v>
      </c>
      <c r="F482" s="15" t="str">
        <f t="shared" si="8"/>
        <v>#N/A</v>
      </c>
      <c r="G482" s="16" t="str">
        <f>IFERROR(__xludf.DUMMYFUNCTION("GOOGLEFINANCE(A482,""CLOSEYEST"")"),"#N/A")</f>
        <v>#N/A</v>
      </c>
      <c r="H482" s="17" t="str">
        <f t="shared" si="14"/>
        <v>#N/A</v>
      </c>
      <c r="I482" s="18" t="str">
        <f t="shared" si="9"/>
        <v>#N/A</v>
      </c>
      <c r="J482" s="19" t="str">
        <f t="shared" si="10"/>
        <v>#N/A</v>
      </c>
      <c r="K482" s="19"/>
      <c r="L482" s="19" t="str">
        <f t="shared" si="11"/>
        <v>#N/A</v>
      </c>
      <c r="M482" s="19" t="str">
        <f t="shared" si="12"/>
        <v>#N/A</v>
      </c>
      <c r="N482" s="19" t="str">
        <f t="shared" si="13"/>
        <v>#N/A</v>
      </c>
    </row>
    <row r="483" ht="24.75" customHeight="1">
      <c r="A483" s="21" t="s">
        <v>446</v>
      </c>
      <c r="B483" s="13">
        <f>IFERROR(__xludf.DUMMYFUNCTION("GOOGLEFINANCE(A483,""PRICE"")"),18.23)</f>
        <v>18.23</v>
      </c>
      <c r="C483" s="14" t="str">
        <f>IFERROR(__xludf.DUMMYFUNCTION("GOOGLEFINANCE(A483,""PRICEOPEN"")"),"#N/A")</f>
        <v>#N/A</v>
      </c>
      <c r="D483" s="14" t="str">
        <f>IFERROR(__xludf.DUMMYFUNCTION("GOOGLEFINANCE(A483,""HIGH"")"),"#N/A")</f>
        <v>#N/A</v>
      </c>
      <c r="E483" s="14" t="str">
        <f>IFERROR(__xludf.DUMMYFUNCTION("GOOGLEFINANCE(A483,""LOW"")"),"#N/A")</f>
        <v>#N/A</v>
      </c>
      <c r="F483" s="15" t="str">
        <f t="shared" si="8"/>
        <v>#N/A</v>
      </c>
      <c r="G483" s="16">
        <f>IFERROR(__xludf.DUMMYFUNCTION("GOOGLEFINANCE(A483,""CLOSEYEST"")"),18.21)</f>
        <v>18.21</v>
      </c>
      <c r="H483" s="17" t="str">
        <f t="shared" si="14"/>
        <v>#N/A</v>
      </c>
      <c r="I483" s="18" t="str">
        <f t="shared" si="9"/>
        <v>#N/A</v>
      </c>
      <c r="J483" s="19" t="str">
        <f t="shared" si="10"/>
        <v>#N/A</v>
      </c>
      <c r="K483" s="19"/>
      <c r="L483" s="19" t="str">
        <f t="shared" si="11"/>
        <v>#N/A</v>
      </c>
      <c r="M483" s="19" t="str">
        <f t="shared" si="12"/>
        <v>#N/A</v>
      </c>
      <c r="N483" s="19" t="str">
        <f t="shared" si="13"/>
        <v>#N/A</v>
      </c>
    </row>
    <row r="484" ht="24.75" customHeight="1">
      <c r="A484" s="21" t="s">
        <v>447</v>
      </c>
      <c r="B484" s="13">
        <f>IFERROR(__xludf.DUMMYFUNCTION("GOOGLEFINANCE(A484,""PRICE"")"),2110.0)</f>
        <v>2110</v>
      </c>
      <c r="C484" s="14">
        <f>IFERROR(__xludf.DUMMYFUNCTION("GOOGLEFINANCE(A484,""PRICEOPEN"")"),2055.0)</f>
        <v>2055</v>
      </c>
      <c r="D484" s="14">
        <f>IFERROR(__xludf.DUMMYFUNCTION("GOOGLEFINANCE(A484,""HIGH"")"),2120.0)</f>
        <v>2120</v>
      </c>
      <c r="E484" s="14">
        <f>IFERROR(__xludf.DUMMYFUNCTION("GOOGLEFINANCE(A484,""LOW"")"),2050.0)</f>
        <v>2050</v>
      </c>
      <c r="F484" s="15" t="str">
        <f t="shared" si="8"/>
        <v/>
      </c>
      <c r="G484" s="16">
        <f>IFERROR(__xludf.DUMMYFUNCTION("GOOGLEFINANCE(A484,""CLOSEYEST"")"),2075.0)</f>
        <v>2075</v>
      </c>
      <c r="H484" s="17" t="str">
        <f t="shared" si="14"/>
        <v/>
      </c>
      <c r="I484" s="18">
        <f t="shared" si="9"/>
        <v>2081.666667</v>
      </c>
      <c r="J484" s="19">
        <f t="shared" si="10"/>
        <v>2113.333333</v>
      </c>
      <c r="K484" s="19"/>
      <c r="L484" s="19">
        <f t="shared" si="11"/>
        <v>2043.333333</v>
      </c>
      <c r="M484" s="19">
        <f t="shared" si="12"/>
        <v>2151.666667</v>
      </c>
      <c r="N484" s="19">
        <f t="shared" si="13"/>
        <v>2011.666667</v>
      </c>
    </row>
    <row r="485" ht="24.75" customHeight="1">
      <c r="A485" s="21" t="s">
        <v>448</v>
      </c>
      <c r="B485" s="13">
        <f>IFERROR(__xludf.DUMMYFUNCTION("GOOGLEFINANCE(A485,""PRICE"")"),358.9)</f>
        <v>358.9</v>
      </c>
      <c r="C485" s="14">
        <f>IFERROR(__xludf.DUMMYFUNCTION("GOOGLEFINANCE(A485,""PRICEOPEN"")"),338.0)</f>
        <v>338</v>
      </c>
      <c r="D485" s="14">
        <f>IFERROR(__xludf.DUMMYFUNCTION("GOOGLEFINANCE(A485,""HIGH"")"),363.9)</f>
        <v>363.9</v>
      </c>
      <c r="E485" s="14">
        <f>IFERROR(__xludf.DUMMYFUNCTION("GOOGLEFINANCE(A485,""LOW"")"),336.65)</f>
        <v>336.65</v>
      </c>
      <c r="F485" s="15" t="str">
        <f t="shared" si="8"/>
        <v/>
      </c>
      <c r="G485" s="16">
        <f>IFERROR(__xludf.DUMMYFUNCTION("GOOGLEFINANCE(A485,""CLOSEYEST"")"),335.2)</f>
        <v>335.2</v>
      </c>
      <c r="H485" s="17" t="str">
        <f t="shared" si="14"/>
        <v/>
      </c>
      <c r="I485" s="18">
        <f t="shared" si="9"/>
        <v>345.25</v>
      </c>
      <c r="J485" s="19">
        <f t="shared" si="10"/>
        <v>353.85</v>
      </c>
      <c r="K485" s="19"/>
      <c r="L485" s="19">
        <f t="shared" si="11"/>
        <v>326.6</v>
      </c>
      <c r="M485" s="19">
        <f t="shared" si="12"/>
        <v>372.5</v>
      </c>
      <c r="N485" s="19">
        <f t="shared" si="13"/>
        <v>318</v>
      </c>
    </row>
    <row r="486" ht="24.75" customHeight="1">
      <c r="A486" s="21" t="s">
        <v>449</v>
      </c>
      <c r="B486" s="13">
        <f>IFERROR(__xludf.DUMMYFUNCTION("GOOGLEFINANCE(A486,""PRICE"")"),0.0)</f>
        <v>0</v>
      </c>
      <c r="C486" s="14" t="str">
        <f>IFERROR(__xludf.DUMMYFUNCTION("GOOGLEFINANCE(A486,""PRICEOPEN"")"),"#N/A")</f>
        <v>#N/A</v>
      </c>
      <c r="D486" s="14" t="str">
        <f>IFERROR(__xludf.DUMMYFUNCTION("GOOGLEFINANCE(A486,""HIGH"")"),"#N/A")</f>
        <v>#N/A</v>
      </c>
      <c r="E486" s="14" t="str">
        <f>IFERROR(__xludf.DUMMYFUNCTION("GOOGLEFINANCE(A486,""LOW"")"),"#N/A")</f>
        <v>#N/A</v>
      </c>
      <c r="F486" s="15" t="str">
        <f t="shared" si="8"/>
        <v>#N/A</v>
      </c>
      <c r="G486" s="16">
        <f>IFERROR(__xludf.DUMMYFUNCTION("GOOGLEFINANCE(A486,""CLOSEYEST"")"),0.0)</f>
        <v>0</v>
      </c>
      <c r="H486" s="17" t="str">
        <f t="shared" si="14"/>
        <v>#N/A</v>
      </c>
      <c r="I486" s="18" t="str">
        <f t="shared" si="9"/>
        <v>#N/A</v>
      </c>
      <c r="J486" s="19" t="str">
        <f t="shared" si="10"/>
        <v>#N/A</v>
      </c>
      <c r="K486" s="19"/>
      <c r="L486" s="19" t="str">
        <f t="shared" si="11"/>
        <v>#N/A</v>
      </c>
      <c r="M486" s="19" t="str">
        <f t="shared" si="12"/>
        <v>#N/A</v>
      </c>
      <c r="N486" s="19" t="str">
        <f t="shared" si="13"/>
        <v>#N/A</v>
      </c>
    </row>
    <row r="487" ht="24.75" customHeight="1">
      <c r="A487" s="21" t="s">
        <v>450</v>
      </c>
      <c r="B487" s="13">
        <f>IFERROR(__xludf.DUMMYFUNCTION("GOOGLEFINANCE(A487,""PRICE"")"),57.56)</f>
        <v>57.56</v>
      </c>
      <c r="C487" s="14">
        <f>IFERROR(__xludf.DUMMYFUNCTION("GOOGLEFINANCE(A487,""PRICEOPEN"")"),56.85)</f>
        <v>56.85</v>
      </c>
      <c r="D487" s="14">
        <f>IFERROR(__xludf.DUMMYFUNCTION("GOOGLEFINANCE(A487,""HIGH"")"),57.58)</f>
        <v>57.58</v>
      </c>
      <c r="E487" s="14">
        <f>IFERROR(__xludf.DUMMYFUNCTION("GOOGLEFINANCE(A487,""LOW"")"),56.72)</f>
        <v>56.72</v>
      </c>
      <c r="F487" s="15" t="str">
        <f t="shared" si="8"/>
        <v/>
      </c>
      <c r="G487" s="16">
        <f>IFERROR(__xludf.DUMMYFUNCTION("GOOGLEFINANCE(A487,""CLOSEYEST"")"),56.85)</f>
        <v>56.85</v>
      </c>
      <c r="H487" s="17" t="str">
        <f t="shared" si="14"/>
        <v/>
      </c>
      <c r="I487" s="18">
        <f t="shared" si="9"/>
        <v>57.05</v>
      </c>
      <c r="J487" s="19">
        <f t="shared" si="10"/>
        <v>57.38</v>
      </c>
      <c r="K487" s="19"/>
      <c r="L487" s="19">
        <f t="shared" si="11"/>
        <v>56.52</v>
      </c>
      <c r="M487" s="19">
        <f t="shared" si="12"/>
        <v>57.91</v>
      </c>
      <c r="N487" s="19">
        <f t="shared" si="13"/>
        <v>56.19</v>
      </c>
    </row>
    <row r="488" ht="24.75" customHeight="1">
      <c r="A488" s="21" t="s">
        <v>451</v>
      </c>
      <c r="B488" s="13">
        <f>IFERROR(__xludf.DUMMYFUNCTION("GOOGLEFINANCE(A488,""PRICE"")"),616.05)</f>
        <v>616.05</v>
      </c>
      <c r="C488" s="14">
        <f>IFERROR(__xludf.DUMMYFUNCTION("GOOGLEFINANCE(A488,""PRICEOPEN"")"),618.1)</f>
        <v>618.1</v>
      </c>
      <c r="D488" s="14">
        <f>IFERROR(__xludf.DUMMYFUNCTION("GOOGLEFINANCE(A488,""HIGH"")"),624.4)</f>
        <v>624.4</v>
      </c>
      <c r="E488" s="14">
        <f>IFERROR(__xludf.DUMMYFUNCTION("GOOGLEFINANCE(A488,""LOW"")"),603.8)</f>
        <v>603.8</v>
      </c>
      <c r="F488" s="15" t="str">
        <f t="shared" si="8"/>
        <v/>
      </c>
      <c r="G488" s="16">
        <f>IFERROR(__xludf.DUMMYFUNCTION("GOOGLEFINANCE(A488,""CLOSEYEST"")"),610.15)</f>
        <v>610.15</v>
      </c>
      <c r="H488" s="17" t="str">
        <f t="shared" si="14"/>
        <v>GAP UP</v>
      </c>
      <c r="I488" s="18">
        <f t="shared" si="9"/>
        <v>612.7833333</v>
      </c>
      <c r="J488" s="19">
        <f t="shared" si="10"/>
        <v>621.7666667</v>
      </c>
      <c r="K488" s="19"/>
      <c r="L488" s="19">
        <f t="shared" si="11"/>
        <v>601.1666667</v>
      </c>
      <c r="M488" s="19">
        <f t="shared" si="12"/>
        <v>633.3833333</v>
      </c>
      <c r="N488" s="19">
        <f t="shared" si="13"/>
        <v>592.1833333</v>
      </c>
    </row>
    <row r="489" ht="24.75" customHeight="1">
      <c r="A489" s="21" t="s">
        <v>452</v>
      </c>
      <c r="B489" s="13">
        <f>IFERROR(__xludf.DUMMYFUNCTION("GOOGLEFINANCE(A489,""PRICE"")"),1545.6)</f>
        <v>1545.6</v>
      </c>
      <c r="C489" s="14">
        <f>IFERROR(__xludf.DUMMYFUNCTION("GOOGLEFINANCE(A489,""PRICEOPEN"")"),1559.0)</f>
        <v>1559</v>
      </c>
      <c r="D489" s="14">
        <f>IFERROR(__xludf.DUMMYFUNCTION("GOOGLEFINANCE(A489,""HIGH"")"),1563.8)</f>
        <v>1563.8</v>
      </c>
      <c r="E489" s="14">
        <f>IFERROR(__xludf.DUMMYFUNCTION("GOOGLEFINANCE(A489,""LOW"")"),1537.0)</f>
        <v>1537</v>
      </c>
      <c r="F489" s="15" t="str">
        <f t="shared" si="8"/>
        <v/>
      </c>
      <c r="G489" s="16">
        <f>IFERROR(__xludf.DUMMYFUNCTION("GOOGLEFINANCE(A489,""CLOSEYEST"")"),1558.0)</f>
        <v>1558</v>
      </c>
      <c r="H489" s="17" t="str">
        <f t="shared" si="14"/>
        <v/>
      </c>
      <c r="I489" s="18">
        <f t="shared" si="9"/>
        <v>1552.933333</v>
      </c>
      <c r="J489" s="19">
        <f t="shared" si="10"/>
        <v>1568.866667</v>
      </c>
      <c r="K489" s="19"/>
      <c r="L489" s="19">
        <f t="shared" si="11"/>
        <v>1542.066667</v>
      </c>
      <c r="M489" s="19">
        <f t="shared" si="12"/>
        <v>1579.733333</v>
      </c>
      <c r="N489" s="19">
        <f t="shared" si="13"/>
        <v>1526.133333</v>
      </c>
    </row>
    <row r="490" ht="24.75" customHeight="1">
      <c r="A490" s="21" t="s">
        <v>453</v>
      </c>
      <c r="B490" s="13">
        <f>IFERROR(__xludf.DUMMYFUNCTION("GOOGLEFINANCE(A490,""PRICE"")"),253.5)</f>
        <v>253.5</v>
      </c>
      <c r="C490" s="14">
        <f>IFERROR(__xludf.DUMMYFUNCTION("GOOGLEFINANCE(A490,""PRICEOPEN"")"),253.7)</f>
        <v>253.7</v>
      </c>
      <c r="D490" s="14">
        <f>IFERROR(__xludf.DUMMYFUNCTION("GOOGLEFINANCE(A490,""HIGH"")"),255.0)</f>
        <v>255</v>
      </c>
      <c r="E490" s="14">
        <f>IFERROR(__xludf.DUMMYFUNCTION("GOOGLEFINANCE(A490,""LOW"")"),251.51)</f>
        <v>251.51</v>
      </c>
      <c r="F490" s="15" t="str">
        <f t="shared" si="8"/>
        <v/>
      </c>
      <c r="G490" s="16">
        <f>IFERROR(__xludf.DUMMYFUNCTION("GOOGLEFINANCE(A490,""CLOSEYEST"")"),251.8)</f>
        <v>251.8</v>
      </c>
      <c r="H490" s="17" t="str">
        <f t="shared" si="14"/>
        <v/>
      </c>
      <c r="I490" s="18">
        <f t="shared" si="9"/>
        <v>252.77</v>
      </c>
      <c r="J490" s="19">
        <f t="shared" si="10"/>
        <v>254.03</v>
      </c>
      <c r="K490" s="19"/>
      <c r="L490" s="19">
        <f t="shared" si="11"/>
        <v>250.54</v>
      </c>
      <c r="M490" s="19">
        <f t="shared" si="12"/>
        <v>256.26</v>
      </c>
      <c r="N490" s="19">
        <f t="shared" si="13"/>
        <v>249.28</v>
      </c>
    </row>
    <row r="491" ht="24.75" customHeight="1">
      <c r="A491" s="21" t="s">
        <v>454</v>
      </c>
      <c r="B491" s="13">
        <f>IFERROR(__xludf.DUMMYFUNCTION("GOOGLEFINANCE(A491,""PRICE"")"),20.82)</f>
        <v>20.82</v>
      </c>
      <c r="C491" s="14">
        <f>IFERROR(__xludf.DUMMYFUNCTION("GOOGLEFINANCE(A491,""PRICEOPEN"")"),20.48)</f>
        <v>20.48</v>
      </c>
      <c r="D491" s="14">
        <f>IFERROR(__xludf.DUMMYFUNCTION("GOOGLEFINANCE(A491,""HIGH"")"),20.82)</f>
        <v>20.82</v>
      </c>
      <c r="E491" s="14">
        <f>IFERROR(__xludf.DUMMYFUNCTION("GOOGLEFINANCE(A491,""LOW"")"),20.48)</f>
        <v>20.48</v>
      </c>
      <c r="F491" s="15" t="str">
        <f t="shared" si="8"/>
        <v>BUY</v>
      </c>
      <c r="G491" s="16">
        <f>IFERROR(__xludf.DUMMYFUNCTION("GOOGLEFINANCE(A491,""CLOSEYEST"")"),20.5)</f>
        <v>20.5</v>
      </c>
      <c r="H491" s="17" t="str">
        <f t="shared" si="14"/>
        <v/>
      </c>
      <c r="I491" s="18">
        <f t="shared" si="9"/>
        <v>20.6</v>
      </c>
      <c r="J491" s="19">
        <f t="shared" si="10"/>
        <v>20.72</v>
      </c>
      <c r="K491" s="19"/>
      <c r="L491" s="19">
        <f t="shared" si="11"/>
        <v>20.38</v>
      </c>
      <c r="M491" s="19">
        <f t="shared" si="12"/>
        <v>20.94</v>
      </c>
      <c r="N491" s="19">
        <f t="shared" si="13"/>
        <v>20.26</v>
      </c>
    </row>
    <row r="492" ht="24.75" customHeight="1">
      <c r="A492" s="21" t="s">
        <v>455</v>
      </c>
      <c r="B492" s="13">
        <f>IFERROR(__xludf.DUMMYFUNCTION("GOOGLEFINANCE(A492,""PRICE"")"),506.25)</f>
        <v>506.25</v>
      </c>
      <c r="C492" s="14">
        <f>IFERROR(__xludf.DUMMYFUNCTION("GOOGLEFINANCE(A492,""PRICEOPEN"")"),497.6)</f>
        <v>497.6</v>
      </c>
      <c r="D492" s="14">
        <f>IFERROR(__xludf.DUMMYFUNCTION("GOOGLEFINANCE(A492,""HIGH"")"),507.0)</f>
        <v>507</v>
      </c>
      <c r="E492" s="14">
        <f>IFERROR(__xludf.DUMMYFUNCTION("GOOGLEFINANCE(A492,""LOW"")"),497.6)</f>
        <v>497.6</v>
      </c>
      <c r="F492" s="15" t="str">
        <f t="shared" si="8"/>
        <v>BUY</v>
      </c>
      <c r="G492" s="16">
        <f>IFERROR(__xludf.DUMMYFUNCTION("GOOGLEFINANCE(A492,""CLOSEYEST"")"),496.6)</f>
        <v>496.6</v>
      </c>
      <c r="H492" s="17" t="str">
        <f t="shared" si="14"/>
        <v/>
      </c>
      <c r="I492" s="18">
        <f t="shared" si="9"/>
        <v>500.4</v>
      </c>
      <c r="J492" s="19">
        <f t="shared" si="10"/>
        <v>503.2</v>
      </c>
      <c r="K492" s="19"/>
      <c r="L492" s="19">
        <f t="shared" si="11"/>
        <v>493.8</v>
      </c>
      <c r="M492" s="19">
        <f t="shared" si="12"/>
        <v>509.8</v>
      </c>
      <c r="N492" s="19">
        <f t="shared" si="13"/>
        <v>491</v>
      </c>
    </row>
    <row r="493" ht="24.75" customHeight="1">
      <c r="A493" s="21" t="s">
        <v>456</v>
      </c>
      <c r="B493" s="13">
        <f>IFERROR(__xludf.DUMMYFUNCTION("GOOGLEFINANCE(A493,""PRICE"")"),8.14)</f>
        <v>8.14</v>
      </c>
      <c r="C493" s="14">
        <f>IFERROR(__xludf.DUMMYFUNCTION("GOOGLEFINANCE(A493,""PRICEOPEN"")"),8.12)</f>
        <v>8.12</v>
      </c>
      <c r="D493" s="14">
        <f>IFERROR(__xludf.DUMMYFUNCTION("GOOGLEFINANCE(A493,""HIGH"")"),8.17)</f>
        <v>8.17</v>
      </c>
      <c r="E493" s="14">
        <f>IFERROR(__xludf.DUMMYFUNCTION("GOOGLEFINANCE(A493,""LOW"")"),8.04)</f>
        <v>8.04</v>
      </c>
      <c r="F493" s="15" t="str">
        <f t="shared" si="8"/>
        <v/>
      </c>
      <c r="G493" s="16">
        <f>IFERROR(__xludf.DUMMYFUNCTION("GOOGLEFINANCE(A493,""CLOSEYEST"")"),8.12)</f>
        <v>8.12</v>
      </c>
      <c r="H493" s="17" t="str">
        <f t="shared" si="14"/>
        <v/>
      </c>
      <c r="I493" s="18">
        <f t="shared" si="9"/>
        <v>8.11</v>
      </c>
      <c r="J493" s="19">
        <f t="shared" si="10"/>
        <v>8.18</v>
      </c>
      <c r="K493" s="19"/>
      <c r="L493" s="19">
        <f t="shared" si="11"/>
        <v>8.05</v>
      </c>
      <c r="M493" s="19">
        <f t="shared" si="12"/>
        <v>8.24</v>
      </c>
      <c r="N493" s="19">
        <f t="shared" si="13"/>
        <v>7.98</v>
      </c>
    </row>
    <row r="494" ht="24.75" customHeight="1">
      <c r="A494" s="21" t="s">
        <v>457</v>
      </c>
      <c r="B494" s="13">
        <f>IFERROR(__xludf.DUMMYFUNCTION("GOOGLEFINANCE(A494,""PRICE"")"),83.86)</f>
        <v>83.86</v>
      </c>
      <c r="C494" s="14">
        <f>IFERROR(__xludf.DUMMYFUNCTION("GOOGLEFINANCE(A494,""PRICEOPEN"")"),83.06)</f>
        <v>83.06</v>
      </c>
      <c r="D494" s="14">
        <f>IFERROR(__xludf.DUMMYFUNCTION("GOOGLEFINANCE(A494,""HIGH"")"),84.18)</f>
        <v>84.18</v>
      </c>
      <c r="E494" s="14">
        <f>IFERROR(__xludf.DUMMYFUNCTION("GOOGLEFINANCE(A494,""LOW"")"),82.89)</f>
        <v>82.89</v>
      </c>
      <c r="F494" s="15" t="str">
        <f t="shared" si="8"/>
        <v/>
      </c>
      <c r="G494" s="16">
        <f>IFERROR(__xludf.DUMMYFUNCTION("GOOGLEFINANCE(A494,""CLOSEYEST"")"),83.18)</f>
        <v>83.18</v>
      </c>
      <c r="H494" s="17" t="str">
        <f t="shared" si="14"/>
        <v/>
      </c>
      <c r="I494" s="18">
        <f t="shared" si="9"/>
        <v>83.41666667</v>
      </c>
      <c r="J494" s="19">
        <f t="shared" si="10"/>
        <v>83.94333333</v>
      </c>
      <c r="K494" s="19"/>
      <c r="L494" s="19">
        <f t="shared" si="11"/>
        <v>82.65333333</v>
      </c>
      <c r="M494" s="19">
        <f t="shared" si="12"/>
        <v>84.70666667</v>
      </c>
      <c r="N494" s="19">
        <f t="shared" si="13"/>
        <v>82.12666667</v>
      </c>
    </row>
    <row r="495" ht="24.75" customHeight="1">
      <c r="A495" s="21" t="s">
        <v>458</v>
      </c>
      <c r="B495" s="13">
        <f>IFERROR(__xludf.DUMMYFUNCTION("GOOGLEFINANCE(A495,""PRICE"")"),254.3)</f>
        <v>254.3</v>
      </c>
      <c r="C495" s="14">
        <f>IFERROR(__xludf.DUMMYFUNCTION("GOOGLEFINANCE(A495,""PRICEOPEN"")"),255.05)</f>
        <v>255.05</v>
      </c>
      <c r="D495" s="14">
        <f>IFERROR(__xludf.DUMMYFUNCTION("GOOGLEFINANCE(A495,""HIGH"")"),257.5)</f>
        <v>257.5</v>
      </c>
      <c r="E495" s="14">
        <f>IFERROR(__xludf.DUMMYFUNCTION("GOOGLEFINANCE(A495,""LOW"")"),252.0)</f>
        <v>252</v>
      </c>
      <c r="F495" s="15" t="str">
        <f t="shared" si="8"/>
        <v/>
      </c>
      <c r="G495" s="16">
        <f>IFERROR(__xludf.DUMMYFUNCTION("GOOGLEFINANCE(A495,""CLOSEYEST"")"),255.0)</f>
        <v>255</v>
      </c>
      <c r="H495" s="17" t="str">
        <f t="shared" si="14"/>
        <v/>
      </c>
      <c r="I495" s="18">
        <f t="shared" si="9"/>
        <v>254.8333333</v>
      </c>
      <c r="J495" s="19">
        <f t="shared" si="10"/>
        <v>257.6666667</v>
      </c>
      <c r="K495" s="19"/>
      <c r="L495" s="19">
        <f t="shared" si="11"/>
        <v>252.1666667</v>
      </c>
      <c r="M495" s="19">
        <f t="shared" si="12"/>
        <v>260.3333333</v>
      </c>
      <c r="N495" s="19">
        <f t="shared" si="13"/>
        <v>249.3333333</v>
      </c>
    </row>
    <row r="496" ht="24.75" customHeight="1">
      <c r="A496" s="21" t="s">
        <v>459</v>
      </c>
      <c r="B496" s="13">
        <f>IFERROR(__xludf.DUMMYFUNCTION("GOOGLEFINANCE(A496,""PRICE"")"),109.4)</f>
        <v>109.4</v>
      </c>
      <c r="C496" s="14">
        <f>IFERROR(__xludf.DUMMYFUNCTION("GOOGLEFINANCE(A496,""PRICEOPEN"")"),105.4)</f>
        <v>105.4</v>
      </c>
      <c r="D496" s="14">
        <f>IFERROR(__xludf.DUMMYFUNCTION("GOOGLEFINANCE(A496,""HIGH"")"),110.9)</f>
        <v>110.9</v>
      </c>
      <c r="E496" s="14">
        <f>IFERROR(__xludf.DUMMYFUNCTION("GOOGLEFINANCE(A496,""LOW"")"),105.39)</f>
        <v>105.39</v>
      </c>
      <c r="F496" s="15" t="str">
        <f t="shared" si="8"/>
        <v/>
      </c>
      <c r="G496" s="16">
        <f>IFERROR(__xludf.DUMMYFUNCTION("GOOGLEFINANCE(A496,""CLOSEYEST"")"),105.41)</f>
        <v>105.41</v>
      </c>
      <c r="H496" s="17" t="str">
        <f t="shared" si="14"/>
        <v/>
      </c>
      <c r="I496" s="18">
        <f t="shared" si="9"/>
        <v>107.2333333</v>
      </c>
      <c r="J496" s="19">
        <f t="shared" si="10"/>
        <v>109.0766667</v>
      </c>
      <c r="K496" s="19"/>
      <c r="L496" s="19">
        <f t="shared" si="11"/>
        <v>103.5666667</v>
      </c>
      <c r="M496" s="19">
        <f t="shared" si="12"/>
        <v>112.7433333</v>
      </c>
      <c r="N496" s="19">
        <f t="shared" si="13"/>
        <v>101.7233333</v>
      </c>
    </row>
    <row r="497" ht="24.75" customHeight="1">
      <c r="A497" s="21" t="s">
        <v>460</v>
      </c>
      <c r="B497" s="13">
        <f>IFERROR(__xludf.DUMMYFUNCTION("GOOGLEFINANCE(A497,""PRICE"")"),6120.0)</f>
        <v>6120</v>
      </c>
      <c r="C497" s="14">
        <f>IFERROR(__xludf.DUMMYFUNCTION("GOOGLEFINANCE(A497,""PRICEOPEN"")"),6106.0)</f>
        <v>6106</v>
      </c>
      <c r="D497" s="14">
        <f>IFERROR(__xludf.DUMMYFUNCTION("GOOGLEFINANCE(A497,""HIGH"")"),6170.0)</f>
        <v>6170</v>
      </c>
      <c r="E497" s="14">
        <f>IFERROR(__xludf.DUMMYFUNCTION("GOOGLEFINANCE(A497,""LOW"")"),6066.0)</f>
        <v>6066</v>
      </c>
      <c r="F497" s="15" t="str">
        <f t="shared" si="8"/>
        <v/>
      </c>
      <c r="G497" s="16">
        <f>IFERROR(__xludf.DUMMYFUNCTION("GOOGLEFINANCE(A497,""CLOSEYEST"")"),6106.0)</f>
        <v>6106</v>
      </c>
      <c r="H497" s="17" t="str">
        <f t="shared" si="14"/>
        <v/>
      </c>
      <c r="I497" s="18">
        <f t="shared" si="9"/>
        <v>6114</v>
      </c>
      <c r="J497" s="19">
        <f t="shared" si="10"/>
        <v>6162</v>
      </c>
      <c r="K497" s="19"/>
      <c r="L497" s="19">
        <f t="shared" si="11"/>
        <v>6058</v>
      </c>
      <c r="M497" s="19">
        <f t="shared" si="12"/>
        <v>6218</v>
      </c>
      <c r="N497" s="19">
        <f t="shared" si="13"/>
        <v>6010</v>
      </c>
    </row>
    <row r="498" ht="24.75" customHeight="1">
      <c r="A498" s="21" t="s">
        <v>461</v>
      </c>
      <c r="B498" s="13">
        <f>IFERROR(__xludf.DUMMYFUNCTION("GOOGLEFINANCE(A498,""PRICE"")"),2031.0)</f>
        <v>2031</v>
      </c>
      <c r="C498" s="14">
        <f>IFERROR(__xludf.DUMMYFUNCTION("GOOGLEFINANCE(A498,""PRICEOPEN"")"),2060.0)</f>
        <v>2060</v>
      </c>
      <c r="D498" s="14">
        <f>IFERROR(__xludf.DUMMYFUNCTION("GOOGLEFINANCE(A498,""HIGH"")"),2067.0)</f>
        <v>2067</v>
      </c>
      <c r="E498" s="14">
        <f>IFERROR(__xludf.DUMMYFUNCTION("GOOGLEFINANCE(A498,""LOW"")"),1995.1)</f>
        <v>1995.1</v>
      </c>
      <c r="F498" s="15" t="str">
        <f t="shared" si="8"/>
        <v/>
      </c>
      <c r="G498" s="16">
        <f>IFERROR(__xludf.DUMMYFUNCTION("GOOGLEFINANCE(A498,""CLOSEYEST"")"),2058.5)</f>
        <v>2058.5</v>
      </c>
      <c r="H498" s="17" t="str">
        <f t="shared" si="14"/>
        <v/>
      </c>
      <c r="I498" s="18">
        <f t="shared" si="9"/>
        <v>2040.2</v>
      </c>
      <c r="J498" s="19">
        <f t="shared" si="10"/>
        <v>2085.3</v>
      </c>
      <c r="K498" s="19"/>
      <c r="L498" s="19">
        <f t="shared" si="11"/>
        <v>2013.4</v>
      </c>
      <c r="M498" s="19">
        <f t="shared" si="12"/>
        <v>2112.1</v>
      </c>
      <c r="N498" s="19">
        <f t="shared" si="13"/>
        <v>1968.3</v>
      </c>
    </row>
    <row r="499" ht="24.75" customHeight="1">
      <c r="A499" s="21" t="s">
        <v>462</v>
      </c>
      <c r="B499" s="13">
        <f>IFERROR(__xludf.DUMMYFUNCTION("GOOGLEFINANCE(A499,""PRICE"")"),45.86)</f>
        <v>45.86</v>
      </c>
      <c r="C499" s="14" t="str">
        <f>IFERROR(__xludf.DUMMYFUNCTION("GOOGLEFINANCE(A499,""PRICEOPEN"")"),"#N/A")</f>
        <v>#N/A</v>
      </c>
      <c r="D499" s="14" t="str">
        <f>IFERROR(__xludf.DUMMYFUNCTION("GOOGLEFINANCE(A499,""HIGH"")"),"#N/A")</f>
        <v>#N/A</v>
      </c>
      <c r="E499" s="14">
        <f>IFERROR(__xludf.DUMMYFUNCTION("GOOGLEFINANCE(A499,""LOW"")"),45.68)</f>
        <v>45.68</v>
      </c>
      <c r="F499" s="15" t="str">
        <f t="shared" si="8"/>
        <v>#N/A</v>
      </c>
      <c r="G499" s="16">
        <f>IFERROR(__xludf.DUMMYFUNCTION("GOOGLEFINANCE(A499,""CLOSEYEST"")"),45.3)</f>
        <v>45.3</v>
      </c>
      <c r="H499" s="17" t="str">
        <f t="shared" si="14"/>
        <v>#N/A</v>
      </c>
      <c r="I499" s="18" t="str">
        <f t="shared" si="9"/>
        <v>#N/A</v>
      </c>
      <c r="J499" s="19" t="str">
        <f t="shared" si="10"/>
        <v>#N/A</v>
      </c>
      <c r="K499" s="19"/>
      <c r="L499" s="19" t="str">
        <f t="shared" si="11"/>
        <v>#N/A</v>
      </c>
      <c r="M499" s="19" t="str">
        <f t="shared" si="12"/>
        <v>#N/A</v>
      </c>
      <c r="N499" s="19" t="str">
        <f t="shared" si="13"/>
        <v>#N/A</v>
      </c>
    </row>
    <row r="500" ht="24.75" customHeight="1">
      <c r="A500" s="21" t="s">
        <v>463</v>
      </c>
      <c r="B500" s="13">
        <f>IFERROR(__xludf.DUMMYFUNCTION("GOOGLEFINANCE(A500,""PRICE"")"),0.17)</f>
        <v>0.17</v>
      </c>
      <c r="C500" s="14">
        <f>IFERROR(__xludf.DUMMYFUNCTION("GOOGLEFINANCE(A500,""PRICEOPEN"")"),0.17)</f>
        <v>0.17</v>
      </c>
      <c r="D500" s="14">
        <f>IFERROR(__xludf.DUMMYFUNCTION("GOOGLEFINANCE(A500,""HIGH"")"),0.17)</f>
        <v>0.17</v>
      </c>
      <c r="E500" s="14">
        <f>IFERROR(__xludf.DUMMYFUNCTION("GOOGLEFINANCE(A500,""LOW"")"),0.16)</f>
        <v>0.16</v>
      </c>
      <c r="F500" s="15" t="str">
        <f t="shared" si="8"/>
        <v>SELL</v>
      </c>
      <c r="G500" s="16">
        <f>IFERROR(__xludf.DUMMYFUNCTION("GOOGLEFINANCE(A500,""CLOSEYEST"")"),0.17)</f>
        <v>0.17</v>
      </c>
      <c r="H500" s="17" t="str">
        <f t="shared" si="14"/>
        <v/>
      </c>
      <c r="I500" s="18">
        <f t="shared" si="9"/>
        <v>0.1666666667</v>
      </c>
      <c r="J500" s="19">
        <f t="shared" si="10"/>
        <v>0.1733333333</v>
      </c>
      <c r="K500" s="19"/>
      <c r="L500" s="19">
        <f t="shared" si="11"/>
        <v>0.1633333333</v>
      </c>
      <c r="M500" s="19">
        <f t="shared" si="12"/>
        <v>0.1766666667</v>
      </c>
      <c r="N500" s="19">
        <f t="shared" si="13"/>
        <v>0.1566666667</v>
      </c>
    </row>
    <row r="501" ht="24.75" customHeight="1">
      <c r="A501" s="21" t="s">
        <v>464</v>
      </c>
      <c r="B501" s="13">
        <f>IFERROR(__xludf.DUMMYFUNCTION("GOOGLEFINANCE(A501,""PRICE"")"),475.8)</f>
        <v>475.8</v>
      </c>
      <c r="C501" s="14">
        <f>IFERROR(__xludf.DUMMYFUNCTION("GOOGLEFINANCE(A501,""PRICEOPEN"")"),466.8)</f>
        <v>466.8</v>
      </c>
      <c r="D501" s="14">
        <f>IFERROR(__xludf.DUMMYFUNCTION("GOOGLEFINANCE(A501,""HIGH"")"),484.8)</f>
        <v>484.8</v>
      </c>
      <c r="E501" s="14">
        <f>IFERROR(__xludf.DUMMYFUNCTION("GOOGLEFINANCE(A501,""LOW"")"),464.3)</f>
        <v>464.3</v>
      </c>
      <c r="F501" s="15" t="str">
        <f t="shared" si="8"/>
        <v/>
      </c>
      <c r="G501" s="16">
        <f>IFERROR(__xludf.DUMMYFUNCTION("GOOGLEFINANCE(A501,""CLOSEYEST"")"),463.9)</f>
        <v>463.9</v>
      </c>
      <c r="H501" s="17" t="str">
        <f t="shared" si="14"/>
        <v/>
      </c>
      <c r="I501" s="18">
        <f t="shared" si="9"/>
        <v>471</v>
      </c>
      <c r="J501" s="19">
        <f t="shared" si="10"/>
        <v>477.7</v>
      </c>
      <c r="K501" s="19"/>
      <c r="L501" s="19">
        <f t="shared" si="11"/>
        <v>457.2</v>
      </c>
      <c r="M501" s="19">
        <f t="shared" si="12"/>
        <v>491.5</v>
      </c>
      <c r="N501" s="19">
        <f t="shared" si="13"/>
        <v>450.5</v>
      </c>
    </row>
    <row r="502" ht="24.75" customHeight="1">
      <c r="A502" s="21" t="s">
        <v>465</v>
      </c>
      <c r="B502" s="13">
        <f>IFERROR(__xludf.DUMMYFUNCTION("GOOGLEFINANCE(A502,""PRICE"")"),348.05)</f>
        <v>348.05</v>
      </c>
      <c r="C502" s="14">
        <f>IFERROR(__xludf.DUMMYFUNCTION("GOOGLEFINANCE(A502,""PRICEOPEN"")"),352.0)</f>
        <v>352</v>
      </c>
      <c r="D502" s="14">
        <f>IFERROR(__xludf.DUMMYFUNCTION("GOOGLEFINANCE(A502,""HIGH"")"),354.95)</f>
        <v>354.95</v>
      </c>
      <c r="E502" s="14">
        <f>IFERROR(__xludf.DUMMYFUNCTION("GOOGLEFINANCE(A502,""LOW"")"),344.15)</f>
        <v>344.15</v>
      </c>
      <c r="F502" s="15" t="str">
        <f t="shared" si="8"/>
        <v/>
      </c>
      <c r="G502" s="16">
        <f>IFERROR(__xludf.DUMMYFUNCTION("GOOGLEFINANCE(A502,""CLOSEYEST"")"),343.7)</f>
        <v>343.7</v>
      </c>
      <c r="H502" s="17" t="str">
        <f t="shared" si="14"/>
        <v>GAP UP</v>
      </c>
      <c r="I502" s="18">
        <f t="shared" si="9"/>
        <v>347.6</v>
      </c>
      <c r="J502" s="19">
        <f t="shared" si="10"/>
        <v>351.05</v>
      </c>
      <c r="K502" s="19"/>
      <c r="L502" s="19">
        <f t="shared" si="11"/>
        <v>340.25</v>
      </c>
      <c r="M502" s="19">
        <f t="shared" si="12"/>
        <v>358.4</v>
      </c>
      <c r="N502" s="19">
        <f t="shared" si="13"/>
        <v>336.8</v>
      </c>
    </row>
    <row r="503" ht="24.75" customHeight="1">
      <c r="A503" s="21" t="s">
        <v>466</v>
      </c>
      <c r="B503" s="13">
        <f>IFERROR(__xludf.DUMMYFUNCTION("GOOGLEFINANCE(A503,""PRICE"")"),15.48)</f>
        <v>15.48</v>
      </c>
      <c r="C503" s="14">
        <f>IFERROR(__xludf.DUMMYFUNCTION("GOOGLEFINANCE(A503,""PRICEOPEN"")"),15.48)</f>
        <v>15.48</v>
      </c>
      <c r="D503" s="14">
        <f>IFERROR(__xludf.DUMMYFUNCTION("GOOGLEFINANCE(A503,""HIGH"")"),15.53)</f>
        <v>15.53</v>
      </c>
      <c r="E503" s="14">
        <f>IFERROR(__xludf.DUMMYFUNCTION("GOOGLEFINANCE(A503,""LOW"")"),15.48)</f>
        <v>15.48</v>
      </c>
      <c r="F503" s="15" t="str">
        <f t="shared" si="8"/>
        <v>BUY</v>
      </c>
      <c r="G503" s="16">
        <f>IFERROR(__xludf.DUMMYFUNCTION("GOOGLEFINANCE(A503,""CLOSEYEST"")"),15.49)</f>
        <v>15.49</v>
      </c>
      <c r="H503" s="17" t="str">
        <f t="shared" si="14"/>
        <v/>
      </c>
      <c r="I503" s="18">
        <f t="shared" si="9"/>
        <v>15.5</v>
      </c>
      <c r="J503" s="19">
        <f t="shared" si="10"/>
        <v>15.52</v>
      </c>
      <c r="K503" s="19"/>
      <c r="L503" s="19">
        <f t="shared" si="11"/>
        <v>15.47</v>
      </c>
      <c r="M503" s="19">
        <f t="shared" si="12"/>
        <v>15.55</v>
      </c>
      <c r="N503" s="19">
        <f t="shared" si="13"/>
        <v>15.45</v>
      </c>
    </row>
    <row r="504" ht="24.75" customHeight="1">
      <c r="A504" s="21" t="s">
        <v>467</v>
      </c>
      <c r="B504" s="13">
        <f>IFERROR(__xludf.DUMMYFUNCTION("GOOGLEFINANCE(A504,""PRICE"")"),3406.0)</f>
        <v>3406</v>
      </c>
      <c r="C504" s="14">
        <f>IFERROR(__xludf.DUMMYFUNCTION("GOOGLEFINANCE(A504,""PRICEOPEN"")"),3385.0)</f>
        <v>3385</v>
      </c>
      <c r="D504" s="14">
        <f>IFERROR(__xludf.DUMMYFUNCTION("GOOGLEFINANCE(A504,""HIGH"")"),3442.5)</f>
        <v>3442.5</v>
      </c>
      <c r="E504" s="14">
        <f>IFERROR(__xludf.DUMMYFUNCTION("GOOGLEFINANCE(A504,""LOW"")"),3342.7)</f>
        <v>3342.7</v>
      </c>
      <c r="F504" s="15" t="str">
        <f t="shared" si="8"/>
        <v/>
      </c>
      <c r="G504" s="16">
        <f>IFERROR(__xludf.DUMMYFUNCTION("GOOGLEFINANCE(A504,""CLOSEYEST"")"),3376.5)</f>
        <v>3376.5</v>
      </c>
      <c r="H504" s="17" t="str">
        <f t="shared" si="14"/>
        <v/>
      </c>
      <c r="I504" s="18">
        <f t="shared" si="9"/>
        <v>3387.233333</v>
      </c>
      <c r="J504" s="19">
        <f t="shared" si="10"/>
        <v>3431.766667</v>
      </c>
      <c r="K504" s="19"/>
      <c r="L504" s="19">
        <f t="shared" si="11"/>
        <v>3331.966667</v>
      </c>
      <c r="M504" s="19">
        <f t="shared" si="12"/>
        <v>3487.033333</v>
      </c>
      <c r="N504" s="19">
        <f t="shared" si="13"/>
        <v>3287.433333</v>
      </c>
    </row>
    <row r="505" ht="24.75" customHeight="1">
      <c r="A505" s="21" t="s">
        <v>468</v>
      </c>
      <c r="B505" s="13">
        <f>IFERROR(__xludf.DUMMYFUNCTION("GOOGLEFINANCE(A505,""PRICE"")"),1039.4)</f>
        <v>1039.4</v>
      </c>
      <c r="C505" s="14">
        <f>IFERROR(__xludf.DUMMYFUNCTION("GOOGLEFINANCE(A505,""PRICEOPEN"")"),1036.0)</f>
        <v>1036</v>
      </c>
      <c r="D505" s="14">
        <f>IFERROR(__xludf.DUMMYFUNCTION("GOOGLEFINANCE(A505,""HIGH"")"),1061.8)</f>
        <v>1061.8</v>
      </c>
      <c r="E505" s="14">
        <f>IFERROR(__xludf.DUMMYFUNCTION("GOOGLEFINANCE(A505,""LOW"")"),1026.8)</f>
        <v>1026.8</v>
      </c>
      <c r="F505" s="15" t="str">
        <f t="shared" si="8"/>
        <v/>
      </c>
      <c r="G505" s="16">
        <f>IFERROR(__xludf.DUMMYFUNCTION("GOOGLEFINANCE(A505,""CLOSEYEST"")"),1028.1)</f>
        <v>1028.1</v>
      </c>
      <c r="H505" s="17" t="str">
        <f t="shared" si="14"/>
        <v/>
      </c>
      <c r="I505" s="18">
        <f t="shared" si="9"/>
        <v>1038.9</v>
      </c>
      <c r="J505" s="19">
        <f t="shared" si="10"/>
        <v>1051</v>
      </c>
      <c r="K505" s="19"/>
      <c r="L505" s="19">
        <f t="shared" si="11"/>
        <v>1016</v>
      </c>
      <c r="M505" s="19">
        <f t="shared" si="12"/>
        <v>1073.9</v>
      </c>
      <c r="N505" s="19">
        <f t="shared" si="13"/>
        <v>1003.9</v>
      </c>
    </row>
    <row r="506" ht="24.75" customHeight="1">
      <c r="A506" s="21" t="s">
        <v>469</v>
      </c>
      <c r="B506" s="13">
        <f>IFERROR(__xludf.DUMMYFUNCTION("GOOGLEFINANCE(A506,""PRICE"")"),351.4)</f>
        <v>351.4</v>
      </c>
      <c r="C506" s="14">
        <f>IFERROR(__xludf.DUMMYFUNCTION("GOOGLEFINANCE(A506,""PRICEOPEN"")"),339.3)</f>
        <v>339.3</v>
      </c>
      <c r="D506" s="14">
        <f>IFERROR(__xludf.DUMMYFUNCTION("GOOGLEFINANCE(A506,""HIGH"")"),351.7)</f>
        <v>351.7</v>
      </c>
      <c r="E506" s="14">
        <f>IFERROR(__xludf.DUMMYFUNCTION("GOOGLEFINANCE(A506,""LOW"")"),337.7)</f>
        <v>337.7</v>
      </c>
      <c r="F506" s="15" t="str">
        <f t="shared" si="8"/>
        <v/>
      </c>
      <c r="G506" s="16">
        <f>IFERROR(__xludf.DUMMYFUNCTION("GOOGLEFINANCE(A506,""CLOSEYEST"")"),339.25)</f>
        <v>339.25</v>
      </c>
      <c r="H506" s="17" t="str">
        <f t="shared" si="14"/>
        <v/>
      </c>
      <c r="I506" s="18">
        <f t="shared" si="9"/>
        <v>342.8833333</v>
      </c>
      <c r="J506" s="19">
        <f t="shared" si="10"/>
        <v>348.0666667</v>
      </c>
      <c r="K506" s="19"/>
      <c r="L506" s="19">
        <f t="shared" si="11"/>
        <v>334.0666667</v>
      </c>
      <c r="M506" s="19">
        <f t="shared" si="12"/>
        <v>356.8833333</v>
      </c>
      <c r="N506" s="19">
        <f t="shared" si="13"/>
        <v>328.8833333</v>
      </c>
    </row>
    <row r="507" ht="24.75" customHeight="1">
      <c r="A507" s="21" t="s">
        <v>470</v>
      </c>
      <c r="B507" s="13">
        <f>IFERROR(__xludf.DUMMYFUNCTION("GOOGLEFINANCE(A507,""PRICE"")"),1052.0)</f>
        <v>1052</v>
      </c>
      <c r="C507" s="14">
        <f>IFERROR(__xludf.DUMMYFUNCTION("GOOGLEFINANCE(A507,""PRICEOPEN"")"),1053.5)</f>
        <v>1053.5</v>
      </c>
      <c r="D507" s="14">
        <f>IFERROR(__xludf.DUMMYFUNCTION("GOOGLEFINANCE(A507,""HIGH"")"),1059.1)</f>
        <v>1059.1</v>
      </c>
      <c r="E507" s="14">
        <f>IFERROR(__xludf.DUMMYFUNCTION("GOOGLEFINANCE(A507,""LOW"")"),1040.0)</f>
        <v>1040</v>
      </c>
      <c r="F507" s="15" t="str">
        <f t="shared" si="8"/>
        <v/>
      </c>
      <c r="G507" s="16">
        <f>IFERROR(__xludf.DUMMYFUNCTION("GOOGLEFINANCE(A507,""CLOSEYEST"")"),1053.7)</f>
        <v>1053.7</v>
      </c>
      <c r="H507" s="17" t="str">
        <f t="shared" si="14"/>
        <v/>
      </c>
      <c r="I507" s="18">
        <f t="shared" si="9"/>
        <v>1050.933333</v>
      </c>
      <c r="J507" s="19">
        <f t="shared" si="10"/>
        <v>1061.866667</v>
      </c>
      <c r="K507" s="19"/>
      <c r="L507" s="19">
        <f t="shared" si="11"/>
        <v>1042.766667</v>
      </c>
      <c r="M507" s="19">
        <f t="shared" si="12"/>
        <v>1070.033333</v>
      </c>
      <c r="N507" s="19">
        <f t="shared" si="13"/>
        <v>1031.833333</v>
      </c>
    </row>
    <row r="508" ht="24.75" customHeight="1">
      <c r="A508" s="21" t="s">
        <v>471</v>
      </c>
      <c r="B508" s="13">
        <f>IFERROR(__xludf.DUMMYFUNCTION("GOOGLEFINANCE(A508,""PRICE"")"),1565.0)</f>
        <v>1565</v>
      </c>
      <c r="C508" s="14">
        <f>IFERROR(__xludf.DUMMYFUNCTION("GOOGLEFINANCE(A508,""PRICEOPEN"")"),1549.1)</f>
        <v>1549.1</v>
      </c>
      <c r="D508" s="14">
        <f>IFERROR(__xludf.DUMMYFUNCTION("GOOGLEFINANCE(A508,""HIGH"")"),1581.1)</f>
        <v>1581.1</v>
      </c>
      <c r="E508" s="14">
        <f>IFERROR(__xludf.DUMMYFUNCTION("GOOGLEFINANCE(A508,""LOW"")"),1531.6)</f>
        <v>1531.6</v>
      </c>
      <c r="F508" s="15" t="str">
        <f t="shared" si="8"/>
        <v/>
      </c>
      <c r="G508" s="16">
        <f>IFERROR(__xludf.DUMMYFUNCTION("GOOGLEFINANCE(A508,""CLOSEYEST"")"),1547.1)</f>
        <v>1547.1</v>
      </c>
      <c r="H508" s="17" t="str">
        <f t="shared" si="14"/>
        <v/>
      </c>
      <c r="I508" s="18">
        <f t="shared" si="9"/>
        <v>1553.266667</v>
      </c>
      <c r="J508" s="19">
        <f t="shared" si="10"/>
        <v>1574.933333</v>
      </c>
      <c r="K508" s="19"/>
      <c r="L508" s="19">
        <f t="shared" si="11"/>
        <v>1525.433333</v>
      </c>
      <c r="M508" s="19">
        <f t="shared" si="12"/>
        <v>1602.766667</v>
      </c>
      <c r="N508" s="19">
        <f t="shared" si="13"/>
        <v>1503.766667</v>
      </c>
    </row>
    <row r="509" ht="24.75" customHeight="1">
      <c r="A509" s="21" t="s">
        <v>472</v>
      </c>
      <c r="B509" s="13">
        <f>IFERROR(__xludf.DUMMYFUNCTION("GOOGLEFINANCE(A509,""PRICE"")"),524.45)</f>
        <v>524.45</v>
      </c>
      <c r="C509" s="14">
        <f>IFERROR(__xludf.DUMMYFUNCTION("GOOGLEFINANCE(A509,""PRICEOPEN"")"),526.0)</f>
        <v>526</v>
      </c>
      <c r="D509" s="14">
        <f>IFERROR(__xludf.DUMMYFUNCTION("GOOGLEFINANCE(A509,""HIGH"")"),528.45)</f>
        <v>528.45</v>
      </c>
      <c r="E509" s="14">
        <f>IFERROR(__xludf.DUMMYFUNCTION("GOOGLEFINANCE(A509,""LOW"")"),520.1)</f>
        <v>520.1</v>
      </c>
      <c r="F509" s="15" t="str">
        <f t="shared" si="8"/>
        <v/>
      </c>
      <c r="G509" s="16">
        <f>IFERROR(__xludf.DUMMYFUNCTION("GOOGLEFINANCE(A509,""CLOSEYEST"")"),523.6)</f>
        <v>523.6</v>
      </c>
      <c r="H509" s="17" t="str">
        <f t="shared" si="14"/>
        <v/>
      </c>
      <c r="I509" s="18">
        <f t="shared" si="9"/>
        <v>524.05</v>
      </c>
      <c r="J509" s="19">
        <f t="shared" si="10"/>
        <v>528</v>
      </c>
      <c r="K509" s="19"/>
      <c r="L509" s="19">
        <f t="shared" si="11"/>
        <v>519.65</v>
      </c>
      <c r="M509" s="19">
        <f t="shared" si="12"/>
        <v>532.4</v>
      </c>
      <c r="N509" s="19">
        <f t="shared" si="13"/>
        <v>515.7</v>
      </c>
    </row>
    <row r="510" ht="24.75" customHeight="1">
      <c r="A510" s="21" t="s">
        <v>473</v>
      </c>
      <c r="B510" s="13">
        <f>IFERROR(__xludf.DUMMYFUNCTION("GOOGLEFINANCE(A510,""PRICE"")"),28.57)</f>
        <v>28.57</v>
      </c>
      <c r="C510" s="14">
        <f>IFERROR(__xludf.DUMMYFUNCTION("GOOGLEFINANCE(A510,""PRICEOPEN"")"),29.0)</f>
        <v>29</v>
      </c>
      <c r="D510" s="14">
        <f>IFERROR(__xludf.DUMMYFUNCTION("GOOGLEFINANCE(A510,""HIGH"")"),29.24)</f>
        <v>29.24</v>
      </c>
      <c r="E510" s="14">
        <f>IFERROR(__xludf.DUMMYFUNCTION("GOOGLEFINANCE(A510,""LOW"")"),28.47)</f>
        <v>28.47</v>
      </c>
      <c r="F510" s="15" t="str">
        <f t="shared" si="8"/>
        <v/>
      </c>
      <c r="G510" s="16">
        <f>IFERROR(__xludf.DUMMYFUNCTION("GOOGLEFINANCE(A510,""CLOSEYEST"")"),28.85)</f>
        <v>28.85</v>
      </c>
      <c r="H510" s="17" t="str">
        <f t="shared" si="14"/>
        <v/>
      </c>
      <c r="I510" s="18">
        <f t="shared" si="9"/>
        <v>28.85333333</v>
      </c>
      <c r="J510" s="19">
        <f t="shared" si="10"/>
        <v>29.23666667</v>
      </c>
      <c r="K510" s="19"/>
      <c r="L510" s="19">
        <f t="shared" si="11"/>
        <v>28.46666667</v>
      </c>
      <c r="M510" s="19">
        <f t="shared" si="12"/>
        <v>29.62333333</v>
      </c>
      <c r="N510" s="19">
        <f t="shared" si="13"/>
        <v>28.08333333</v>
      </c>
    </row>
    <row r="511" ht="24.75" customHeight="1">
      <c r="A511" s="21" t="s">
        <v>474</v>
      </c>
      <c r="B511" s="13">
        <f>IFERROR(__xludf.DUMMYFUNCTION("GOOGLEFINANCE(A511,""PRICE"")"),1179.0)</f>
        <v>1179</v>
      </c>
      <c r="C511" s="14">
        <f>IFERROR(__xludf.DUMMYFUNCTION("GOOGLEFINANCE(A511,""PRICEOPEN"")"),1150.0)</f>
        <v>1150</v>
      </c>
      <c r="D511" s="14">
        <f>IFERROR(__xludf.DUMMYFUNCTION("GOOGLEFINANCE(A511,""HIGH"")"),1190.9)</f>
        <v>1190.9</v>
      </c>
      <c r="E511" s="14">
        <f>IFERROR(__xludf.DUMMYFUNCTION("GOOGLEFINANCE(A511,""LOW"")"),1132.5)</f>
        <v>1132.5</v>
      </c>
      <c r="F511" s="15" t="str">
        <f t="shared" si="8"/>
        <v/>
      </c>
      <c r="G511" s="16">
        <f>IFERROR(__xludf.DUMMYFUNCTION("GOOGLEFINANCE(A511,""CLOSEYEST"")"),1148.8)</f>
        <v>1148.8</v>
      </c>
      <c r="H511" s="17" t="str">
        <f t="shared" si="14"/>
        <v/>
      </c>
      <c r="I511" s="18">
        <f t="shared" si="9"/>
        <v>1157.4</v>
      </c>
      <c r="J511" s="19">
        <f t="shared" si="10"/>
        <v>1182.3</v>
      </c>
      <c r="K511" s="19"/>
      <c r="L511" s="19">
        <f t="shared" si="11"/>
        <v>1123.9</v>
      </c>
      <c r="M511" s="19">
        <f t="shared" si="12"/>
        <v>1215.8</v>
      </c>
      <c r="N511" s="19">
        <f t="shared" si="13"/>
        <v>1099</v>
      </c>
    </row>
    <row r="512" ht="24.75" customHeight="1">
      <c r="A512" s="21" t="s">
        <v>475</v>
      </c>
      <c r="B512" s="13" t="str">
        <f>IFERROR(__xludf.DUMMYFUNCTION("GOOGLEFINANCE(A512,""PRICE"")"),"#N/A")</f>
        <v>#N/A</v>
      </c>
      <c r="C512" s="14" t="str">
        <f>IFERROR(__xludf.DUMMYFUNCTION("GOOGLEFINANCE(A512,""PRICEOPEN"")"),"#N/A")</f>
        <v>#N/A</v>
      </c>
      <c r="D512" s="14" t="str">
        <f>IFERROR(__xludf.DUMMYFUNCTION("GOOGLEFINANCE(A512,""HIGH"")"),"#N/A")</f>
        <v>#N/A</v>
      </c>
      <c r="E512" s="14" t="str">
        <f>IFERROR(__xludf.DUMMYFUNCTION("GOOGLEFINANCE(A512,""LOW"")"),"#N/A")</f>
        <v>#N/A</v>
      </c>
      <c r="F512" s="15" t="str">
        <f t="shared" si="8"/>
        <v>#N/A</v>
      </c>
      <c r="G512" s="16" t="str">
        <f>IFERROR(__xludf.DUMMYFUNCTION("GOOGLEFINANCE(A512,""CLOSEYEST"")"),"#N/A")</f>
        <v>#N/A</v>
      </c>
      <c r="H512" s="17" t="str">
        <f t="shared" si="14"/>
        <v>#N/A</v>
      </c>
      <c r="I512" s="18" t="str">
        <f t="shared" si="9"/>
        <v>#N/A</v>
      </c>
      <c r="J512" s="19" t="str">
        <f t="shared" si="10"/>
        <v>#N/A</v>
      </c>
      <c r="K512" s="19"/>
      <c r="L512" s="19" t="str">
        <f t="shared" si="11"/>
        <v>#N/A</v>
      </c>
      <c r="M512" s="19" t="str">
        <f t="shared" si="12"/>
        <v>#N/A</v>
      </c>
      <c r="N512" s="19" t="str">
        <f t="shared" si="13"/>
        <v>#N/A</v>
      </c>
    </row>
    <row r="513" ht="24.75" customHeight="1">
      <c r="A513" s="21" t="s">
        <v>476</v>
      </c>
      <c r="B513" s="13">
        <f>IFERROR(__xludf.DUMMYFUNCTION("GOOGLEFINANCE(A513,""PRICE"")"),1010.5)</f>
        <v>1010.5</v>
      </c>
      <c r="C513" s="14">
        <f>IFERROR(__xludf.DUMMYFUNCTION("GOOGLEFINANCE(A513,""PRICEOPEN"")"),1022.0)</f>
        <v>1022</v>
      </c>
      <c r="D513" s="14">
        <f>IFERROR(__xludf.DUMMYFUNCTION("GOOGLEFINANCE(A513,""HIGH"")"),1027.45)</f>
        <v>1027.45</v>
      </c>
      <c r="E513" s="14">
        <f>IFERROR(__xludf.DUMMYFUNCTION("GOOGLEFINANCE(A513,""LOW"")"),1005.1)</f>
        <v>1005.1</v>
      </c>
      <c r="F513" s="15" t="str">
        <f t="shared" si="8"/>
        <v/>
      </c>
      <c r="G513" s="16">
        <f>IFERROR(__xludf.DUMMYFUNCTION("GOOGLEFINANCE(A513,""CLOSEYEST"")"),1003.7)</f>
        <v>1003.7</v>
      </c>
      <c r="H513" s="17" t="str">
        <f t="shared" si="14"/>
        <v>GAP UP</v>
      </c>
      <c r="I513" s="18">
        <f t="shared" si="9"/>
        <v>1012.083333</v>
      </c>
      <c r="J513" s="19">
        <f t="shared" si="10"/>
        <v>1019.066667</v>
      </c>
      <c r="K513" s="19"/>
      <c r="L513" s="19">
        <f t="shared" si="11"/>
        <v>996.7166667</v>
      </c>
      <c r="M513" s="19">
        <f t="shared" si="12"/>
        <v>1034.433333</v>
      </c>
      <c r="N513" s="19">
        <f t="shared" si="13"/>
        <v>989.7333333</v>
      </c>
    </row>
    <row r="514" ht="24.75" customHeight="1">
      <c r="A514" s="21" t="s">
        <v>477</v>
      </c>
      <c r="B514" s="13">
        <f>IFERROR(__xludf.DUMMYFUNCTION("GOOGLEFINANCE(A514,""PRICE"")"),2886.0)</f>
        <v>2886</v>
      </c>
      <c r="C514" s="14">
        <f>IFERROR(__xludf.DUMMYFUNCTION("GOOGLEFINANCE(A514,""PRICEOPEN"")"),2841.0)</f>
        <v>2841</v>
      </c>
      <c r="D514" s="14">
        <f>IFERROR(__xludf.DUMMYFUNCTION("GOOGLEFINANCE(A514,""HIGH"")"),2890.0)</f>
        <v>2890</v>
      </c>
      <c r="E514" s="14">
        <f>IFERROR(__xludf.DUMMYFUNCTION("GOOGLEFINANCE(A514,""LOW"")"),2829.3)</f>
        <v>2829.3</v>
      </c>
      <c r="F514" s="15" t="str">
        <f t="shared" si="8"/>
        <v/>
      </c>
      <c r="G514" s="16">
        <f>IFERROR(__xludf.DUMMYFUNCTION("GOOGLEFINANCE(A514,""CLOSEYEST"")"),2841.6)</f>
        <v>2841.6</v>
      </c>
      <c r="H514" s="17" t="str">
        <f t="shared" si="14"/>
        <v/>
      </c>
      <c r="I514" s="18">
        <f t="shared" si="9"/>
        <v>2853.633333</v>
      </c>
      <c r="J514" s="19">
        <f t="shared" si="10"/>
        <v>2877.966667</v>
      </c>
      <c r="K514" s="19"/>
      <c r="L514" s="19">
        <f t="shared" si="11"/>
        <v>2817.266667</v>
      </c>
      <c r="M514" s="19">
        <f t="shared" si="12"/>
        <v>2914.333333</v>
      </c>
      <c r="N514" s="19">
        <f t="shared" si="13"/>
        <v>2792.933333</v>
      </c>
    </row>
    <row r="515" ht="24.75" customHeight="1">
      <c r="A515" s="21" t="s">
        <v>478</v>
      </c>
      <c r="B515" s="13" t="str">
        <f>IFERROR(__xludf.DUMMYFUNCTION("GOOGLEFINANCE(A515,""PRICE"")"),"#N/A")</f>
        <v>#N/A</v>
      </c>
      <c r="C515" s="14" t="str">
        <f>IFERROR(__xludf.DUMMYFUNCTION("GOOGLEFINANCE(A515,""PRICEOPEN"")"),"#N/A")</f>
        <v>#N/A</v>
      </c>
      <c r="D515" s="14" t="str">
        <f>IFERROR(__xludf.DUMMYFUNCTION("GOOGLEFINANCE(A515,""HIGH"")"),"#N/A")</f>
        <v>#N/A</v>
      </c>
      <c r="E515" s="14" t="str">
        <f>IFERROR(__xludf.DUMMYFUNCTION("GOOGLEFINANCE(A515,""LOW"")"),"#N/A")</f>
        <v>#N/A</v>
      </c>
      <c r="F515" s="15" t="str">
        <f t="shared" si="8"/>
        <v>#N/A</v>
      </c>
      <c r="G515" s="16" t="str">
        <f>IFERROR(__xludf.DUMMYFUNCTION("GOOGLEFINANCE(A515,""CLOSEYEST"")"),"#N/A")</f>
        <v>#N/A</v>
      </c>
      <c r="H515" s="17" t="str">
        <f t="shared" si="14"/>
        <v>#N/A</v>
      </c>
      <c r="I515" s="18" t="str">
        <f t="shared" si="9"/>
        <v>#N/A</v>
      </c>
      <c r="J515" s="19" t="str">
        <f t="shared" si="10"/>
        <v>#N/A</v>
      </c>
      <c r="K515" s="19"/>
      <c r="L515" s="19" t="str">
        <f t="shared" si="11"/>
        <v>#N/A</v>
      </c>
      <c r="M515" s="19" t="str">
        <f t="shared" si="12"/>
        <v>#N/A</v>
      </c>
      <c r="N515" s="19" t="str">
        <f t="shared" si="13"/>
        <v>#N/A</v>
      </c>
    </row>
    <row r="516" ht="24.75" customHeight="1">
      <c r="A516" s="21" t="s">
        <v>479</v>
      </c>
      <c r="B516" s="13">
        <f>IFERROR(__xludf.DUMMYFUNCTION("GOOGLEFINANCE(A516,""PRICE"")"),16.75)</f>
        <v>16.75</v>
      </c>
      <c r="C516" s="14">
        <f>IFERROR(__xludf.DUMMYFUNCTION("GOOGLEFINANCE(A516,""PRICEOPEN"")"),16.45)</f>
        <v>16.45</v>
      </c>
      <c r="D516" s="14">
        <f>IFERROR(__xludf.DUMMYFUNCTION("GOOGLEFINANCE(A516,""HIGH"")"),16.8)</f>
        <v>16.8</v>
      </c>
      <c r="E516" s="14">
        <f>IFERROR(__xludf.DUMMYFUNCTION("GOOGLEFINANCE(A516,""LOW"")"),16.44)</f>
        <v>16.44</v>
      </c>
      <c r="F516" s="15" t="str">
        <f t="shared" si="8"/>
        <v/>
      </c>
      <c r="G516" s="16">
        <f>IFERROR(__xludf.DUMMYFUNCTION("GOOGLEFINANCE(A516,""CLOSEYEST"")"),16.45)</f>
        <v>16.45</v>
      </c>
      <c r="H516" s="17" t="str">
        <f t="shared" si="14"/>
        <v/>
      </c>
      <c r="I516" s="18">
        <f t="shared" si="9"/>
        <v>16.56333333</v>
      </c>
      <c r="J516" s="19">
        <f t="shared" si="10"/>
        <v>16.68666667</v>
      </c>
      <c r="K516" s="19"/>
      <c r="L516" s="19">
        <f t="shared" si="11"/>
        <v>16.32666667</v>
      </c>
      <c r="M516" s="19">
        <f t="shared" si="12"/>
        <v>16.92333333</v>
      </c>
      <c r="N516" s="19">
        <f t="shared" si="13"/>
        <v>16.20333333</v>
      </c>
    </row>
    <row r="517" ht="24.75" customHeight="1">
      <c r="A517" s="21" t="s">
        <v>480</v>
      </c>
      <c r="B517" s="13">
        <f>IFERROR(__xludf.DUMMYFUNCTION("GOOGLEFINANCE(A517,""PRICE"")"),313.2)</f>
        <v>313.2</v>
      </c>
      <c r="C517" s="14">
        <f>IFERROR(__xludf.DUMMYFUNCTION("GOOGLEFINANCE(A517,""PRICEOPEN"")"),313.1)</f>
        <v>313.1</v>
      </c>
      <c r="D517" s="14">
        <f>IFERROR(__xludf.DUMMYFUNCTION("GOOGLEFINANCE(A517,""HIGH"")"),313.75)</f>
        <v>313.75</v>
      </c>
      <c r="E517" s="14">
        <f>IFERROR(__xludf.DUMMYFUNCTION("GOOGLEFINANCE(A517,""LOW"")"),303.0)</f>
        <v>303</v>
      </c>
      <c r="F517" s="15" t="str">
        <f t="shared" si="8"/>
        <v/>
      </c>
      <c r="G517" s="16">
        <f>IFERROR(__xludf.DUMMYFUNCTION("GOOGLEFINANCE(A517,""CLOSEYEST"")"),309.2)</f>
        <v>309.2</v>
      </c>
      <c r="H517" s="17" t="str">
        <f t="shared" si="14"/>
        <v>GAP UP</v>
      </c>
      <c r="I517" s="18">
        <f t="shared" si="9"/>
        <v>308.65</v>
      </c>
      <c r="J517" s="19">
        <f t="shared" si="10"/>
        <v>314.3</v>
      </c>
      <c r="K517" s="19"/>
      <c r="L517" s="19">
        <f t="shared" si="11"/>
        <v>303.55</v>
      </c>
      <c r="M517" s="19">
        <f t="shared" si="12"/>
        <v>319.4</v>
      </c>
      <c r="N517" s="19">
        <f t="shared" si="13"/>
        <v>297.9</v>
      </c>
    </row>
    <row r="518" ht="24.75" customHeight="1">
      <c r="A518" s="21" t="s">
        <v>481</v>
      </c>
      <c r="B518" s="13">
        <f>IFERROR(__xludf.DUMMYFUNCTION("GOOGLEFINANCE(A518,""PRICE"")"),300.0)</f>
        <v>300</v>
      </c>
      <c r="C518" s="14">
        <f>IFERROR(__xludf.DUMMYFUNCTION("GOOGLEFINANCE(A518,""PRICEOPEN"")"),293.5)</f>
        <v>293.5</v>
      </c>
      <c r="D518" s="14">
        <f>IFERROR(__xludf.DUMMYFUNCTION("GOOGLEFINANCE(A518,""HIGH"")"),300.75)</f>
        <v>300.75</v>
      </c>
      <c r="E518" s="14">
        <f>IFERROR(__xludf.DUMMYFUNCTION("GOOGLEFINANCE(A518,""LOW"")"),283.7)</f>
        <v>283.7</v>
      </c>
      <c r="F518" s="15" t="str">
        <f t="shared" si="8"/>
        <v/>
      </c>
      <c r="G518" s="16">
        <f>IFERROR(__xludf.DUMMYFUNCTION("GOOGLEFINANCE(A518,""CLOSEYEST"")"),297.3)</f>
        <v>297.3</v>
      </c>
      <c r="H518" s="17" t="str">
        <f t="shared" si="14"/>
        <v>GAP DOWN</v>
      </c>
      <c r="I518" s="18">
        <f t="shared" si="9"/>
        <v>293.9166667</v>
      </c>
      <c r="J518" s="19">
        <f t="shared" si="10"/>
        <v>304.1333333</v>
      </c>
      <c r="K518" s="19"/>
      <c r="L518" s="19">
        <f t="shared" si="11"/>
        <v>287.0833333</v>
      </c>
      <c r="M518" s="19">
        <f t="shared" si="12"/>
        <v>310.9666667</v>
      </c>
      <c r="N518" s="19">
        <f t="shared" si="13"/>
        <v>276.8666667</v>
      </c>
    </row>
    <row r="519" ht="24.75" customHeight="1">
      <c r="A519" s="21" t="s">
        <v>482</v>
      </c>
      <c r="B519" s="13">
        <f>IFERROR(__xludf.DUMMYFUNCTION("GOOGLEFINANCE(A519,""PRICE"")"),201.85)</f>
        <v>201.85</v>
      </c>
      <c r="C519" s="14">
        <f>IFERROR(__xludf.DUMMYFUNCTION("GOOGLEFINANCE(A519,""PRICEOPEN"")"),204.0)</f>
        <v>204</v>
      </c>
      <c r="D519" s="14">
        <f>IFERROR(__xludf.DUMMYFUNCTION("GOOGLEFINANCE(A519,""HIGH"")"),204.3)</f>
        <v>204.3</v>
      </c>
      <c r="E519" s="14">
        <f>IFERROR(__xludf.DUMMYFUNCTION("GOOGLEFINANCE(A519,""LOW"")"),199.02)</f>
        <v>199.02</v>
      </c>
      <c r="F519" s="15" t="str">
        <f t="shared" si="8"/>
        <v/>
      </c>
      <c r="G519" s="16">
        <f>IFERROR(__xludf.DUMMYFUNCTION("GOOGLEFINANCE(A519,""CLOSEYEST"")"),203.22)</f>
        <v>203.22</v>
      </c>
      <c r="H519" s="17" t="str">
        <f t="shared" si="14"/>
        <v/>
      </c>
      <c r="I519" s="18">
        <f t="shared" si="9"/>
        <v>202.18</v>
      </c>
      <c r="J519" s="19">
        <f t="shared" si="10"/>
        <v>205.34</v>
      </c>
      <c r="K519" s="19"/>
      <c r="L519" s="19">
        <f t="shared" si="11"/>
        <v>200.06</v>
      </c>
      <c r="M519" s="19">
        <f t="shared" si="12"/>
        <v>207.46</v>
      </c>
      <c r="N519" s="19">
        <f t="shared" si="13"/>
        <v>196.9</v>
      </c>
    </row>
    <row r="520" ht="24.75" customHeight="1">
      <c r="A520" s="21" t="s">
        <v>483</v>
      </c>
      <c r="B520" s="13">
        <f>IFERROR(__xludf.DUMMYFUNCTION("GOOGLEFINANCE(A520,""PRICE"")"),236.4)</f>
        <v>236.4</v>
      </c>
      <c r="C520" s="14">
        <f>IFERROR(__xludf.DUMMYFUNCTION("GOOGLEFINANCE(A520,""PRICEOPEN"")"),236.98)</f>
        <v>236.98</v>
      </c>
      <c r="D520" s="14">
        <f>IFERROR(__xludf.DUMMYFUNCTION("GOOGLEFINANCE(A520,""HIGH"")"),237.8)</f>
        <v>237.8</v>
      </c>
      <c r="E520" s="14">
        <f>IFERROR(__xludf.DUMMYFUNCTION("GOOGLEFINANCE(A520,""LOW"")"),231.4)</f>
        <v>231.4</v>
      </c>
      <c r="F520" s="15" t="str">
        <f t="shared" si="8"/>
        <v/>
      </c>
      <c r="G520" s="16">
        <f>IFERROR(__xludf.DUMMYFUNCTION("GOOGLEFINANCE(A520,""CLOSEYEST"")"),234.12)</f>
        <v>234.12</v>
      </c>
      <c r="H520" s="17" t="str">
        <f t="shared" si="14"/>
        <v>GAP UP</v>
      </c>
      <c r="I520" s="18">
        <f t="shared" si="9"/>
        <v>234.44</v>
      </c>
      <c r="J520" s="19">
        <f t="shared" si="10"/>
        <v>237.48</v>
      </c>
      <c r="K520" s="19"/>
      <c r="L520" s="19">
        <f t="shared" si="11"/>
        <v>231.08</v>
      </c>
      <c r="M520" s="19">
        <f t="shared" si="12"/>
        <v>240.84</v>
      </c>
      <c r="N520" s="19">
        <f t="shared" si="13"/>
        <v>228.04</v>
      </c>
    </row>
    <row r="521" ht="24.75" customHeight="1">
      <c r="A521" s="21" t="s">
        <v>484</v>
      </c>
      <c r="B521" s="13">
        <f>IFERROR(__xludf.DUMMYFUNCTION("GOOGLEFINANCE(A521,""PRICE"")"),36.0)</f>
        <v>36</v>
      </c>
      <c r="C521" s="14">
        <f>IFERROR(__xludf.DUMMYFUNCTION("GOOGLEFINANCE(A521,""PRICEOPEN"")"),35.69)</f>
        <v>35.69</v>
      </c>
      <c r="D521" s="14">
        <f>IFERROR(__xludf.DUMMYFUNCTION("GOOGLEFINANCE(A521,""HIGH"")"),36.5)</f>
        <v>36.5</v>
      </c>
      <c r="E521" s="14">
        <f>IFERROR(__xludf.DUMMYFUNCTION("GOOGLEFINANCE(A521,""LOW"")"),35.52)</f>
        <v>35.52</v>
      </c>
      <c r="F521" s="15" t="str">
        <f t="shared" si="8"/>
        <v/>
      </c>
      <c r="G521" s="16">
        <f>IFERROR(__xludf.DUMMYFUNCTION("GOOGLEFINANCE(A521,""CLOSEYEST"")"),35.69)</f>
        <v>35.69</v>
      </c>
      <c r="H521" s="17" t="str">
        <f t="shared" si="14"/>
        <v/>
      </c>
      <c r="I521" s="18">
        <f t="shared" si="9"/>
        <v>35.90333333</v>
      </c>
      <c r="J521" s="19">
        <f t="shared" si="10"/>
        <v>36.28666667</v>
      </c>
      <c r="K521" s="19"/>
      <c r="L521" s="19">
        <f t="shared" si="11"/>
        <v>35.30666667</v>
      </c>
      <c r="M521" s="19">
        <f t="shared" si="12"/>
        <v>36.88333333</v>
      </c>
      <c r="N521" s="19">
        <f t="shared" si="13"/>
        <v>34.92333333</v>
      </c>
    </row>
    <row r="522" ht="24.75" customHeight="1">
      <c r="A522" s="21" t="s">
        <v>485</v>
      </c>
      <c r="B522" s="13">
        <f>IFERROR(__xludf.DUMMYFUNCTION("GOOGLEFINANCE(A522,""PRICE"")"),1729.1)</f>
        <v>1729.1</v>
      </c>
      <c r="C522" s="14">
        <f>IFERROR(__xludf.DUMMYFUNCTION("GOOGLEFINANCE(A522,""PRICEOPEN"")"),1748.9)</f>
        <v>1748.9</v>
      </c>
      <c r="D522" s="14">
        <f>IFERROR(__xludf.DUMMYFUNCTION("GOOGLEFINANCE(A522,""HIGH"")"),1748.9)</f>
        <v>1748.9</v>
      </c>
      <c r="E522" s="14">
        <f>IFERROR(__xludf.DUMMYFUNCTION("GOOGLEFINANCE(A522,""LOW"")"),1727.8)</f>
        <v>1727.8</v>
      </c>
      <c r="F522" s="15" t="str">
        <f t="shared" si="8"/>
        <v>SELL</v>
      </c>
      <c r="G522" s="16">
        <f>IFERROR(__xludf.DUMMYFUNCTION("GOOGLEFINANCE(A522,""CLOSEYEST"")"),1740.7)</f>
        <v>1740.7</v>
      </c>
      <c r="H522" s="17" t="str">
        <f t="shared" si="14"/>
        <v/>
      </c>
      <c r="I522" s="18">
        <f t="shared" si="9"/>
        <v>1739.133333</v>
      </c>
      <c r="J522" s="19">
        <f t="shared" si="10"/>
        <v>1750.466667</v>
      </c>
      <c r="K522" s="19"/>
      <c r="L522" s="19">
        <f t="shared" si="11"/>
        <v>1729.366667</v>
      </c>
      <c r="M522" s="19">
        <f t="shared" si="12"/>
        <v>1760.233333</v>
      </c>
      <c r="N522" s="19">
        <f t="shared" si="13"/>
        <v>1718.033333</v>
      </c>
    </row>
    <row r="523" ht="24.75" customHeight="1">
      <c r="A523" s="21" t="s">
        <v>486</v>
      </c>
      <c r="B523" s="13">
        <f>IFERROR(__xludf.DUMMYFUNCTION("GOOGLEFINANCE(A523,""PRICE"")"),592.5)</f>
        <v>592.5</v>
      </c>
      <c r="C523" s="14">
        <f>IFERROR(__xludf.DUMMYFUNCTION("GOOGLEFINANCE(A523,""PRICEOPEN"")"),585.1)</f>
        <v>585.1</v>
      </c>
      <c r="D523" s="14">
        <f>IFERROR(__xludf.DUMMYFUNCTION("GOOGLEFINANCE(A523,""HIGH"")"),593.0)</f>
        <v>593</v>
      </c>
      <c r="E523" s="14">
        <f>IFERROR(__xludf.DUMMYFUNCTION("GOOGLEFINANCE(A523,""LOW"")"),583.65)</f>
        <v>583.65</v>
      </c>
      <c r="F523" s="15" t="str">
        <f t="shared" si="8"/>
        <v/>
      </c>
      <c r="G523" s="16">
        <f>IFERROR(__xludf.DUMMYFUNCTION("GOOGLEFINANCE(A523,""CLOSEYEST"")"),582.35)</f>
        <v>582.35</v>
      </c>
      <c r="H523" s="17" t="str">
        <f t="shared" si="14"/>
        <v/>
      </c>
      <c r="I523" s="18">
        <f t="shared" si="9"/>
        <v>586.3333333</v>
      </c>
      <c r="J523" s="19">
        <f t="shared" si="10"/>
        <v>589.0166667</v>
      </c>
      <c r="K523" s="19"/>
      <c r="L523" s="19">
        <f t="shared" si="11"/>
        <v>579.6666667</v>
      </c>
      <c r="M523" s="19">
        <f t="shared" si="12"/>
        <v>595.6833333</v>
      </c>
      <c r="N523" s="19">
        <f t="shared" si="13"/>
        <v>576.9833333</v>
      </c>
    </row>
    <row r="524" ht="24.75" customHeight="1">
      <c r="A524" s="21" t="s">
        <v>487</v>
      </c>
      <c r="B524" s="13">
        <f>IFERROR(__xludf.DUMMYFUNCTION("GOOGLEFINANCE(A524,""PRICE"")"),10065.0)</f>
        <v>10065</v>
      </c>
      <c r="C524" s="14">
        <f>IFERROR(__xludf.DUMMYFUNCTION("GOOGLEFINANCE(A524,""PRICEOPEN"")"),10145.0)</f>
        <v>10145</v>
      </c>
      <c r="D524" s="14">
        <f>IFERROR(__xludf.DUMMYFUNCTION("GOOGLEFINANCE(A524,""HIGH"")"),10225.0)</f>
        <v>10225</v>
      </c>
      <c r="E524" s="14">
        <f>IFERROR(__xludf.DUMMYFUNCTION("GOOGLEFINANCE(A524,""LOW"")"),9976.0)</f>
        <v>9976</v>
      </c>
      <c r="F524" s="15" t="str">
        <f t="shared" si="8"/>
        <v/>
      </c>
      <c r="G524" s="16">
        <f>IFERROR(__xludf.DUMMYFUNCTION("GOOGLEFINANCE(A524,""CLOSEYEST"")"),9995.0)</f>
        <v>9995</v>
      </c>
      <c r="H524" s="17" t="str">
        <f t="shared" si="14"/>
        <v>GAP UP</v>
      </c>
      <c r="I524" s="18">
        <f t="shared" si="9"/>
        <v>10065.33333</v>
      </c>
      <c r="J524" s="19">
        <f t="shared" si="10"/>
        <v>10154.66667</v>
      </c>
      <c r="K524" s="19"/>
      <c r="L524" s="19">
        <f t="shared" si="11"/>
        <v>9905.666667</v>
      </c>
      <c r="M524" s="19">
        <f t="shared" si="12"/>
        <v>10314.33333</v>
      </c>
      <c r="N524" s="19">
        <f t="shared" si="13"/>
        <v>9816.333333</v>
      </c>
    </row>
    <row r="525" ht="24.75" customHeight="1">
      <c r="A525" s="21" t="s">
        <v>488</v>
      </c>
      <c r="B525" s="13">
        <f>IFERROR(__xludf.DUMMYFUNCTION("GOOGLEFINANCE(A525,""PRICE"")"),271.5)</f>
        <v>271.5</v>
      </c>
      <c r="C525" s="14">
        <f>IFERROR(__xludf.DUMMYFUNCTION("GOOGLEFINANCE(A525,""PRICEOPEN"")"),272.0)</f>
        <v>272</v>
      </c>
      <c r="D525" s="14">
        <f>IFERROR(__xludf.DUMMYFUNCTION("GOOGLEFINANCE(A525,""HIGH"")"),274.6)</f>
        <v>274.6</v>
      </c>
      <c r="E525" s="14">
        <f>IFERROR(__xludf.DUMMYFUNCTION("GOOGLEFINANCE(A525,""LOW"")"),267.65)</f>
        <v>267.65</v>
      </c>
      <c r="F525" s="15" t="str">
        <f t="shared" si="8"/>
        <v/>
      </c>
      <c r="G525" s="16">
        <f>IFERROR(__xludf.DUMMYFUNCTION("GOOGLEFINANCE(A525,""CLOSEYEST"")"),269.65)</f>
        <v>269.65</v>
      </c>
      <c r="H525" s="17" t="str">
        <f t="shared" si="14"/>
        <v/>
      </c>
      <c r="I525" s="18">
        <f t="shared" si="9"/>
        <v>270.6333333</v>
      </c>
      <c r="J525" s="19">
        <f t="shared" si="10"/>
        <v>273.6166667</v>
      </c>
      <c r="K525" s="19"/>
      <c r="L525" s="19">
        <f t="shared" si="11"/>
        <v>266.6666667</v>
      </c>
      <c r="M525" s="19">
        <f t="shared" si="12"/>
        <v>277.5833333</v>
      </c>
      <c r="N525" s="19">
        <f t="shared" si="13"/>
        <v>263.6833333</v>
      </c>
    </row>
    <row r="526" ht="24.75" customHeight="1">
      <c r="A526" s="21" t="s">
        <v>489</v>
      </c>
      <c r="B526" s="13">
        <f>IFERROR(__xludf.DUMMYFUNCTION("GOOGLEFINANCE(A526,""PRICE"")"),314.0)</f>
        <v>314</v>
      </c>
      <c r="C526" s="14">
        <f>IFERROR(__xludf.DUMMYFUNCTION("GOOGLEFINANCE(A526,""PRICEOPEN"")"),318.05)</f>
        <v>318.05</v>
      </c>
      <c r="D526" s="14">
        <f>IFERROR(__xludf.DUMMYFUNCTION("GOOGLEFINANCE(A526,""HIGH"")"),323.7)</f>
        <v>323.7</v>
      </c>
      <c r="E526" s="14">
        <f>IFERROR(__xludf.DUMMYFUNCTION("GOOGLEFINANCE(A526,""LOW"")"),312.0)</f>
        <v>312</v>
      </c>
      <c r="F526" s="15" t="str">
        <f t="shared" si="8"/>
        <v/>
      </c>
      <c r="G526" s="16">
        <f>IFERROR(__xludf.DUMMYFUNCTION("GOOGLEFINANCE(A526,""CLOSEYEST"")"),318.1)</f>
        <v>318.1</v>
      </c>
      <c r="H526" s="17" t="str">
        <f t="shared" si="14"/>
        <v/>
      </c>
      <c r="I526" s="18">
        <f t="shared" si="9"/>
        <v>317.9333333</v>
      </c>
      <c r="J526" s="19">
        <f t="shared" si="10"/>
        <v>323.8666667</v>
      </c>
      <c r="K526" s="19"/>
      <c r="L526" s="19">
        <f t="shared" si="11"/>
        <v>312.1666667</v>
      </c>
      <c r="M526" s="19">
        <f t="shared" si="12"/>
        <v>329.6333333</v>
      </c>
      <c r="N526" s="19">
        <f t="shared" si="13"/>
        <v>306.2333333</v>
      </c>
    </row>
    <row r="527" ht="24.75" customHeight="1">
      <c r="A527" s="21" t="s">
        <v>490</v>
      </c>
      <c r="B527" s="13">
        <f>IFERROR(__xludf.DUMMYFUNCTION("GOOGLEFINANCE(A527,""PRICE"")"),4979.0)</f>
        <v>4979</v>
      </c>
      <c r="C527" s="14">
        <f>IFERROR(__xludf.DUMMYFUNCTION("GOOGLEFINANCE(A527,""PRICEOPEN"")"),4964.0)</f>
        <v>4964</v>
      </c>
      <c r="D527" s="14">
        <f>IFERROR(__xludf.DUMMYFUNCTION("GOOGLEFINANCE(A527,""HIGH"")"),4987.5)</f>
        <v>4987.5</v>
      </c>
      <c r="E527" s="14">
        <f>IFERROR(__xludf.DUMMYFUNCTION("GOOGLEFINANCE(A527,""LOW"")"),4926.0)</f>
        <v>4926</v>
      </c>
      <c r="F527" s="15" t="str">
        <f t="shared" si="8"/>
        <v/>
      </c>
      <c r="G527" s="16">
        <f>IFERROR(__xludf.DUMMYFUNCTION("GOOGLEFINANCE(A527,""CLOSEYEST"")"),4946.1)</f>
        <v>4946.1</v>
      </c>
      <c r="H527" s="17" t="str">
        <f t="shared" si="14"/>
        <v/>
      </c>
      <c r="I527" s="18">
        <f t="shared" si="9"/>
        <v>4953.2</v>
      </c>
      <c r="J527" s="19">
        <f t="shared" si="10"/>
        <v>4980.4</v>
      </c>
      <c r="K527" s="19"/>
      <c r="L527" s="19">
        <f t="shared" si="11"/>
        <v>4918.9</v>
      </c>
      <c r="M527" s="19">
        <f t="shared" si="12"/>
        <v>5014.7</v>
      </c>
      <c r="N527" s="19">
        <f t="shared" si="13"/>
        <v>4891.7</v>
      </c>
    </row>
    <row r="528" ht="24.75" customHeight="1">
      <c r="A528" s="21" t="s">
        <v>491</v>
      </c>
      <c r="B528" s="13" t="str">
        <f>IFERROR(__xludf.DUMMYFUNCTION("GOOGLEFINANCE(A528,""PRICE"")"),"#N/A")</f>
        <v>#N/A</v>
      </c>
      <c r="C528" s="14" t="str">
        <f>IFERROR(__xludf.DUMMYFUNCTION("GOOGLEFINANCE(A528,""PRICEOPEN"")"),"#N/A")</f>
        <v>#N/A</v>
      </c>
      <c r="D528" s="14" t="str">
        <f>IFERROR(__xludf.DUMMYFUNCTION("GOOGLEFINANCE(A528,""HIGH"")"),"#N/A")</f>
        <v>#N/A</v>
      </c>
      <c r="E528" s="14" t="str">
        <f>IFERROR(__xludf.DUMMYFUNCTION("GOOGLEFINANCE(A528,""LOW"")"),"#N/A")</f>
        <v>#N/A</v>
      </c>
      <c r="F528" s="15" t="str">
        <f t="shared" si="8"/>
        <v>#N/A</v>
      </c>
      <c r="G528" s="16" t="str">
        <f>IFERROR(__xludf.DUMMYFUNCTION("GOOGLEFINANCE(A528,""CLOSEYEST"")"),"#N/A")</f>
        <v>#N/A</v>
      </c>
      <c r="H528" s="17" t="str">
        <f t="shared" si="14"/>
        <v>#N/A</v>
      </c>
      <c r="I528" s="18" t="str">
        <f t="shared" si="9"/>
        <v>#N/A</v>
      </c>
      <c r="J528" s="19" t="str">
        <f t="shared" si="10"/>
        <v>#N/A</v>
      </c>
      <c r="K528" s="19"/>
      <c r="L528" s="19" t="str">
        <f t="shared" si="11"/>
        <v>#N/A</v>
      </c>
      <c r="M528" s="19" t="str">
        <f t="shared" si="12"/>
        <v>#N/A</v>
      </c>
      <c r="N528" s="19" t="str">
        <f t="shared" si="13"/>
        <v>#N/A</v>
      </c>
    </row>
    <row r="529" ht="24.75" customHeight="1">
      <c r="A529" s="21" t="s">
        <v>492</v>
      </c>
      <c r="B529" s="13">
        <f>IFERROR(__xludf.DUMMYFUNCTION("GOOGLEFINANCE(A529,""PRICE"")"),217.35)</f>
        <v>217.35</v>
      </c>
      <c r="C529" s="14">
        <f>IFERROR(__xludf.DUMMYFUNCTION("GOOGLEFINANCE(A529,""PRICEOPEN"")"),215.4)</f>
        <v>215.4</v>
      </c>
      <c r="D529" s="14">
        <f>IFERROR(__xludf.DUMMYFUNCTION("GOOGLEFINANCE(A529,""HIGH"")"),217.69)</f>
        <v>217.69</v>
      </c>
      <c r="E529" s="14">
        <f>IFERROR(__xludf.DUMMYFUNCTION("GOOGLEFINANCE(A529,""LOW"")"),213.3)</f>
        <v>213.3</v>
      </c>
      <c r="F529" s="15" t="str">
        <f t="shared" si="8"/>
        <v/>
      </c>
      <c r="G529" s="16">
        <f>IFERROR(__xludf.DUMMYFUNCTION("GOOGLEFINANCE(A529,""CLOSEYEST"")"),215.07)</f>
        <v>215.07</v>
      </c>
      <c r="H529" s="17" t="str">
        <f t="shared" si="14"/>
        <v/>
      </c>
      <c r="I529" s="18">
        <f t="shared" si="9"/>
        <v>215.3533333</v>
      </c>
      <c r="J529" s="19">
        <f t="shared" si="10"/>
        <v>217.4066667</v>
      </c>
      <c r="K529" s="19"/>
      <c r="L529" s="19">
        <f t="shared" si="11"/>
        <v>213.0166667</v>
      </c>
      <c r="M529" s="19">
        <f t="shared" si="12"/>
        <v>219.7433333</v>
      </c>
      <c r="N529" s="19">
        <f t="shared" si="13"/>
        <v>210.9633333</v>
      </c>
    </row>
    <row r="530" ht="24.75" customHeight="1">
      <c r="A530" s="21" t="s">
        <v>493</v>
      </c>
      <c r="B530" s="13">
        <f>IFERROR(__xludf.DUMMYFUNCTION("GOOGLEFINANCE(A530,""PRICE"")"),199.1)</f>
        <v>199.1</v>
      </c>
      <c r="C530" s="14">
        <f>IFERROR(__xludf.DUMMYFUNCTION("GOOGLEFINANCE(A530,""PRICEOPEN"")"),196.6)</f>
        <v>196.6</v>
      </c>
      <c r="D530" s="14">
        <f>IFERROR(__xludf.DUMMYFUNCTION("GOOGLEFINANCE(A530,""HIGH"")"),199.99)</f>
        <v>199.99</v>
      </c>
      <c r="E530" s="14">
        <f>IFERROR(__xludf.DUMMYFUNCTION("GOOGLEFINANCE(A530,""LOW"")"),196.6)</f>
        <v>196.6</v>
      </c>
      <c r="F530" s="15" t="str">
        <f t="shared" si="8"/>
        <v>BUY</v>
      </c>
      <c r="G530" s="16">
        <f>IFERROR(__xludf.DUMMYFUNCTION("GOOGLEFINANCE(A530,""CLOSEYEST"")"),196.53)</f>
        <v>196.53</v>
      </c>
      <c r="H530" s="17" t="str">
        <f t="shared" si="14"/>
        <v/>
      </c>
      <c r="I530" s="18">
        <f t="shared" si="9"/>
        <v>197.7066667</v>
      </c>
      <c r="J530" s="19">
        <f t="shared" si="10"/>
        <v>198.8133333</v>
      </c>
      <c r="K530" s="19"/>
      <c r="L530" s="19">
        <f t="shared" si="11"/>
        <v>195.4233333</v>
      </c>
      <c r="M530" s="19">
        <f t="shared" si="12"/>
        <v>201.0966667</v>
      </c>
      <c r="N530" s="19">
        <f t="shared" si="13"/>
        <v>194.3166667</v>
      </c>
    </row>
    <row r="531" ht="24.75" customHeight="1">
      <c r="A531" s="21" t="s">
        <v>494</v>
      </c>
      <c r="B531" s="13">
        <f>IFERROR(__xludf.DUMMYFUNCTION("GOOGLEFINANCE(A531,""PRICE"")"),46.41)</f>
        <v>46.41</v>
      </c>
      <c r="C531" s="14">
        <f>IFERROR(__xludf.DUMMYFUNCTION("GOOGLEFINANCE(A531,""PRICEOPEN"")"),45.88)</f>
        <v>45.88</v>
      </c>
      <c r="D531" s="14">
        <f>IFERROR(__xludf.DUMMYFUNCTION("GOOGLEFINANCE(A531,""HIGH"")"),47.4)</f>
        <v>47.4</v>
      </c>
      <c r="E531" s="14">
        <f>IFERROR(__xludf.DUMMYFUNCTION("GOOGLEFINANCE(A531,""LOW"")"),45.22)</f>
        <v>45.22</v>
      </c>
      <c r="F531" s="15" t="str">
        <f t="shared" si="8"/>
        <v/>
      </c>
      <c r="G531" s="16">
        <f>IFERROR(__xludf.DUMMYFUNCTION("GOOGLEFINANCE(A531,""CLOSEYEST"")"),45.7)</f>
        <v>45.7</v>
      </c>
      <c r="H531" s="17" t="str">
        <f t="shared" si="14"/>
        <v/>
      </c>
      <c r="I531" s="18">
        <f t="shared" si="9"/>
        <v>46.10666667</v>
      </c>
      <c r="J531" s="19">
        <f t="shared" si="10"/>
        <v>46.99333333</v>
      </c>
      <c r="K531" s="19"/>
      <c r="L531" s="19">
        <f t="shared" si="11"/>
        <v>44.81333333</v>
      </c>
      <c r="M531" s="19">
        <f t="shared" si="12"/>
        <v>48.28666667</v>
      </c>
      <c r="N531" s="19">
        <f t="shared" si="13"/>
        <v>43.92666667</v>
      </c>
    </row>
    <row r="532" ht="24.75" customHeight="1">
      <c r="A532" s="21" t="s">
        <v>495</v>
      </c>
      <c r="B532" s="13">
        <f>IFERROR(__xludf.DUMMYFUNCTION("GOOGLEFINANCE(A532,""PRICE"")"),354.0)</f>
        <v>354</v>
      </c>
      <c r="C532" s="14">
        <f>IFERROR(__xludf.DUMMYFUNCTION("GOOGLEFINANCE(A532,""PRICEOPEN"")"),348.0)</f>
        <v>348</v>
      </c>
      <c r="D532" s="14">
        <f>IFERROR(__xludf.DUMMYFUNCTION("GOOGLEFINANCE(A532,""HIGH"")"),354.0)</f>
        <v>354</v>
      </c>
      <c r="E532" s="14">
        <f>IFERROR(__xludf.DUMMYFUNCTION("GOOGLEFINANCE(A532,""LOW"")"),345.0)</f>
        <v>345</v>
      </c>
      <c r="F532" s="15" t="str">
        <f t="shared" si="8"/>
        <v/>
      </c>
      <c r="G532" s="16">
        <f>IFERROR(__xludf.DUMMYFUNCTION("GOOGLEFINANCE(A532,""CLOSEYEST"")"),348.2)</f>
        <v>348.2</v>
      </c>
      <c r="H532" s="17" t="str">
        <f t="shared" si="14"/>
        <v/>
      </c>
      <c r="I532" s="18">
        <f t="shared" si="9"/>
        <v>349.0666667</v>
      </c>
      <c r="J532" s="19">
        <f t="shared" si="10"/>
        <v>353.1333333</v>
      </c>
      <c r="K532" s="19"/>
      <c r="L532" s="19">
        <f t="shared" si="11"/>
        <v>344.1333333</v>
      </c>
      <c r="M532" s="19">
        <f t="shared" si="12"/>
        <v>358.0666667</v>
      </c>
      <c r="N532" s="19">
        <f t="shared" si="13"/>
        <v>340.0666667</v>
      </c>
    </row>
    <row r="533" ht="24.75" customHeight="1">
      <c r="A533" s="21" t="s">
        <v>496</v>
      </c>
      <c r="B533" s="13">
        <f>IFERROR(__xludf.DUMMYFUNCTION("GOOGLEFINANCE(A533,""PRICE"")"),461.0)</f>
        <v>461</v>
      </c>
      <c r="C533" s="14">
        <f>IFERROR(__xludf.DUMMYFUNCTION("GOOGLEFINANCE(A533,""PRICEOPEN"")"),460.0)</f>
        <v>460</v>
      </c>
      <c r="D533" s="14">
        <f>IFERROR(__xludf.DUMMYFUNCTION("GOOGLEFINANCE(A533,""HIGH"")"),463.35)</f>
        <v>463.35</v>
      </c>
      <c r="E533" s="14">
        <f>IFERROR(__xludf.DUMMYFUNCTION("GOOGLEFINANCE(A533,""LOW"")"),453.7)</f>
        <v>453.7</v>
      </c>
      <c r="F533" s="15" t="str">
        <f t="shared" si="8"/>
        <v/>
      </c>
      <c r="G533" s="16">
        <f>IFERROR(__xludf.DUMMYFUNCTION("GOOGLEFINANCE(A533,""CLOSEYEST"")"),457.3)</f>
        <v>457.3</v>
      </c>
      <c r="H533" s="17" t="str">
        <f t="shared" si="14"/>
        <v/>
      </c>
      <c r="I533" s="18">
        <f t="shared" si="9"/>
        <v>458.1166667</v>
      </c>
      <c r="J533" s="19">
        <f t="shared" si="10"/>
        <v>462.5333333</v>
      </c>
      <c r="K533" s="19"/>
      <c r="L533" s="19">
        <f t="shared" si="11"/>
        <v>452.8833333</v>
      </c>
      <c r="M533" s="19">
        <f t="shared" si="12"/>
        <v>467.7666667</v>
      </c>
      <c r="N533" s="19">
        <f t="shared" si="13"/>
        <v>448.4666667</v>
      </c>
    </row>
    <row r="534" ht="24.75" customHeight="1">
      <c r="A534" s="21" t="s">
        <v>497</v>
      </c>
      <c r="B534" s="13">
        <f>IFERROR(__xludf.DUMMYFUNCTION("GOOGLEFINANCE(A534,""PRICE"")"),560.1)</f>
        <v>560.1</v>
      </c>
      <c r="C534" s="14">
        <f>IFERROR(__xludf.DUMMYFUNCTION("GOOGLEFINANCE(A534,""PRICEOPEN"")"),552.7)</f>
        <v>552.7</v>
      </c>
      <c r="D534" s="14">
        <f>IFERROR(__xludf.DUMMYFUNCTION("GOOGLEFINANCE(A534,""HIGH"")"),563.7)</f>
        <v>563.7</v>
      </c>
      <c r="E534" s="14">
        <f>IFERROR(__xludf.DUMMYFUNCTION("GOOGLEFINANCE(A534,""LOW"")"),552.7)</f>
        <v>552.7</v>
      </c>
      <c r="F534" s="15" t="str">
        <f t="shared" si="8"/>
        <v>BUY</v>
      </c>
      <c r="G534" s="16">
        <f>IFERROR(__xludf.DUMMYFUNCTION("GOOGLEFINANCE(A534,""CLOSEYEST"")"),552.7)</f>
        <v>552.7</v>
      </c>
      <c r="H534" s="17" t="str">
        <f t="shared" si="14"/>
        <v/>
      </c>
      <c r="I534" s="18">
        <f t="shared" si="9"/>
        <v>556.3666667</v>
      </c>
      <c r="J534" s="19">
        <f t="shared" si="10"/>
        <v>560.0333333</v>
      </c>
      <c r="K534" s="19"/>
      <c r="L534" s="19">
        <f t="shared" si="11"/>
        <v>549.0333333</v>
      </c>
      <c r="M534" s="19">
        <f t="shared" si="12"/>
        <v>567.3666667</v>
      </c>
      <c r="N534" s="19">
        <f t="shared" si="13"/>
        <v>545.3666667</v>
      </c>
    </row>
    <row r="535" ht="24.75" customHeight="1">
      <c r="A535" s="21" t="s">
        <v>498</v>
      </c>
      <c r="B535" s="13">
        <f>IFERROR(__xludf.DUMMYFUNCTION("GOOGLEFINANCE(A535,""PRICE"")"),386.4)</f>
        <v>386.4</v>
      </c>
      <c r="C535" s="14">
        <f>IFERROR(__xludf.DUMMYFUNCTION("GOOGLEFINANCE(A535,""PRICEOPEN"")"),400.0)</f>
        <v>400</v>
      </c>
      <c r="D535" s="14">
        <f>IFERROR(__xludf.DUMMYFUNCTION("GOOGLEFINANCE(A535,""HIGH"")"),407.7)</f>
        <v>407.7</v>
      </c>
      <c r="E535" s="14">
        <f>IFERROR(__xludf.DUMMYFUNCTION("GOOGLEFINANCE(A535,""LOW"")"),379.8)</f>
        <v>379.8</v>
      </c>
      <c r="F535" s="15" t="str">
        <f t="shared" si="8"/>
        <v/>
      </c>
      <c r="G535" s="16">
        <f>IFERROR(__xludf.DUMMYFUNCTION("GOOGLEFINANCE(A535,""CLOSEYEST"")"),389.4)</f>
        <v>389.4</v>
      </c>
      <c r="H535" s="17" t="str">
        <f t="shared" si="14"/>
        <v>GAP UP</v>
      </c>
      <c r="I535" s="18">
        <f t="shared" si="9"/>
        <v>392.3</v>
      </c>
      <c r="J535" s="19">
        <f t="shared" si="10"/>
        <v>404.8</v>
      </c>
      <c r="K535" s="19"/>
      <c r="L535" s="19">
        <f t="shared" si="11"/>
        <v>376.9</v>
      </c>
      <c r="M535" s="19">
        <f t="shared" si="12"/>
        <v>420.2</v>
      </c>
      <c r="N535" s="19">
        <f t="shared" si="13"/>
        <v>364.4</v>
      </c>
    </row>
    <row r="536" ht="24.75" customHeight="1">
      <c r="A536" s="21" t="s">
        <v>499</v>
      </c>
      <c r="B536" s="13">
        <f>IFERROR(__xludf.DUMMYFUNCTION("GOOGLEFINANCE(A536,""PRICE"")"),6798.5)</f>
        <v>6798.5</v>
      </c>
      <c r="C536" s="14">
        <f>IFERROR(__xludf.DUMMYFUNCTION("GOOGLEFINANCE(A536,""PRICEOPEN"")"),6747.0)</f>
        <v>6747</v>
      </c>
      <c r="D536" s="14">
        <f>IFERROR(__xludf.DUMMYFUNCTION("GOOGLEFINANCE(A536,""HIGH"")"),6800.0)</f>
        <v>6800</v>
      </c>
      <c r="E536" s="14">
        <f>IFERROR(__xludf.DUMMYFUNCTION("GOOGLEFINANCE(A536,""LOW"")"),6669.5)</f>
        <v>6669.5</v>
      </c>
      <c r="F536" s="15" t="str">
        <f t="shared" si="8"/>
        <v/>
      </c>
      <c r="G536" s="16">
        <f>IFERROR(__xludf.DUMMYFUNCTION("GOOGLEFINANCE(A536,""CLOSEYEST"")"),6716.5)</f>
        <v>6716.5</v>
      </c>
      <c r="H536" s="17" t="str">
        <f t="shared" si="14"/>
        <v/>
      </c>
      <c r="I536" s="18">
        <f t="shared" si="9"/>
        <v>6728.666667</v>
      </c>
      <c r="J536" s="19">
        <f t="shared" si="10"/>
        <v>6787.833333</v>
      </c>
      <c r="K536" s="19"/>
      <c r="L536" s="19">
        <f t="shared" si="11"/>
        <v>6657.333333</v>
      </c>
      <c r="M536" s="19">
        <f t="shared" si="12"/>
        <v>6859.166667</v>
      </c>
      <c r="N536" s="19">
        <f t="shared" si="13"/>
        <v>6598.166667</v>
      </c>
    </row>
    <row r="537" ht="24.75" customHeight="1">
      <c r="A537" s="21" t="s">
        <v>500</v>
      </c>
      <c r="B537" s="13">
        <f>IFERROR(__xludf.DUMMYFUNCTION("GOOGLEFINANCE(A537,""PRICE"")"),490.0)</f>
        <v>490</v>
      </c>
      <c r="C537" s="14">
        <f>IFERROR(__xludf.DUMMYFUNCTION("GOOGLEFINANCE(A537,""PRICEOPEN"")"),488.0)</f>
        <v>488</v>
      </c>
      <c r="D537" s="14">
        <f>IFERROR(__xludf.DUMMYFUNCTION("GOOGLEFINANCE(A537,""HIGH"")"),493.7)</f>
        <v>493.7</v>
      </c>
      <c r="E537" s="14">
        <f>IFERROR(__xludf.DUMMYFUNCTION("GOOGLEFINANCE(A537,""LOW"")"),485.25)</f>
        <v>485.25</v>
      </c>
      <c r="F537" s="15" t="str">
        <f t="shared" si="8"/>
        <v/>
      </c>
      <c r="G537" s="16">
        <f>IFERROR(__xludf.DUMMYFUNCTION("GOOGLEFINANCE(A537,""CLOSEYEST"")"),488.05)</f>
        <v>488.05</v>
      </c>
      <c r="H537" s="17" t="str">
        <f t="shared" si="14"/>
        <v/>
      </c>
      <c r="I537" s="18">
        <f t="shared" si="9"/>
        <v>489</v>
      </c>
      <c r="J537" s="19">
        <f t="shared" si="10"/>
        <v>492.75</v>
      </c>
      <c r="K537" s="19"/>
      <c r="L537" s="19">
        <f t="shared" si="11"/>
        <v>484.3</v>
      </c>
      <c r="M537" s="19">
        <f t="shared" si="12"/>
        <v>497.45</v>
      </c>
      <c r="N537" s="19">
        <f t="shared" si="13"/>
        <v>480.55</v>
      </c>
    </row>
    <row r="538" ht="24.75" customHeight="1">
      <c r="A538" s="21" t="s">
        <v>501</v>
      </c>
      <c r="B538" s="13">
        <f>IFERROR(__xludf.DUMMYFUNCTION("GOOGLEFINANCE(A538,""PRICE"")"),263.0)</f>
        <v>263</v>
      </c>
      <c r="C538" s="14">
        <f>IFERROR(__xludf.DUMMYFUNCTION("GOOGLEFINANCE(A538,""PRICEOPEN"")"),261.0)</f>
        <v>261</v>
      </c>
      <c r="D538" s="14">
        <f>IFERROR(__xludf.DUMMYFUNCTION("GOOGLEFINANCE(A538,""HIGH"")"),264.0)</f>
        <v>264</v>
      </c>
      <c r="E538" s="14">
        <f>IFERROR(__xludf.DUMMYFUNCTION("GOOGLEFINANCE(A538,""LOW"")"),259.25)</f>
        <v>259.25</v>
      </c>
      <c r="F538" s="15" t="str">
        <f t="shared" si="8"/>
        <v/>
      </c>
      <c r="G538" s="16">
        <f>IFERROR(__xludf.DUMMYFUNCTION("GOOGLEFINANCE(A538,""CLOSEYEST"")"),260.5)</f>
        <v>260.5</v>
      </c>
      <c r="H538" s="17" t="str">
        <f t="shared" si="14"/>
        <v/>
      </c>
      <c r="I538" s="18">
        <f t="shared" si="9"/>
        <v>261.25</v>
      </c>
      <c r="J538" s="19">
        <f t="shared" si="10"/>
        <v>263.25</v>
      </c>
      <c r="K538" s="19"/>
      <c r="L538" s="19">
        <f t="shared" si="11"/>
        <v>258.5</v>
      </c>
      <c r="M538" s="19">
        <f t="shared" si="12"/>
        <v>266</v>
      </c>
      <c r="N538" s="19">
        <f t="shared" si="13"/>
        <v>256.5</v>
      </c>
    </row>
    <row r="539" ht="24.75" customHeight="1">
      <c r="A539" s="21" t="s">
        <v>502</v>
      </c>
      <c r="B539" s="13">
        <f>IFERROR(__xludf.DUMMYFUNCTION("GOOGLEFINANCE(A539,""PRICE"")"),898.15)</f>
        <v>898.15</v>
      </c>
      <c r="C539" s="14">
        <f>IFERROR(__xludf.DUMMYFUNCTION("GOOGLEFINANCE(A539,""PRICEOPEN"")"),894.9)</f>
        <v>894.9</v>
      </c>
      <c r="D539" s="14">
        <f>IFERROR(__xludf.DUMMYFUNCTION("GOOGLEFINANCE(A539,""HIGH"")"),925.0)</f>
        <v>925</v>
      </c>
      <c r="E539" s="14">
        <f>IFERROR(__xludf.DUMMYFUNCTION("GOOGLEFINANCE(A539,""LOW"")"),890.0)</f>
        <v>890</v>
      </c>
      <c r="F539" s="15" t="str">
        <f t="shared" si="8"/>
        <v/>
      </c>
      <c r="G539" s="16">
        <f>IFERROR(__xludf.DUMMYFUNCTION("GOOGLEFINANCE(A539,""CLOSEYEST"")"),894.25)</f>
        <v>894.25</v>
      </c>
      <c r="H539" s="17" t="str">
        <f t="shared" si="14"/>
        <v/>
      </c>
      <c r="I539" s="18">
        <f t="shared" si="9"/>
        <v>903.0833333</v>
      </c>
      <c r="J539" s="19">
        <f t="shared" si="10"/>
        <v>916.1666667</v>
      </c>
      <c r="K539" s="19"/>
      <c r="L539" s="19">
        <f t="shared" si="11"/>
        <v>881.1666667</v>
      </c>
      <c r="M539" s="19">
        <f t="shared" si="12"/>
        <v>938.0833333</v>
      </c>
      <c r="N539" s="19">
        <f t="shared" si="13"/>
        <v>868.0833333</v>
      </c>
    </row>
    <row r="540" ht="24.75" customHeight="1">
      <c r="A540" s="21" t="s">
        <v>503</v>
      </c>
      <c r="B540" s="13">
        <f>IFERROR(__xludf.DUMMYFUNCTION("GOOGLEFINANCE(A540,""PRICE"")"),967.8)</f>
        <v>967.8</v>
      </c>
      <c r="C540" s="14">
        <f>IFERROR(__xludf.DUMMYFUNCTION("GOOGLEFINANCE(A540,""PRICEOPEN"")"),961.0)</f>
        <v>961</v>
      </c>
      <c r="D540" s="14">
        <f>IFERROR(__xludf.DUMMYFUNCTION("GOOGLEFINANCE(A540,""HIGH"")"),989.45)</f>
        <v>989.45</v>
      </c>
      <c r="E540" s="14">
        <f>IFERROR(__xludf.DUMMYFUNCTION("GOOGLEFINANCE(A540,""LOW"")"),948.35)</f>
        <v>948.35</v>
      </c>
      <c r="F540" s="15" t="str">
        <f t="shared" si="8"/>
        <v/>
      </c>
      <c r="G540" s="16">
        <f>IFERROR(__xludf.DUMMYFUNCTION("GOOGLEFINANCE(A540,""CLOSEYEST"")"),957.8)</f>
        <v>957.8</v>
      </c>
      <c r="H540" s="17" t="str">
        <f t="shared" si="14"/>
        <v/>
      </c>
      <c r="I540" s="18">
        <f t="shared" si="9"/>
        <v>965.2</v>
      </c>
      <c r="J540" s="19">
        <f t="shared" si="10"/>
        <v>982.05</v>
      </c>
      <c r="K540" s="19"/>
      <c r="L540" s="19">
        <f t="shared" si="11"/>
        <v>940.95</v>
      </c>
      <c r="M540" s="19">
        <f t="shared" si="12"/>
        <v>1006.3</v>
      </c>
      <c r="N540" s="19">
        <f t="shared" si="13"/>
        <v>924.1</v>
      </c>
    </row>
    <row r="541" ht="24.75" customHeight="1">
      <c r="A541" s="21" t="s">
        <v>504</v>
      </c>
      <c r="B541" s="13">
        <f>IFERROR(__xludf.DUMMYFUNCTION("GOOGLEFINANCE(A541,""PRICE"")"),189.99)</f>
        <v>189.99</v>
      </c>
      <c r="C541" s="14">
        <f>IFERROR(__xludf.DUMMYFUNCTION("GOOGLEFINANCE(A541,""PRICEOPEN"")"),185.95)</f>
        <v>185.95</v>
      </c>
      <c r="D541" s="14">
        <f>IFERROR(__xludf.DUMMYFUNCTION("GOOGLEFINANCE(A541,""HIGH"")"),190.51)</f>
        <v>190.51</v>
      </c>
      <c r="E541" s="14">
        <f>IFERROR(__xludf.DUMMYFUNCTION("GOOGLEFINANCE(A541,""LOW"")"),184.93)</f>
        <v>184.93</v>
      </c>
      <c r="F541" s="15" t="str">
        <f t="shared" si="8"/>
        <v/>
      </c>
      <c r="G541" s="16">
        <f>IFERROR(__xludf.DUMMYFUNCTION("GOOGLEFINANCE(A541,""CLOSEYEST"")"),185.09)</f>
        <v>185.09</v>
      </c>
      <c r="H541" s="17" t="str">
        <f t="shared" si="14"/>
        <v/>
      </c>
      <c r="I541" s="18">
        <f t="shared" si="9"/>
        <v>186.8433333</v>
      </c>
      <c r="J541" s="19">
        <f t="shared" si="10"/>
        <v>188.7566667</v>
      </c>
      <c r="K541" s="19"/>
      <c r="L541" s="19">
        <f t="shared" si="11"/>
        <v>183.1766667</v>
      </c>
      <c r="M541" s="19">
        <f t="shared" si="12"/>
        <v>192.4233333</v>
      </c>
      <c r="N541" s="19">
        <f t="shared" si="13"/>
        <v>181.2633333</v>
      </c>
    </row>
    <row r="542" ht="24.75" customHeight="1">
      <c r="A542" s="21" t="s">
        <v>505</v>
      </c>
      <c r="B542" s="13">
        <f>IFERROR(__xludf.DUMMYFUNCTION("GOOGLEFINANCE(A542,""PRICE"")"),160.0)</f>
        <v>160</v>
      </c>
      <c r="C542" s="14">
        <f>IFERROR(__xludf.DUMMYFUNCTION("GOOGLEFINANCE(A542,""PRICEOPEN"")"),159.0)</f>
        <v>159</v>
      </c>
      <c r="D542" s="14">
        <f>IFERROR(__xludf.DUMMYFUNCTION("GOOGLEFINANCE(A542,""HIGH"")"),162.68)</f>
        <v>162.68</v>
      </c>
      <c r="E542" s="14">
        <f>IFERROR(__xludf.DUMMYFUNCTION("GOOGLEFINANCE(A542,""LOW"")"),158.99)</f>
        <v>158.99</v>
      </c>
      <c r="F542" s="15" t="str">
        <f t="shared" si="8"/>
        <v/>
      </c>
      <c r="G542" s="16">
        <f>IFERROR(__xludf.DUMMYFUNCTION("GOOGLEFINANCE(A542,""CLOSEYEST"")"),158.62)</f>
        <v>158.62</v>
      </c>
      <c r="H542" s="17" t="str">
        <f t="shared" si="14"/>
        <v/>
      </c>
      <c r="I542" s="18">
        <f t="shared" si="9"/>
        <v>160.0966667</v>
      </c>
      <c r="J542" s="19">
        <f t="shared" si="10"/>
        <v>161.2033333</v>
      </c>
      <c r="K542" s="19"/>
      <c r="L542" s="19">
        <f t="shared" si="11"/>
        <v>157.5133333</v>
      </c>
      <c r="M542" s="19">
        <f t="shared" si="12"/>
        <v>163.7866667</v>
      </c>
      <c r="N542" s="19">
        <f t="shared" si="13"/>
        <v>156.4066667</v>
      </c>
    </row>
    <row r="543" ht="24.75" customHeight="1">
      <c r="A543" s="21" t="s">
        <v>506</v>
      </c>
      <c r="B543" s="13">
        <f>IFERROR(__xludf.DUMMYFUNCTION("GOOGLEFINANCE(A543,""PRICE"")"),864.0)</f>
        <v>864</v>
      </c>
      <c r="C543" s="14">
        <f>IFERROR(__xludf.DUMMYFUNCTION("GOOGLEFINANCE(A543,""PRICEOPEN"")"),852.7)</f>
        <v>852.7</v>
      </c>
      <c r="D543" s="14">
        <f>IFERROR(__xludf.DUMMYFUNCTION("GOOGLEFINANCE(A543,""HIGH"")"),871.55)</f>
        <v>871.55</v>
      </c>
      <c r="E543" s="14">
        <f>IFERROR(__xludf.DUMMYFUNCTION("GOOGLEFINANCE(A543,""LOW"")"),852.7)</f>
        <v>852.7</v>
      </c>
      <c r="F543" s="15" t="str">
        <f t="shared" si="8"/>
        <v>BUY</v>
      </c>
      <c r="G543" s="16">
        <f>IFERROR(__xludf.DUMMYFUNCTION("GOOGLEFINANCE(A543,""CLOSEYEST"")"),855.35)</f>
        <v>855.35</v>
      </c>
      <c r="H543" s="17" t="str">
        <f t="shared" si="14"/>
        <v/>
      </c>
      <c r="I543" s="18">
        <f t="shared" si="9"/>
        <v>859.8666667</v>
      </c>
      <c r="J543" s="19">
        <f t="shared" si="10"/>
        <v>867.0333333</v>
      </c>
      <c r="K543" s="19"/>
      <c r="L543" s="19">
        <f t="shared" si="11"/>
        <v>848.1833333</v>
      </c>
      <c r="M543" s="19">
        <f t="shared" si="12"/>
        <v>878.7166667</v>
      </c>
      <c r="N543" s="19">
        <f t="shared" si="13"/>
        <v>841.0166667</v>
      </c>
    </row>
    <row r="544" ht="24.75" customHeight="1">
      <c r="A544" s="21" t="s">
        <v>507</v>
      </c>
      <c r="B544" s="13">
        <f>IFERROR(__xludf.DUMMYFUNCTION("GOOGLEFINANCE(A544,""PRICE"")"),3501.0)</f>
        <v>3501</v>
      </c>
      <c r="C544" s="14">
        <f>IFERROR(__xludf.DUMMYFUNCTION("GOOGLEFINANCE(A544,""PRICEOPEN"")"),3479.1)</f>
        <v>3479.1</v>
      </c>
      <c r="D544" s="14">
        <f>IFERROR(__xludf.DUMMYFUNCTION("GOOGLEFINANCE(A544,""HIGH"")"),3519.7)</f>
        <v>3519.7</v>
      </c>
      <c r="E544" s="14">
        <f>IFERROR(__xludf.DUMMYFUNCTION("GOOGLEFINANCE(A544,""LOW"")"),3467.3)</f>
        <v>3467.3</v>
      </c>
      <c r="F544" s="15" t="str">
        <f t="shared" si="8"/>
        <v/>
      </c>
      <c r="G544" s="16">
        <f>IFERROR(__xludf.DUMMYFUNCTION("GOOGLEFINANCE(A544,""CLOSEYEST"")"),3488.4)</f>
        <v>3488.4</v>
      </c>
      <c r="H544" s="17" t="str">
        <f t="shared" si="14"/>
        <v/>
      </c>
      <c r="I544" s="18">
        <f t="shared" si="9"/>
        <v>3491.8</v>
      </c>
      <c r="J544" s="19">
        <f t="shared" si="10"/>
        <v>3516.3</v>
      </c>
      <c r="K544" s="19"/>
      <c r="L544" s="19">
        <f t="shared" si="11"/>
        <v>3463.9</v>
      </c>
      <c r="M544" s="19">
        <f t="shared" si="12"/>
        <v>3544.2</v>
      </c>
      <c r="N544" s="19">
        <f t="shared" si="13"/>
        <v>3439.4</v>
      </c>
    </row>
    <row r="545" ht="24.75" customHeight="1">
      <c r="A545" s="21" t="s">
        <v>508</v>
      </c>
      <c r="B545" s="13" t="str">
        <f>IFERROR(__xludf.DUMMYFUNCTION("GOOGLEFINANCE(A545,""PRICE"")"),"#N/A")</f>
        <v>#N/A</v>
      </c>
      <c r="C545" s="14" t="str">
        <f>IFERROR(__xludf.DUMMYFUNCTION("GOOGLEFINANCE(A545,""PRICEOPEN"")"),"#N/A")</f>
        <v>#N/A</v>
      </c>
      <c r="D545" s="14" t="str">
        <f>IFERROR(__xludf.DUMMYFUNCTION("GOOGLEFINANCE(A545,""HIGH"")"),"#N/A")</f>
        <v>#N/A</v>
      </c>
      <c r="E545" s="14" t="str">
        <f>IFERROR(__xludf.DUMMYFUNCTION("GOOGLEFINANCE(A545,""LOW"")"),"#N/A")</f>
        <v>#N/A</v>
      </c>
      <c r="F545" s="15" t="str">
        <f t="shared" si="8"/>
        <v>#N/A</v>
      </c>
      <c r="G545" s="16" t="str">
        <f>IFERROR(__xludf.DUMMYFUNCTION("GOOGLEFINANCE(A545,""CLOSEYEST"")"),"#N/A")</f>
        <v>#N/A</v>
      </c>
      <c r="H545" s="17" t="str">
        <f t="shared" si="14"/>
        <v>#N/A</v>
      </c>
      <c r="I545" s="18" t="str">
        <f t="shared" si="9"/>
        <v>#N/A</v>
      </c>
      <c r="J545" s="19" t="str">
        <f t="shared" si="10"/>
        <v>#N/A</v>
      </c>
      <c r="K545" s="19"/>
      <c r="L545" s="19" t="str">
        <f t="shared" si="11"/>
        <v>#N/A</v>
      </c>
      <c r="M545" s="19" t="str">
        <f t="shared" si="12"/>
        <v>#N/A</v>
      </c>
      <c r="N545" s="19" t="str">
        <f t="shared" si="13"/>
        <v>#N/A</v>
      </c>
    </row>
    <row r="546" ht="24.75" customHeight="1">
      <c r="A546" s="21" t="s">
        <v>509</v>
      </c>
      <c r="B546" s="13">
        <f>IFERROR(__xludf.DUMMYFUNCTION("GOOGLEFINANCE(A546,""PRICE"")"),1747.0)</f>
        <v>1747</v>
      </c>
      <c r="C546" s="14">
        <f>IFERROR(__xludf.DUMMYFUNCTION("GOOGLEFINANCE(A546,""PRICEOPEN"")"),1697.0)</f>
        <v>1697</v>
      </c>
      <c r="D546" s="14">
        <f>IFERROR(__xludf.DUMMYFUNCTION("GOOGLEFINANCE(A546,""HIGH"")"),1747.0)</f>
        <v>1747</v>
      </c>
      <c r="E546" s="14">
        <f>IFERROR(__xludf.DUMMYFUNCTION("GOOGLEFINANCE(A546,""LOW"")"),1689.1)</f>
        <v>1689.1</v>
      </c>
      <c r="F546" s="15" t="str">
        <f t="shared" si="8"/>
        <v/>
      </c>
      <c r="G546" s="16">
        <f>IFERROR(__xludf.DUMMYFUNCTION("GOOGLEFINANCE(A546,""CLOSEYEST"")"),1700.5)</f>
        <v>1700.5</v>
      </c>
      <c r="H546" s="17" t="str">
        <f t="shared" si="14"/>
        <v/>
      </c>
      <c r="I546" s="18">
        <f t="shared" si="9"/>
        <v>1712.2</v>
      </c>
      <c r="J546" s="19">
        <f t="shared" si="10"/>
        <v>1735.3</v>
      </c>
      <c r="K546" s="19"/>
      <c r="L546" s="19">
        <f t="shared" si="11"/>
        <v>1677.4</v>
      </c>
      <c r="M546" s="19">
        <f t="shared" si="12"/>
        <v>1770.1</v>
      </c>
      <c r="N546" s="19">
        <f t="shared" si="13"/>
        <v>1654.3</v>
      </c>
    </row>
    <row r="547" ht="24.75" customHeight="1">
      <c r="A547" s="21" t="s">
        <v>510</v>
      </c>
      <c r="B547" s="13">
        <f>IFERROR(__xludf.DUMMYFUNCTION("GOOGLEFINANCE(A547,""PRICE"")"),1455.0)</f>
        <v>1455</v>
      </c>
      <c r="C547" s="14">
        <f>IFERROR(__xludf.DUMMYFUNCTION("GOOGLEFINANCE(A547,""PRICEOPEN"")"),1506.2)</f>
        <v>1506.2</v>
      </c>
      <c r="D547" s="14">
        <f>IFERROR(__xludf.DUMMYFUNCTION("GOOGLEFINANCE(A547,""HIGH"")"),1508.6)</f>
        <v>1508.6</v>
      </c>
      <c r="E547" s="14">
        <f>IFERROR(__xludf.DUMMYFUNCTION("GOOGLEFINANCE(A547,""LOW"")"),1450.5)</f>
        <v>1450.5</v>
      </c>
      <c r="F547" s="15" t="str">
        <f t="shared" si="8"/>
        <v/>
      </c>
      <c r="G547" s="16">
        <f>IFERROR(__xludf.DUMMYFUNCTION("GOOGLEFINANCE(A547,""CLOSEYEST"")"),1492.8)</f>
        <v>1492.8</v>
      </c>
      <c r="H547" s="17" t="str">
        <f t="shared" si="14"/>
        <v/>
      </c>
      <c r="I547" s="18">
        <f t="shared" si="9"/>
        <v>1483.966667</v>
      </c>
      <c r="J547" s="19">
        <f t="shared" si="10"/>
        <v>1517.433333</v>
      </c>
      <c r="K547" s="19"/>
      <c r="L547" s="19">
        <f t="shared" si="11"/>
        <v>1459.333333</v>
      </c>
      <c r="M547" s="19">
        <f t="shared" si="12"/>
        <v>1542.066667</v>
      </c>
      <c r="N547" s="19">
        <f t="shared" si="13"/>
        <v>1425.866667</v>
      </c>
    </row>
    <row r="548" ht="24.75" customHeight="1">
      <c r="A548" s="21" t="s">
        <v>511</v>
      </c>
      <c r="B548" s="13">
        <f>IFERROR(__xludf.DUMMYFUNCTION("GOOGLEFINANCE(A548,""PRICE"")"),1500.0)</f>
        <v>1500</v>
      </c>
      <c r="C548" s="14">
        <f>IFERROR(__xludf.DUMMYFUNCTION("GOOGLEFINANCE(A548,""PRICEOPEN"")"),1520.0)</f>
        <v>1520</v>
      </c>
      <c r="D548" s="14">
        <f>IFERROR(__xludf.DUMMYFUNCTION("GOOGLEFINANCE(A548,""HIGH"")"),1522.2)</f>
        <v>1522.2</v>
      </c>
      <c r="E548" s="14">
        <f>IFERROR(__xludf.DUMMYFUNCTION("GOOGLEFINANCE(A548,""LOW"")"),1499.3)</f>
        <v>1499.3</v>
      </c>
      <c r="F548" s="15" t="str">
        <f t="shared" si="8"/>
        <v/>
      </c>
      <c r="G548" s="16">
        <f>IFERROR(__xludf.DUMMYFUNCTION("GOOGLEFINANCE(A548,""CLOSEYEST"")"),1511.6)</f>
        <v>1511.6</v>
      </c>
      <c r="H548" s="17" t="str">
        <f t="shared" si="14"/>
        <v/>
      </c>
      <c r="I548" s="18">
        <f t="shared" si="9"/>
        <v>1511.033333</v>
      </c>
      <c r="J548" s="19">
        <f t="shared" si="10"/>
        <v>1522.766667</v>
      </c>
      <c r="K548" s="19"/>
      <c r="L548" s="19">
        <f t="shared" si="11"/>
        <v>1499.866667</v>
      </c>
      <c r="M548" s="19">
        <f t="shared" si="12"/>
        <v>1533.933333</v>
      </c>
      <c r="N548" s="19">
        <f t="shared" si="13"/>
        <v>1488.133333</v>
      </c>
    </row>
    <row r="549" ht="24.75" customHeight="1">
      <c r="A549" s="21" t="s">
        <v>512</v>
      </c>
      <c r="B549" s="13">
        <f>IFERROR(__xludf.DUMMYFUNCTION("GOOGLEFINANCE(A549,""PRICE"")"),15830.0)</f>
        <v>15830</v>
      </c>
      <c r="C549" s="14">
        <f>IFERROR(__xludf.DUMMYFUNCTION("GOOGLEFINANCE(A549,""PRICEOPEN"")"),15494.0)</f>
        <v>15494</v>
      </c>
      <c r="D549" s="14">
        <f>IFERROR(__xludf.DUMMYFUNCTION("GOOGLEFINANCE(A549,""HIGH"")"),16180.0)</f>
        <v>16180</v>
      </c>
      <c r="E549" s="14">
        <f>IFERROR(__xludf.DUMMYFUNCTION("GOOGLEFINANCE(A549,""LOW"")"),15494.0)</f>
        <v>15494</v>
      </c>
      <c r="F549" s="15" t="str">
        <f t="shared" si="8"/>
        <v>BUY</v>
      </c>
      <c r="G549" s="16">
        <f>IFERROR(__xludf.DUMMYFUNCTION("GOOGLEFINANCE(A549,""CLOSEYEST"")"),15494.0)</f>
        <v>15494</v>
      </c>
      <c r="H549" s="17" t="str">
        <f t="shared" si="14"/>
        <v/>
      </c>
      <c r="I549" s="18">
        <f t="shared" si="9"/>
        <v>15722.66667</v>
      </c>
      <c r="J549" s="19">
        <f t="shared" si="10"/>
        <v>15951.33333</v>
      </c>
      <c r="K549" s="19"/>
      <c r="L549" s="19">
        <f t="shared" si="11"/>
        <v>15265.33333</v>
      </c>
      <c r="M549" s="19">
        <f t="shared" si="12"/>
        <v>16408.66667</v>
      </c>
      <c r="N549" s="19">
        <f t="shared" si="13"/>
        <v>15036.66667</v>
      </c>
    </row>
    <row r="550" ht="24.75" customHeight="1">
      <c r="A550" s="21" t="s">
        <v>513</v>
      </c>
      <c r="B550" s="13">
        <f>IFERROR(__xludf.DUMMYFUNCTION("GOOGLEFINANCE(A550,""PRICE"")"),148.0)</f>
        <v>148</v>
      </c>
      <c r="C550" s="14">
        <f>IFERROR(__xludf.DUMMYFUNCTION("GOOGLEFINANCE(A550,""PRICEOPEN"")"),146.0)</f>
        <v>146</v>
      </c>
      <c r="D550" s="14">
        <f>IFERROR(__xludf.DUMMYFUNCTION("GOOGLEFINANCE(A550,""HIGH"")"),149.2)</f>
        <v>149.2</v>
      </c>
      <c r="E550" s="14">
        <f>IFERROR(__xludf.DUMMYFUNCTION("GOOGLEFINANCE(A550,""LOW"")"),146.0)</f>
        <v>146</v>
      </c>
      <c r="F550" s="15" t="str">
        <f t="shared" si="8"/>
        <v>BUY</v>
      </c>
      <c r="G550" s="16">
        <f>IFERROR(__xludf.DUMMYFUNCTION("GOOGLEFINANCE(A550,""CLOSEYEST"")"),147.4)</f>
        <v>147.4</v>
      </c>
      <c r="H550" s="17" t="str">
        <f t="shared" si="14"/>
        <v/>
      </c>
      <c r="I550" s="18">
        <f t="shared" si="9"/>
        <v>147.5333333</v>
      </c>
      <c r="J550" s="19">
        <f t="shared" si="10"/>
        <v>149.0666667</v>
      </c>
      <c r="K550" s="19"/>
      <c r="L550" s="19">
        <f t="shared" si="11"/>
        <v>145.8666667</v>
      </c>
      <c r="M550" s="19">
        <f t="shared" si="12"/>
        <v>150.7333333</v>
      </c>
      <c r="N550" s="19">
        <f t="shared" si="13"/>
        <v>144.3333333</v>
      </c>
    </row>
    <row r="551" ht="24.75" customHeight="1">
      <c r="A551" s="21" t="s">
        <v>514</v>
      </c>
      <c r="B551" s="13">
        <f>IFERROR(__xludf.DUMMYFUNCTION("GOOGLEFINANCE(A551,""PRICE"")"),1055.5)</f>
        <v>1055.5</v>
      </c>
      <c r="C551" s="14">
        <f>IFERROR(__xludf.DUMMYFUNCTION("GOOGLEFINANCE(A551,""PRICEOPEN"")"),1003.4)</f>
        <v>1003.4</v>
      </c>
      <c r="D551" s="14">
        <f>IFERROR(__xludf.DUMMYFUNCTION("GOOGLEFINANCE(A551,""HIGH"")"),1069.95)</f>
        <v>1069.95</v>
      </c>
      <c r="E551" s="14">
        <f>IFERROR(__xludf.DUMMYFUNCTION("GOOGLEFINANCE(A551,""LOW"")"),1000.3)</f>
        <v>1000.3</v>
      </c>
      <c r="F551" s="15" t="str">
        <f t="shared" si="8"/>
        <v/>
      </c>
      <c r="G551" s="16">
        <f>IFERROR(__xludf.DUMMYFUNCTION("GOOGLEFINANCE(A551,""CLOSEYEST"")"),994.6)</f>
        <v>994.6</v>
      </c>
      <c r="H551" s="17" t="str">
        <f t="shared" si="14"/>
        <v/>
      </c>
      <c r="I551" s="18">
        <f t="shared" si="9"/>
        <v>1021.616667</v>
      </c>
      <c r="J551" s="19">
        <f t="shared" si="10"/>
        <v>1042.933333</v>
      </c>
      <c r="K551" s="19"/>
      <c r="L551" s="19">
        <f t="shared" si="11"/>
        <v>973.2833333</v>
      </c>
      <c r="M551" s="19">
        <f t="shared" si="12"/>
        <v>1091.266667</v>
      </c>
      <c r="N551" s="19">
        <f t="shared" si="13"/>
        <v>951.9666667</v>
      </c>
    </row>
    <row r="552" ht="24.75" customHeight="1">
      <c r="A552" s="21" t="s">
        <v>515</v>
      </c>
      <c r="B552" s="13">
        <f>IFERROR(__xludf.DUMMYFUNCTION("GOOGLEFINANCE(A552,""PRICE"")"),16800.0)</f>
        <v>16800</v>
      </c>
      <c r="C552" s="14">
        <f>IFERROR(__xludf.DUMMYFUNCTION("GOOGLEFINANCE(A552,""PRICEOPEN"")"),16900.0)</f>
        <v>16900</v>
      </c>
      <c r="D552" s="14">
        <f>IFERROR(__xludf.DUMMYFUNCTION("GOOGLEFINANCE(A552,""HIGH"")"),17109.0)</f>
        <v>17109</v>
      </c>
      <c r="E552" s="14">
        <f>IFERROR(__xludf.DUMMYFUNCTION("GOOGLEFINANCE(A552,""LOW"")"),16530.0)</f>
        <v>16530</v>
      </c>
      <c r="F552" s="15" t="str">
        <f t="shared" si="8"/>
        <v/>
      </c>
      <c r="G552" s="16">
        <f>IFERROR(__xludf.DUMMYFUNCTION("GOOGLEFINANCE(A552,""CLOSEYEST"")"),16899.0)</f>
        <v>16899</v>
      </c>
      <c r="H552" s="17" t="str">
        <f t="shared" si="14"/>
        <v/>
      </c>
      <c r="I552" s="18">
        <f t="shared" si="9"/>
        <v>16846</v>
      </c>
      <c r="J552" s="19">
        <f t="shared" si="10"/>
        <v>17162</v>
      </c>
      <c r="K552" s="19"/>
      <c r="L552" s="19">
        <f t="shared" si="11"/>
        <v>16583</v>
      </c>
      <c r="M552" s="19">
        <f t="shared" si="12"/>
        <v>17425</v>
      </c>
      <c r="N552" s="19">
        <f t="shared" si="13"/>
        <v>16267</v>
      </c>
    </row>
    <row r="553" ht="24.75" customHeight="1">
      <c r="A553" s="21" t="s">
        <v>516</v>
      </c>
      <c r="B553" s="13">
        <f>IFERROR(__xludf.DUMMYFUNCTION("GOOGLEFINANCE(A553,""PRICE"")"),588.65)</f>
        <v>588.65</v>
      </c>
      <c r="C553" s="14">
        <f>IFERROR(__xludf.DUMMYFUNCTION("GOOGLEFINANCE(A553,""PRICEOPEN"")"),582.0)</f>
        <v>582</v>
      </c>
      <c r="D553" s="14">
        <f>IFERROR(__xludf.DUMMYFUNCTION("GOOGLEFINANCE(A553,""HIGH"")"),594.0)</f>
        <v>594</v>
      </c>
      <c r="E553" s="14">
        <f>IFERROR(__xludf.DUMMYFUNCTION("GOOGLEFINANCE(A553,""LOW"")"),577.25)</f>
        <v>577.25</v>
      </c>
      <c r="F553" s="15" t="str">
        <f t="shared" si="8"/>
        <v/>
      </c>
      <c r="G553" s="16">
        <f>IFERROR(__xludf.DUMMYFUNCTION("GOOGLEFINANCE(A553,""CLOSEYEST"")"),579.8)</f>
        <v>579.8</v>
      </c>
      <c r="H553" s="17" t="str">
        <f t="shared" si="14"/>
        <v/>
      </c>
      <c r="I553" s="18">
        <f t="shared" si="9"/>
        <v>583.6833333</v>
      </c>
      <c r="J553" s="19">
        <f t="shared" si="10"/>
        <v>590.1166667</v>
      </c>
      <c r="K553" s="19"/>
      <c r="L553" s="19">
        <f t="shared" si="11"/>
        <v>573.3666667</v>
      </c>
      <c r="M553" s="19">
        <f t="shared" si="12"/>
        <v>600.4333333</v>
      </c>
      <c r="N553" s="19">
        <f t="shared" si="13"/>
        <v>566.9333333</v>
      </c>
    </row>
    <row r="554" ht="24.75" customHeight="1">
      <c r="A554" s="21" t="s">
        <v>517</v>
      </c>
      <c r="B554" s="13">
        <f>IFERROR(__xludf.DUMMYFUNCTION("GOOGLEFINANCE(A554,""PRICE"")"),572.0)</f>
        <v>572</v>
      </c>
      <c r="C554" s="14">
        <f>IFERROR(__xludf.DUMMYFUNCTION("GOOGLEFINANCE(A554,""PRICEOPEN"")"),559.55)</f>
        <v>559.55</v>
      </c>
      <c r="D554" s="14">
        <f>IFERROR(__xludf.DUMMYFUNCTION("GOOGLEFINANCE(A554,""HIGH"")"),573.2)</f>
        <v>573.2</v>
      </c>
      <c r="E554" s="14">
        <f>IFERROR(__xludf.DUMMYFUNCTION("GOOGLEFINANCE(A554,""LOW"")"),556.75)</f>
        <v>556.75</v>
      </c>
      <c r="F554" s="15" t="str">
        <f t="shared" si="8"/>
        <v/>
      </c>
      <c r="G554" s="16">
        <f>IFERROR(__xludf.DUMMYFUNCTION("GOOGLEFINANCE(A554,""CLOSEYEST"")"),557.1)</f>
        <v>557.1</v>
      </c>
      <c r="H554" s="17" t="str">
        <f t="shared" si="14"/>
        <v/>
      </c>
      <c r="I554" s="18">
        <f t="shared" si="9"/>
        <v>562.35</v>
      </c>
      <c r="J554" s="19">
        <f t="shared" si="10"/>
        <v>567.95</v>
      </c>
      <c r="K554" s="19"/>
      <c r="L554" s="19">
        <f t="shared" si="11"/>
        <v>551.5</v>
      </c>
      <c r="M554" s="19">
        <f t="shared" si="12"/>
        <v>578.8</v>
      </c>
      <c r="N554" s="19">
        <f t="shared" si="13"/>
        <v>545.9</v>
      </c>
    </row>
    <row r="555" ht="24.75" customHeight="1">
      <c r="A555" s="21" t="s">
        <v>518</v>
      </c>
      <c r="B555" s="13">
        <f>IFERROR(__xludf.DUMMYFUNCTION("GOOGLEFINANCE(A555,""PRICE"")"),252.0)</f>
        <v>252</v>
      </c>
      <c r="C555" s="14">
        <f>IFERROR(__xludf.DUMMYFUNCTION("GOOGLEFINANCE(A555,""PRICEOPEN"")"),251.02)</f>
        <v>251.02</v>
      </c>
      <c r="D555" s="14">
        <f>IFERROR(__xludf.DUMMYFUNCTION("GOOGLEFINANCE(A555,""HIGH"")"),259.25)</f>
        <v>259.25</v>
      </c>
      <c r="E555" s="14">
        <f>IFERROR(__xludf.DUMMYFUNCTION("GOOGLEFINANCE(A555,""LOW"")"),248.63)</f>
        <v>248.63</v>
      </c>
      <c r="F555" s="15" t="str">
        <f t="shared" si="8"/>
        <v/>
      </c>
      <c r="G555" s="16">
        <f>IFERROR(__xludf.DUMMYFUNCTION("GOOGLEFINANCE(A555,""CLOSEYEST"")"),251.02)</f>
        <v>251.02</v>
      </c>
      <c r="H555" s="17" t="str">
        <f t="shared" si="14"/>
        <v/>
      </c>
      <c r="I555" s="18">
        <f t="shared" si="9"/>
        <v>252.9666667</v>
      </c>
      <c r="J555" s="19">
        <f t="shared" si="10"/>
        <v>257.3033333</v>
      </c>
      <c r="K555" s="19"/>
      <c r="L555" s="19">
        <f t="shared" si="11"/>
        <v>246.6833333</v>
      </c>
      <c r="M555" s="19">
        <f t="shared" si="12"/>
        <v>263.5866667</v>
      </c>
      <c r="N555" s="19">
        <f t="shared" si="13"/>
        <v>242.3466667</v>
      </c>
    </row>
    <row r="556" ht="24.75" customHeight="1">
      <c r="A556" s="21" t="s">
        <v>519</v>
      </c>
      <c r="B556" s="13">
        <f>IFERROR(__xludf.DUMMYFUNCTION("GOOGLEFINANCE(A556,""PRICE"")"),249.85)</f>
        <v>249.85</v>
      </c>
      <c r="C556" s="14">
        <f>IFERROR(__xludf.DUMMYFUNCTION("GOOGLEFINANCE(A556,""PRICEOPEN"")"),239.95)</f>
        <v>239.95</v>
      </c>
      <c r="D556" s="14">
        <f>IFERROR(__xludf.DUMMYFUNCTION("GOOGLEFINANCE(A556,""HIGH"")"),249.85)</f>
        <v>249.85</v>
      </c>
      <c r="E556" s="14">
        <f>IFERROR(__xludf.DUMMYFUNCTION("GOOGLEFINANCE(A556,""LOW"")"),239.95)</f>
        <v>239.95</v>
      </c>
      <c r="F556" s="15" t="str">
        <f t="shared" si="8"/>
        <v>BUY</v>
      </c>
      <c r="G556" s="16">
        <f>IFERROR(__xludf.DUMMYFUNCTION("GOOGLEFINANCE(A556,""CLOSEYEST"")"),242.36)</f>
        <v>242.36</v>
      </c>
      <c r="H556" s="17" t="str">
        <f t="shared" si="14"/>
        <v/>
      </c>
      <c r="I556" s="18">
        <f t="shared" si="9"/>
        <v>244.0533333</v>
      </c>
      <c r="J556" s="19">
        <f t="shared" si="10"/>
        <v>248.1566667</v>
      </c>
      <c r="K556" s="19"/>
      <c r="L556" s="19">
        <f t="shared" si="11"/>
        <v>238.2566667</v>
      </c>
      <c r="M556" s="19">
        <f t="shared" si="12"/>
        <v>253.9533333</v>
      </c>
      <c r="N556" s="19">
        <f t="shared" si="13"/>
        <v>234.1533333</v>
      </c>
    </row>
    <row r="557" ht="24.75" customHeight="1">
      <c r="A557" s="21" t="s">
        <v>520</v>
      </c>
      <c r="B557" s="13">
        <f>IFERROR(__xludf.DUMMYFUNCTION("GOOGLEFINANCE(A557,""PRICE"")"),150.45)</f>
        <v>150.45</v>
      </c>
      <c r="C557" s="14">
        <f>IFERROR(__xludf.DUMMYFUNCTION("GOOGLEFINANCE(A557,""PRICEOPEN"")"),148.31)</f>
        <v>148.31</v>
      </c>
      <c r="D557" s="14">
        <f>IFERROR(__xludf.DUMMYFUNCTION("GOOGLEFINANCE(A557,""HIGH"")"),150.86)</f>
        <v>150.86</v>
      </c>
      <c r="E557" s="14">
        <f>IFERROR(__xludf.DUMMYFUNCTION("GOOGLEFINANCE(A557,""LOW"")"),147.97)</f>
        <v>147.97</v>
      </c>
      <c r="F557" s="15" t="str">
        <f t="shared" si="8"/>
        <v/>
      </c>
      <c r="G557" s="16">
        <f>IFERROR(__xludf.DUMMYFUNCTION("GOOGLEFINANCE(A557,""CLOSEYEST"")"),148.89)</f>
        <v>148.89</v>
      </c>
      <c r="H557" s="17" t="str">
        <f t="shared" si="14"/>
        <v/>
      </c>
      <c r="I557" s="18">
        <f t="shared" si="9"/>
        <v>149.24</v>
      </c>
      <c r="J557" s="19">
        <f t="shared" si="10"/>
        <v>150.51</v>
      </c>
      <c r="K557" s="19"/>
      <c r="L557" s="19">
        <f t="shared" si="11"/>
        <v>147.62</v>
      </c>
      <c r="M557" s="19">
        <f t="shared" si="12"/>
        <v>152.13</v>
      </c>
      <c r="N557" s="19">
        <f t="shared" si="13"/>
        <v>146.35</v>
      </c>
    </row>
    <row r="558" ht="24.75" customHeight="1">
      <c r="A558" s="21" t="s">
        <v>521</v>
      </c>
      <c r="B558" s="13">
        <f>IFERROR(__xludf.DUMMYFUNCTION("GOOGLEFINANCE(A558,""PRICE"")"),1863.0)</f>
        <v>1863</v>
      </c>
      <c r="C558" s="14">
        <f>IFERROR(__xludf.DUMMYFUNCTION("GOOGLEFINANCE(A558,""PRICEOPEN"")"),1861.6)</f>
        <v>1861.6</v>
      </c>
      <c r="D558" s="14">
        <f>IFERROR(__xludf.DUMMYFUNCTION("GOOGLEFINANCE(A558,""HIGH"")"),1890.0)</f>
        <v>1890</v>
      </c>
      <c r="E558" s="14">
        <f>IFERROR(__xludf.DUMMYFUNCTION("GOOGLEFINANCE(A558,""LOW"")"),1832.0)</f>
        <v>1832</v>
      </c>
      <c r="F558" s="15" t="str">
        <f t="shared" si="8"/>
        <v/>
      </c>
      <c r="G558" s="16">
        <f>IFERROR(__xludf.DUMMYFUNCTION("GOOGLEFINANCE(A558,""CLOSEYEST"")"),1861.6)</f>
        <v>1861.6</v>
      </c>
      <c r="H558" s="17" t="str">
        <f t="shared" si="14"/>
        <v/>
      </c>
      <c r="I558" s="18">
        <f t="shared" si="9"/>
        <v>1861.2</v>
      </c>
      <c r="J558" s="19">
        <f t="shared" si="10"/>
        <v>1890.4</v>
      </c>
      <c r="K558" s="19"/>
      <c r="L558" s="19">
        <f t="shared" si="11"/>
        <v>1832.4</v>
      </c>
      <c r="M558" s="19">
        <f t="shared" si="12"/>
        <v>1919.2</v>
      </c>
      <c r="N558" s="19">
        <f t="shared" si="13"/>
        <v>1803.2</v>
      </c>
    </row>
    <row r="559" ht="24.75" customHeight="1">
      <c r="A559" s="21" t="s">
        <v>522</v>
      </c>
      <c r="B559" s="13" t="str">
        <f>IFERROR(__xludf.DUMMYFUNCTION("GOOGLEFINANCE(A559,""PRICE"")"),"#N/A")</f>
        <v>#N/A</v>
      </c>
      <c r="C559" s="14" t="str">
        <f>IFERROR(__xludf.DUMMYFUNCTION("GOOGLEFINANCE(A559,""PRICEOPEN"")"),"#N/A")</f>
        <v>#N/A</v>
      </c>
      <c r="D559" s="14" t="str">
        <f>IFERROR(__xludf.DUMMYFUNCTION("GOOGLEFINANCE(A559,""HIGH"")"),"#N/A")</f>
        <v>#N/A</v>
      </c>
      <c r="E559" s="14" t="str">
        <f>IFERROR(__xludf.DUMMYFUNCTION("GOOGLEFINANCE(A559,""LOW"")"),"#N/A")</f>
        <v>#N/A</v>
      </c>
      <c r="F559" s="15" t="str">
        <f t="shared" si="8"/>
        <v>#N/A</v>
      </c>
      <c r="G559" s="16" t="str">
        <f>IFERROR(__xludf.DUMMYFUNCTION("GOOGLEFINANCE(A559,""CLOSEYEST"")"),"#N/A")</f>
        <v>#N/A</v>
      </c>
      <c r="H559" s="17" t="str">
        <f t="shared" si="14"/>
        <v>#N/A</v>
      </c>
      <c r="I559" s="18" t="str">
        <f t="shared" si="9"/>
        <v>#N/A</v>
      </c>
      <c r="J559" s="19" t="str">
        <f t="shared" si="10"/>
        <v>#N/A</v>
      </c>
      <c r="K559" s="19"/>
      <c r="L559" s="19" t="str">
        <f t="shared" si="11"/>
        <v>#N/A</v>
      </c>
      <c r="M559" s="19" t="str">
        <f t="shared" si="12"/>
        <v>#N/A</v>
      </c>
      <c r="N559" s="19" t="str">
        <f t="shared" si="13"/>
        <v>#N/A</v>
      </c>
    </row>
    <row r="560" ht="24.75" customHeight="1">
      <c r="A560" s="21" t="s">
        <v>523</v>
      </c>
      <c r="B560" s="13">
        <f>IFERROR(__xludf.DUMMYFUNCTION("GOOGLEFINANCE(A560,""PRICE"")"),63.3)</f>
        <v>63.3</v>
      </c>
      <c r="C560" s="14">
        <f>IFERROR(__xludf.DUMMYFUNCTION("GOOGLEFINANCE(A560,""PRICEOPEN"")"),63.44)</f>
        <v>63.44</v>
      </c>
      <c r="D560" s="14">
        <f>IFERROR(__xludf.DUMMYFUNCTION("GOOGLEFINANCE(A560,""HIGH"")"),63.44)</f>
        <v>63.44</v>
      </c>
      <c r="E560" s="14">
        <f>IFERROR(__xludf.DUMMYFUNCTION("GOOGLEFINANCE(A560,""LOW"")"),63.3)</f>
        <v>63.3</v>
      </c>
      <c r="F560" s="15" t="str">
        <f t="shared" si="8"/>
        <v>SELL</v>
      </c>
      <c r="G560" s="16">
        <f>IFERROR(__xludf.DUMMYFUNCTION("GOOGLEFINANCE(A560,""CLOSEYEST"")"),62.6)</f>
        <v>62.6</v>
      </c>
      <c r="H560" s="17" t="str">
        <f t="shared" si="14"/>
        <v>GAP UP</v>
      </c>
      <c r="I560" s="18">
        <f t="shared" si="9"/>
        <v>63.11333333</v>
      </c>
      <c r="J560" s="19">
        <f t="shared" si="10"/>
        <v>62.92666667</v>
      </c>
      <c r="K560" s="19"/>
      <c r="L560" s="19">
        <f t="shared" si="11"/>
        <v>62.78666667</v>
      </c>
      <c r="M560" s="19">
        <f t="shared" si="12"/>
        <v>63.25333333</v>
      </c>
      <c r="N560" s="19">
        <f t="shared" si="13"/>
        <v>62.97333333</v>
      </c>
    </row>
    <row r="561" ht="24.75" customHeight="1">
      <c r="A561" s="21" t="s">
        <v>524</v>
      </c>
      <c r="B561" s="13">
        <f>IFERROR(__xludf.DUMMYFUNCTION("GOOGLEFINANCE(A561,""PRICE"")"),200.1)</f>
        <v>200.1</v>
      </c>
      <c r="C561" s="14">
        <f>IFERROR(__xludf.DUMMYFUNCTION("GOOGLEFINANCE(A561,""PRICEOPEN"")"),194.9)</f>
        <v>194.9</v>
      </c>
      <c r="D561" s="14">
        <f>IFERROR(__xludf.DUMMYFUNCTION("GOOGLEFINANCE(A561,""HIGH"")"),203.38)</f>
        <v>203.38</v>
      </c>
      <c r="E561" s="14">
        <f>IFERROR(__xludf.DUMMYFUNCTION("GOOGLEFINANCE(A561,""LOW"")"),193.84)</f>
        <v>193.84</v>
      </c>
      <c r="F561" s="15" t="str">
        <f t="shared" si="8"/>
        <v/>
      </c>
      <c r="G561" s="16">
        <f>IFERROR(__xludf.DUMMYFUNCTION("GOOGLEFINANCE(A561,""CLOSEYEST"")"),194.9)</f>
        <v>194.9</v>
      </c>
      <c r="H561" s="17" t="str">
        <f t="shared" si="14"/>
        <v/>
      </c>
      <c r="I561" s="18">
        <f t="shared" si="9"/>
        <v>197.3733333</v>
      </c>
      <c r="J561" s="19">
        <f t="shared" si="10"/>
        <v>200.9066667</v>
      </c>
      <c r="K561" s="19"/>
      <c r="L561" s="19">
        <f t="shared" si="11"/>
        <v>191.3666667</v>
      </c>
      <c r="M561" s="19">
        <f t="shared" si="12"/>
        <v>206.9133333</v>
      </c>
      <c r="N561" s="19">
        <f t="shared" si="13"/>
        <v>187.8333333</v>
      </c>
    </row>
    <row r="562" ht="24.75" customHeight="1">
      <c r="A562" s="21" t="s">
        <v>525</v>
      </c>
      <c r="B562" s="13">
        <f>IFERROR(__xludf.DUMMYFUNCTION("GOOGLEFINANCE(A562,""PRICE"")"),891.0)</f>
        <v>891</v>
      </c>
      <c r="C562" s="14">
        <f>IFERROR(__xludf.DUMMYFUNCTION("GOOGLEFINANCE(A562,""PRICEOPEN"")"),900.8)</f>
        <v>900.8</v>
      </c>
      <c r="D562" s="14">
        <f>IFERROR(__xludf.DUMMYFUNCTION("GOOGLEFINANCE(A562,""HIGH"")"),903.65)</f>
        <v>903.65</v>
      </c>
      <c r="E562" s="14">
        <f>IFERROR(__xludf.DUMMYFUNCTION("GOOGLEFINANCE(A562,""LOW"")"),888.15)</f>
        <v>888.15</v>
      </c>
      <c r="F562" s="15" t="str">
        <f t="shared" si="8"/>
        <v/>
      </c>
      <c r="G562" s="16">
        <f>IFERROR(__xludf.DUMMYFUNCTION("GOOGLEFINANCE(A562,""CLOSEYEST"")"),899.8)</f>
        <v>899.8</v>
      </c>
      <c r="H562" s="17" t="str">
        <f t="shared" si="14"/>
        <v/>
      </c>
      <c r="I562" s="18">
        <f t="shared" si="9"/>
        <v>897.2</v>
      </c>
      <c r="J562" s="19">
        <f t="shared" si="10"/>
        <v>906.25</v>
      </c>
      <c r="K562" s="19"/>
      <c r="L562" s="19">
        <f t="shared" si="11"/>
        <v>890.75</v>
      </c>
      <c r="M562" s="19">
        <f t="shared" si="12"/>
        <v>912.7</v>
      </c>
      <c r="N562" s="19">
        <f t="shared" si="13"/>
        <v>881.7</v>
      </c>
    </row>
    <row r="563" ht="24.75" customHeight="1">
      <c r="A563" s="21" t="s">
        <v>526</v>
      </c>
      <c r="B563" s="13">
        <f>IFERROR(__xludf.DUMMYFUNCTION("GOOGLEFINANCE(A563,""PRICE"")"),384.0)</f>
        <v>384</v>
      </c>
      <c r="C563" s="14">
        <f>IFERROR(__xludf.DUMMYFUNCTION("GOOGLEFINANCE(A563,""PRICEOPEN"")"),391.5)</f>
        <v>391.5</v>
      </c>
      <c r="D563" s="14">
        <f>IFERROR(__xludf.DUMMYFUNCTION("GOOGLEFINANCE(A563,""HIGH"")"),394.65)</f>
        <v>394.65</v>
      </c>
      <c r="E563" s="14">
        <f>IFERROR(__xludf.DUMMYFUNCTION("GOOGLEFINANCE(A563,""LOW"")"),378.45)</f>
        <v>378.45</v>
      </c>
      <c r="F563" s="15" t="str">
        <f t="shared" si="8"/>
        <v/>
      </c>
      <c r="G563" s="16">
        <f>IFERROR(__xludf.DUMMYFUNCTION("GOOGLEFINANCE(A563,""CLOSEYEST"")"),380.6)</f>
        <v>380.6</v>
      </c>
      <c r="H563" s="17" t="str">
        <f t="shared" si="14"/>
        <v>GAP UP</v>
      </c>
      <c r="I563" s="18">
        <f t="shared" si="9"/>
        <v>384.5666667</v>
      </c>
      <c r="J563" s="19">
        <f t="shared" si="10"/>
        <v>390.6833333</v>
      </c>
      <c r="K563" s="19"/>
      <c r="L563" s="19">
        <f t="shared" si="11"/>
        <v>374.4833333</v>
      </c>
      <c r="M563" s="19">
        <f t="shared" si="12"/>
        <v>400.7666667</v>
      </c>
      <c r="N563" s="19">
        <f t="shared" si="13"/>
        <v>368.3666667</v>
      </c>
    </row>
    <row r="564" ht="24.75" customHeight="1">
      <c r="A564" s="21" t="s">
        <v>527</v>
      </c>
      <c r="B564" s="13">
        <f>IFERROR(__xludf.DUMMYFUNCTION("GOOGLEFINANCE(A564,""PRICE"")"),101.7)</f>
        <v>101.7</v>
      </c>
      <c r="C564" s="14">
        <f>IFERROR(__xludf.DUMMYFUNCTION("GOOGLEFINANCE(A564,""PRICEOPEN"")"),100.92)</f>
        <v>100.92</v>
      </c>
      <c r="D564" s="14">
        <f>IFERROR(__xludf.DUMMYFUNCTION("GOOGLEFINANCE(A564,""HIGH"")"),101.9)</f>
        <v>101.9</v>
      </c>
      <c r="E564" s="14">
        <f>IFERROR(__xludf.DUMMYFUNCTION("GOOGLEFINANCE(A564,""LOW"")"),100.61)</f>
        <v>100.61</v>
      </c>
      <c r="F564" s="15" t="str">
        <f t="shared" si="8"/>
        <v/>
      </c>
      <c r="G564" s="16">
        <f>IFERROR(__xludf.DUMMYFUNCTION("GOOGLEFINANCE(A564,""CLOSEYEST"")"),100.92)</f>
        <v>100.92</v>
      </c>
      <c r="H564" s="17" t="str">
        <f t="shared" si="14"/>
        <v/>
      </c>
      <c r="I564" s="18">
        <f t="shared" si="9"/>
        <v>101.1433333</v>
      </c>
      <c r="J564" s="19">
        <f t="shared" si="10"/>
        <v>101.6766667</v>
      </c>
      <c r="K564" s="19"/>
      <c r="L564" s="19">
        <f t="shared" si="11"/>
        <v>100.3866667</v>
      </c>
      <c r="M564" s="19">
        <f t="shared" si="12"/>
        <v>102.4333333</v>
      </c>
      <c r="N564" s="19">
        <f t="shared" si="13"/>
        <v>99.85333333</v>
      </c>
    </row>
    <row r="565" ht="24.75" customHeight="1">
      <c r="A565" s="21" t="s">
        <v>528</v>
      </c>
      <c r="B565" s="13">
        <f>IFERROR(__xludf.DUMMYFUNCTION("GOOGLEFINANCE(A565,""PRICE"")"),940.0)</f>
        <v>940</v>
      </c>
      <c r="C565" s="14">
        <f>IFERROR(__xludf.DUMMYFUNCTION("GOOGLEFINANCE(A565,""PRICEOPEN"")"),925.0)</f>
        <v>925</v>
      </c>
      <c r="D565" s="14">
        <f>IFERROR(__xludf.DUMMYFUNCTION("GOOGLEFINANCE(A565,""HIGH"")"),940.0)</f>
        <v>940</v>
      </c>
      <c r="E565" s="14">
        <f>IFERROR(__xludf.DUMMYFUNCTION("GOOGLEFINANCE(A565,""LOW"")"),920.0)</f>
        <v>920</v>
      </c>
      <c r="F565" s="15" t="str">
        <f t="shared" si="8"/>
        <v/>
      </c>
      <c r="G565" s="16">
        <f>IFERROR(__xludf.DUMMYFUNCTION("GOOGLEFINANCE(A565,""CLOSEYEST"")"),920.0)</f>
        <v>920</v>
      </c>
      <c r="H565" s="17" t="str">
        <f t="shared" si="14"/>
        <v/>
      </c>
      <c r="I565" s="18">
        <f t="shared" si="9"/>
        <v>926.6666667</v>
      </c>
      <c r="J565" s="19">
        <f t="shared" si="10"/>
        <v>933.3333333</v>
      </c>
      <c r="K565" s="19"/>
      <c r="L565" s="19">
        <f t="shared" si="11"/>
        <v>913.3333333</v>
      </c>
      <c r="M565" s="19">
        <f t="shared" si="12"/>
        <v>946.6666667</v>
      </c>
      <c r="N565" s="19">
        <f t="shared" si="13"/>
        <v>906.6666667</v>
      </c>
    </row>
    <row r="566" ht="24.75" customHeight="1">
      <c r="A566" s="21" t="s">
        <v>529</v>
      </c>
      <c r="B566" s="13">
        <f>IFERROR(__xludf.DUMMYFUNCTION("GOOGLEFINANCE(A566,""PRICE"")"),174.3)</f>
        <v>174.3</v>
      </c>
      <c r="C566" s="14">
        <f>IFERROR(__xludf.DUMMYFUNCTION("GOOGLEFINANCE(A566,""PRICEOPEN"")"),173.99)</f>
        <v>173.99</v>
      </c>
      <c r="D566" s="14">
        <f>IFERROR(__xludf.DUMMYFUNCTION("GOOGLEFINANCE(A566,""HIGH"")"),175.44)</f>
        <v>175.44</v>
      </c>
      <c r="E566" s="14">
        <f>IFERROR(__xludf.DUMMYFUNCTION("GOOGLEFINANCE(A566,""LOW"")"),172.15)</f>
        <v>172.15</v>
      </c>
      <c r="F566" s="15" t="str">
        <f t="shared" si="8"/>
        <v/>
      </c>
      <c r="G566" s="16">
        <f>IFERROR(__xludf.DUMMYFUNCTION("GOOGLEFINANCE(A566,""CLOSEYEST"")"),173.62)</f>
        <v>173.62</v>
      </c>
      <c r="H566" s="17" t="str">
        <f t="shared" si="14"/>
        <v/>
      </c>
      <c r="I566" s="18">
        <f t="shared" si="9"/>
        <v>173.7366667</v>
      </c>
      <c r="J566" s="19">
        <f t="shared" si="10"/>
        <v>175.3233333</v>
      </c>
      <c r="K566" s="19"/>
      <c r="L566" s="19">
        <f t="shared" si="11"/>
        <v>172.0333333</v>
      </c>
      <c r="M566" s="19">
        <f t="shared" si="12"/>
        <v>177.0266667</v>
      </c>
      <c r="N566" s="19">
        <f t="shared" si="13"/>
        <v>170.4466667</v>
      </c>
    </row>
    <row r="567" ht="24.75" customHeight="1">
      <c r="A567" s="21" t="s">
        <v>530</v>
      </c>
      <c r="B567" s="13" t="str">
        <f>IFERROR(__xludf.DUMMYFUNCTION("GOOGLEFINANCE(A567,""PRICE"")"),"#N/A")</f>
        <v>#N/A</v>
      </c>
      <c r="C567" s="14" t="str">
        <f>IFERROR(__xludf.DUMMYFUNCTION("GOOGLEFINANCE(A567,""PRICEOPEN"")"),"#N/A")</f>
        <v>#N/A</v>
      </c>
      <c r="D567" s="14" t="str">
        <f>IFERROR(__xludf.DUMMYFUNCTION("GOOGLEFINANCE(A567,""HIGH"")"),"#N/A")</f>
        <v>#N/A</v>
      </c>
      <c r="E567" s="14" t="str">
        <f>IFERROR(__xludf.DUMMYFUNCTION("GOOGLEFINANCE(A567,""LOW"")"),"#N/A")</f>
        <v>#N/A</v>
      </c>
      <c r="F567" s="15" t="str">
        <f t="shared" si="8"/>
        <v>#N/A</v>
      </c>
      <c r="G567" s="16" t="str">
        <f>IFERROR(__xludf.DUMMYFUNCTION("GOOGLEFINANCE(A567,""CLOSEYEST"")"),"#N/A")</f>
        <v>#N/A</v>
      </c>
      <c r="H567" s="17" t="str">
        <f t="shared" si="14"/>
        <v>#N/A</v>
      </c>
      <c r="I567" s="18" t="str">
        <f t="shared" si="9"/>
        <v>#N/A</v>
      </c>
      <c r="J567" s="19" t="str">
        <f t="shared" si="10"/>
        <v>#N/A</v>
      </c>
      <c r="K567" s="19"/>
      <c r="L567" s="19" t="str">
        <f t="shared" si="11"/>
        <v>#N/A</v>
      </c>
      <c r="M567" s="19" t="str">
        <f t="shared" si="12"/>
        <v>#N/A</v>
      </c>
      <c r="N567" s="19" t="str">
        <f t="shared" si="13"/>
        <v>#N/A</v>
      </c>
    </row>
    <row r="568" ht="24.75" customHeight="1">
      <c r="A568" s="21" t="s">
        <v>531</v>
      </c>
      <c r="B568" s="13">
        <f>IFERROR(__xludf.DUMMYFUNCTION("GOOGLEFINANCE(A568,""PRICE"")"),352.5)</f>
        <v>352.5</v>
      </c>
      <c r="C568" s="14">
        <f>IFERROR(__xludf.DUMMYFUNCTION("GOOGLEFINANCE(A568,""PRICEOPEN"")"),349.85)</f>
        <v>349.85</v>
      </c>
      <c r="D568" s="14">
        <f>IFERROR(__xludf.DUMMYFUNCTION("GOOGLEFINANCE(A568,""HIGH"")"),353.85)</f>
        <v>353.85</v>
      </c>
      <c r="E568" s="14">
        <f>IFERROR(__xludf.DUMMYFUNCTION("GOOGLEFINANCE(A568,""LOW"")"),348.0)</f>
        <v>348</v>
      </c>
      <c r="F568" s="15" t="str">
        <f t="shared" si="8"/>
        <v/>
      </c>
      <c r="G568" s="16">
        <f>IFERROR(__xludf.DUMMYFUNCTION("GOOGLEFINANCE(A568,""CLOSEYEST"")"),349.85)</f>
        <v>349.85</v>
      </c>
      <c r="H568" s="17" t="str">
        <f t="shared" si="14"/>
        <v/>
      </c>
      <c r="I568" s="18">
        <f t="shared" si="9"/>
        <v>350.5666667</v>
      </c>
      <c r="J568" s="19">
        <f t="shared" si="10"/>
        <v>353.1333333</v>
      </c>
      <c r="K568" s="19"/>
      <c r="L568" s="19">
        <f t="shared" si="11"/>
        <v>347.2833333</v>
      </c>
      <c r="M568" s="19">
        <f t="shared" si="12"/>
        <v>356.4166667</v>
      </c>
      <c r="N568" s="19">
        <f t="shared" si="13"/>
        <v>344.7166667</v>
      </c>
    </row>
    <row r="569" ht="24.75" customHeight="1">
      <c r="A569" s="21" t="s">
        <v>532</v>
      </c>
      <c r="B569" s="13">
        <f>IFERROR(__xludf.DUMMYFUNCTION("GOOGLEFINANCE(A569,""PRICE"")"),272.5)</f>
        <v>272.5</v>
      </c>
      <c r="C569" s="14">
        <f>IFERROR(__xludf.DUMMYFUNCTION("GOOGLEFINANCE(A569,""PRICEOPEN"")"),274.0)</f>
        <v>274</v>
      </c>
      <c r="D569" s="14">
        <f>IFERROR(__xludf.DUMMYFUNCTION("GOOGLEFINANCE(A569,""HIGH"")"),280.95)</f>
        <v>280.95</v>
      </c>
      <c r="E569" s="14">
        <f>IFERROR(__xludf.DUMMYFUNCTION("GOOGLEFINANCE(A569,""LOW"")"),270.1)</f>
        <v>270.1</v>
      </c>
      <c r="F569" s="15" t="str">
        <f t="shared" si="8"/>
        <v/>
      </c>
      <c r="G569" s="16">
        <f>IFERROR(__xludf.DUMMYFUNCTION("GOOGLEFINANCE(A569,""CLOSEYEST"")"),273.85)</f>
        <v>273.85</v>
      </c>
      <c r="H569" s="17" t="str">
        <f t="shared" si="14"/>
        <v/>
      </c>
      <c r="I569" s="18">
        <f t="shared" si="9"/>
        <v>274.9666667</v>
      </c>
      <c r="J569" s="19">
        <f t="shared" si="10"/>
        <v>279.8333333</v>
      </c>
      <c r="K569" s="19"/>
      <c r="L569" s="19">
        <f t="shared" si="11"/>
        <v>268.9833333</v>
      </c>
      <c r="M569" s="19">
        <f t="shared" si="12"/>
        <v>285.8166667</v>
      </c>
      <c r="N569" s="19">
        <f t="shared" si="13"/>
        <v>264.1166667</v>
      </c>
    </row>
    <row r="570" ht="24.75" customHeight="1">
      <c r="A570" s="21" t="s">
        <v>533</v>
      </c>
      <c r="B570" s="13">
        <f>IFERROR(__xludf.DUMMYFUNCTION("GOOGLEFINANCE(A570,""PRICE"")"),8.18)</f>
        <v>8.18</v>
      </c>
      <c r="C570" s="14">
        <f>IFERROR(__xludf.DUMMYFUNCTION("GOOGLEFINANCE(A570,""PRICEOPEN"")"),8.17)</f>
        <v>8.17</v>
      </c>
      <c r="D570" s="14">
        <f>IFERROR(__xludf.DUMMYFUNCTION("GOOGLEFINANCE(A570,""HIGH"")"),8.22)</f>
        <v>8.22</v>
      </c>
      <c r="E570" s="14">
        <f>IFERROR(__xludf.DUMMYFUNCTION("GOOGLEFINANCE(A570,""LOW"")"),8.05)</f>
        <v>8.05</v>
      </c>
      <c r="F570" s="15" t="str">
        <f t="shared" si="8"/>
        <v/>
      </c>
      <c r="G570" s="16">
        <f>IFERROR(__xludf.DUMMYFUNCTION("GOOGLEFINANCE(A570,""CLOSEYEST"")"),8.13)</f>
        <v>8.13</v>
      </c>
      <c r="H570" s="17" t="str">
        <f t="shared" si="14"/>
        <v/>
      </c>
      <c r="I570" s="18">
        <f t="shared" si="9"/>
        <v>8.133333333</v>
      </c>
      <c r="J570" s="19">
        <f t="shared" si="10"/>
        <v>8.216666667</v>
      </c>
      <c r="K570" s="19"/>
      <c r="L570" s="19">
        <f t="shared" si="11"/>
        <v>8.046666667</v>
      </c>
      <c r="M570" s="19">
        <f t="shared" si="12"/>
        <v>8.303333333</v>
      </c>
      <c r="N570" s="19">
        <f t="shared" si="13"/>
        <v>7.963333333</v>
      </c>
    </row>
    <row r="571" ht="24.75" customHeight="1">
      <c r="A571" s="21" t="s">
        <v>534</v>
      </c>
      <c r="B571" s="13">
        <f>IFERROR(__xludf.DUMMYFUNCTION("GOOGLEFINANCE(A571,""PRICE"")"),539.0)</f>
        <v>539</v>
      </c>
      <c r="C571" s="14">
        <f>IFERROR(__xludf.DUMMYFUNCTION("GOOGLEFINANCE(A571,""PRICEOPEN"")"),536.8)</f>
        <v>536.8</v>
      </c>
      <c r="D571" s="14">
        <f>IFERROR(__xludf.DUMMYFUNCTION("GOOGLEFINANCE(A571,""HIGH"")"),539.0)</f>
        <v>539</v>
      </c>
      <c r="E571" s="14">
        <f>IFERROR(__xludf.DUMMYFUNCTION("GOOGLEFINANCE(A571,""LOW"")"),528.0)</f>
        <v>528</v>
      </c>
      <c r="F571" s="15" t="str">
        <f t="shared" si="8"/>
        <v/>
      </c>
      <c r="G571" s="16">
        <f>IFERROR(__xludf.DUMMYFUNCTION("GOOGLEFINANCE(A571,""CLOSEYEST"")"),536.8)</f>
        <v>536.8</v>
      </c>
      <c r="H571" s="17" t="str">
        <f t="shared" si="14"/>
        <v/>
      </c>
      <c r="I571" s="18">
        <f t="shared" si="9"/>
        <v>534.6</v>
      </c>
      <c r="J571" s="19">
        <f t="shared" si="10"/>
        <v>541.2</v>
      </c>
      <c r="K571" s="19"/>
      <c r="L571" s="19">
        <f t="shared" si="11"/>
        <v>530.2</v>
      </c>
      <c r="M571" s="19">
        <f t="shared" si="12"/>
        <v>545.6</v>
      </c>
      <c r="N571" s="19">
        <f t="shared" si="13"/>
        <v>523.6</v>
      </c>
    </row>
    <row r="572" ht="24.75" customHeight="1">
      <c r="A572" s="21" t="s">
        <v>535</v>
      </c>
      <c r="B572" s="13">
        <f>IFERROR(__xludf.DUMMYFUNCTION("GOOGLEFINANCE(A572,""PRICE"")"),11.7)</f>
        <v>11.7</v>
      </c>
      <c r="C572" s="14">
        <f>IFERROR(__xludf.DUMMYFUNCTION("GOOGLEFINANCE(A572,""PRICEOPEN"")"),11.55)</f>
        <v>11.55</v>
      </c>
      <c r="D572" s="14">
        <f>IFERROR(__xludf.DUMMYFUNCTION("GOOGLEFINANCE(A572,""HIGH"")"),11.7)</f>
        <v>11.7</v>
      </c>
      <c r="E572" s="14">
        <f>IFERROR(__xludf.DUMMYFUNCTION("GOOGLEFINANCE(A572,""LOW"")"),11.47)</f>
        <v>11.47</v>
      </c>
      <c r="F572" s="15" t="str">
        <f t="shared" si="8"/>
        <v/>
      </c>
      <c r="G572" s="16">
        <f>IFERROR(__xludf.DUMMYFUNCTION("GOOGLEFINANCE(A572,""CLOSEYEST"")"),11.53)</f>
        <v>11.53</v>
      </c>
      <c r="H572" s="17" t="str">
        <f t="shared" si="14"/>
        <v/>
      </c>
      <c r="I572" s="18">
        <f t="shared" si="9"/>
        <v>11.56666667</v>
      </c>
      <c r="J572" s="19">
        <f t="shared" si="10"/>
        <v>11.66333333</v>
      </c>
      <c r="K572" s="19"/>
      <c r="L572" s="19">
        <f t="shared" si="11"/>
        <v>11.43333333</v>
      </c>
      <c r="M572" s="19">
        <f t="shared" si="12"/>
        <v>11.79666667</v>
      </c>
      <c r="N572" s="19">
        <f t="shared" si="13"/>
        <v>11.33666667</v>
      </c>
    </row>
    <row r="573" ht="24.75" customHeight="1">
      <c r="A573" s="21" t="s">
        <v>536</v>
      </c>
      <c r="B573" s="13">
        <f>IFERROR(__xludf.DUMMYFUNCTION("GOOGLEFINANCE(A573,""PRICE"")"),1070.0)</f>
        <v>1070</v>
      </c>
      <c r="C573" s="14">
        <f>IFERROR(__xludf.DUMMYFUNCTION("GOOGLEFINANCE(A573,""PRICEOPEN"")"),1063.0)</f>
        <v>1063</v>
      </c>
      <c r="D573" s="14">
        <f>IFERROR(__xludf.DUMMYFUNCTION("GOOGLEFINANCE(A573,""HIGH"")"),1071.8)</f>
        <v>1071.8</v>
      </c>
      <c r="E573" s="14">
        <f>IFERROR(__xludf.DUMMYFUNCTION("GOOGLEFINANCE(A573,""LOW"")"),1056.2)</f>
        <v>1056.2</v>
      </c>
      <c r="F573" s="15" t="str">
        <f t="shared" si="8"/>
        <v/>
      </c>
      <c r="G573" s="16">
        <f>IFERROR(__xludf.DUMMYFUNCTION("GOOGLEFINANCE(A573,""CLOSEYEST"")"),1063.7)</f>
        <v>1063.7</v>
      </c>
      <c r="H573" s="17" t="str">
        <f t="shared" si="14"/>
        <v/>
      </c>
      <c r="I573" s="18">
        <f t="shared" si="9"/>
        <v>1063.9</v>
      </c>
      <c r="J573" s="19">
        <f t="shared" si="10"/>
        <v>1071.6</v>
      </c>
      <c r="K573" s="19"/>
      <c r="L573" s="19">
        <f t="shared" si="11"/>
        <v>1056</v>
      </c>
      <c r="M573" s="19">
        <f t="shared" si="12"/>
        <v>1079.5</v>
      </c>
      <c r="N573" s="19">
        <f t="shared" si="13"/>
        <v>1048.3</v>
      </c>
    </row>
    <row r="574" ht="24.75" customHeight="1">
      <c r="A574" s="21" t="s">
        <v>537</v>
      </c>
      <c r="B574" s="13">
        <f>IFERROR(__xludf.DUMMYFUNCTION("GOOGLEFINANCE(A574,""PRICE"")"),251.8)</f>
        <v>251.8</v>
      </c>
      <c r="C574" s="14">
        <f>IFERROR(__xludf.DUMMYFUNCTION("GOOGLEFINANCE(A574,""PRICEOPEN"")"),250.45)</f>
        <v>250.45</v>
      </c>
      <c r="D574" s="14">
        <f>IFERROR(__xludf.DUMMYFUNCTION("GOOGLEFINANCE(A574,""HIGH"")"),252.9)</f>
        <v>252.9</v>
      </c>
      <c r="E574" s="14">
        <f>IFERROR(__xludf.DUMMYFUNCTION("GOOGLEFINANCE(A574,""LOW"")"),248.75)</f>
        <v>248.75</v>
      </c>
      <c r="F574" s="15" t="str">
        <f t="shared" si="8"/>
        <v/>
      </c>
      <c r="G574" s="16">
        <f>IFERROR(__xludf.DUMMYFUNCTION("GOOGLEFINANCE(A574,""CLOSEYEST"")"),250.45)</f>
        <v>250.45</v>
      </c>
      <c r="H574" s="17" t="str">
        <f t="shared" si="14"/>
        <v/>
      </c>
      <c r="I574" s="18">
        <f t="shared" si="9"/>
        <v>250.7</v>
      </c>
      <c r="J574" s="19">
        <f t="shared" si="10"/>
        <v>252.65</v>
      </c>
      <c r="K574" s="19"/>
      <c r="L574" s="19">
        <f t="shared" si="11"/>
        <v>248.5</v>
      </c>
      <c r="M574" s="19">
        <f t="shared" si="12"/>
        <v>254.85</v>
      </c>
      <c r="N574" s="19">
        <f t="shared" si="13"/>
        <v>246.55</v>
      </c>
    </row>
    <row r="575" ht="24.75" customHeight="1">
      <c r="A575" s="21" t="s">
        <v>538</v>
      </c>
      <c r="B575" s="13">
        <f>IFERROR(__xludf.DUMMYFUNCTION("GOOGLEFINANCE(A575,""PRICE"")"),586.8)</f>
        <v>586.8</v>
      </c>
      <c r="C575" s="14">
        <f>IFERROR(__xludf.DUMMYFUNCTION("GOOGLEFINANCE(A575,""PRICEOPEN"")"),594.0)</f>
        <v>594</v>
      </c>
      <c r="D575" s="14">
        <f>IFERROR(__xludf.DUMMYFUNCTION("GOOGLEFINANCE(A575,""HIGH"")"),595.0)</f>
        <v>595</v>
      </c>
      <c r="E575" s="14">
        <f>IFERROR(__xludf.DUMMYFUNCTION("GOOGLEFINANCE(A575,""LOW"")"),579.5)</f>
        <v>579.5</v>
      </c>
      <c r="F575" s="15" t="str">
        <f t="shared" si="8"/>
        <v/>
      </c>
      <c r="G575" s="16">
        <f>IFERROR(__xludf.DUMMYFUNCTION("GOOGLEFINANCE(A575,""CLOSEYEST"")"),582.55)</f>
        <v>582.55</v>
      </c>
      <c r="H575" s="17" t="str">
        <f t="shared" si="14"/>
        <v>GAP UP</v>
      </c>
      <c r="I575" s="18">
        <f t="shared" si="9"/>
        <v>585.6833333</v>
      </c>
      <c r="J575" s="19">
        <f t="shared" si="10"/>
        <v>591.8666667</v>
      </c>
      <c r="K575" s="19"/>
      <c r="L575" s="19">
        <f t="shared" si="11"/>
        <v>576.3666667</v>
      </c>
      <c r="M575" s="19">
        <f t="shared" si="12"/>
        <v>601.1833333</v>
      </c>
      <c r="N575" s="19">
        <f t="shared" si="13"/>
        <v>570.1833333</v>
      </c>
    </row>
    <row r="576" ht="24.75" customHeight="1">
      <c r="A576" s="21" t="s">
        <v>539</v>
      </c>
      <c r="B576" s="13">
        <f>IFERROR(__xludf.DUMMYFUNCTION("GOOGLEFINANCE(A576,""PRICE"")"),180.5)</f>
        <v>180.5</v>
      </c>
      <c r="C576" s="14">
        <f>IFERROR(__xludf.DUMMYFUNCTION("GOOGLEFINANCE(A576,""PRICEOPEN"")"),174.0)</f>
        <v>174</v>
      </c>
      <c r="D576" s="14">
        <f>IFERROR(__xludf.DUMMYFUNCTION("GOOGLEFINANCE(A576,""HIGH"")"),181.39)</f>
        <v>181.39</v>
      </c>
      <c r="E576" s="14">
        <f>IFERROR(__xludf.DUMMYFUNCTION("GOOGLEFINANCE(A576,""LOW"")"),174.0)</f>
        <v>174</v>
      </c>
      <c r="F576" s="15" t="str">
        <f t="shared" si="8"/>
        <v>BUY</v>
      </c>
      <c r="G576" s="16">
        <f>IFERROR(__xludf.DUMMYFUNCTION("GOOGLEFINANCE(A576,""CLOSEYEST"")"),173.97)</f>
        <v>173.97</v>
      </c>
      <c r="H576" s="17" t="str">
        <f t="shared" si="14"/>
        <v/>
      </c>
      <c r="I576" s="18">
        <f t="shared" si="9"/>
        <v>176.4533333</v>
      </c>
      <c r="J576" s="19">
        <f t="shared" si="10"/>
        <v>178.9066667</v>
      </c>
      <c r="K576" s="19"/>
      <c r="L576" s="19">
        <f t="shared" si="11"/>
        <v>171.5166667</v>
      </c>
      <c r="M576" s="19">
        <f t="shared" si="12"/>
        <v>183.8433333</v>
      </c>
      <c r="N576" s="19">
        <f t="shared" si="13"/>
        <v>169.0633333</v>
      </c>
    </row>
    <row r="577" ht="24.75" customHeight="1">
      <c r="A577" s="21" t="s">
        <v>540</v>
      </c>
      <c r="B577" s="13" t="str">
        <f>IFERROR(__xludf.DUMMYFUNCTION("GOOGLEFINANCE(A577,""PRICE"")"),"#N/A")</f>
        <v>#N/A</v>
      </c>
      <c r="C577" s="14" t="str">
        <f>IFERROR(__xludf.DUMMYFUNCTION("GOOGLEFINANCE(A577,""PRICEOPEN"")"),"#N/A")</f>
        <v>#N/A</v>
      </c>
      <c r="D577" s="14" t="str">
        <f>IFERROR(__xludf.DUMMYFUNCTION("GOOGLEFINANCE(A577,""HIGH"")"),"#N/A")</f>
        <v>#N/A</v>
      </c>
      <c r="E577" s="14" t="str">
        <f>IFERROR(__xludf.DUMMYFUNCTION("GOOGLEFINANCE(A577,""LOW"")"),"#N/A")</f>
        <v>#N/A</v>
      </c>
      <c r="F577" s="15" t="str">
        <f t="shared" si="8"/>
        <v>#N/A</v>
      </c>
      <c r="G577" s="16" t="str">
        <f>IFERROR(__xludf.DUMMYFUNCTION("GOOGLEFINANCE(A577,""CLOSEYEST"")"),"#N/A")</f>
        <v>#N/A</v>
      </c>
      <c r="H577" s="17" t="str">
        <f t="shared" si="14"/>
        <v>#N/A</v>
      </c>
      <c r="I577" s="18" t="str">
        <f t="shared" si="9"/>
        <v>#N/A</v>
      </c>
      <c r="J577" s="19" t="str">
        <f t="shared" si="10"/>
        <v>#N/A</v>
      </c>
      <c r="K577" s="19"/>
      <c r="L577" s="19" t="str">
        <f t="shared" si="11"/>
        <v>#N/A</v>
      </c>
      <c r="M577" s="19" t="str">
        <f t="shared" si="12"/>
        <v>#N/A</v>
      </c>
      <c r="N577" s="19" t="str">
        <f t="shared" si="13"/>
        <v>#N/A</v>
      </c>
    </row>
    <row r="578" ht="24.75" customHeight="1">
      <c r="A578" s="21" t="s">
        <v>541</v>
      </c>
      <c r="B578" s="13" t="str">
        <f>IFERROR(__xludf.DUMMYFUNCTION("GOOGLEFINANCE(A578,""PRICE"")"),"#N/A")</f>
        <v>#N/A</v>
      </c>
      <c r="C578" s="14" t="str">
        <f>IFERROR(__xludf.DUMMYFUNCTION("GOOGLEFINANCE(A578,""PRICEOPEN"")"),"#N/A")</f>
        <v>#N/A</v>
      </c>
      <c r="D578" s="14" t="str">
        <f>IFERROR(__xludf.DUMMYFUNCTION("GOOGLEFINANCE(A578,""HIGH"")"),"#N/A")</f>
        <v>#N/A</v>
      </c>
      <c r="E578" s="14" t="str">
        <f>IFERROR(__xludf.DUMMYFUNCTION("GOOGLEFINANCE(A578,""LOW"")"),"#N/A")</f>
        <v>#N/A</v>
      </c>
      <c r="F578" s="15" t="str">
        <f t="shared" si="8"/>
        <v>#N/A</v>
      </c>
      <c r="G578" s="16" t="str">
        <f>IFERROR(__xludf.DUMMYFUNCTION("GOOGLEFINANCE(A578,""CLOSEYEST"")"),"#N/A")</f>
        <v>#N/A</v>
      </c>
      <c r="H578" s="17" t="str">
        <f t="shared" si="14"/>
        <v>#N/A</v>
      </c>
      <c r="I578" s="18" t="str">
        <f t="shared" si="9"/>
        <v>#N/A</v>
      </c>
      <c r="J578" s="19" t="str">
        <f t="shared" si="10"/>
        <v>#N/A</v>
      </c>
      <c r="K578" s="19"/>
      <c r="L578" s="19" t="str">
        <f t="shared" si="11"/>
        <v>#N/A</v>
      </c>
      <c r="M578" s="19" t="str">
        <f t="shared" si="12"/>
        <v>#N/A</v>
      </c>
      <c r="N578" s="19" t="str">
        <f t="shared" si="13"/>
        <v>#N/A</v>
      </c>
    </row>
    <row r="579" ht="24.75" customHeight="1">
      <c r="A579" s="21" t="s">
        <v>542</v>
      </c>
      <c r="B579" s="13" t="str">
        <f>IFERROR(__xludf.DUMMYFUNCTION("GOOGLEFINANCE(A579,""PRICE"")"),"#N/A")</f>
        <v>#N/A</v>
      </c>
      <c r="C579" s="14" t="str">
        <f>IFERROR(__xludf.DUMMYFUNCTION("GOOGLEFINANCE(A579,""PRICEOPEN"")"),"#N/A")</f>
        <v>#N/A</v>
      </c>
      <c r="D579" s="14" t="str">
        <f>IFERROR(__xludf.DUMMYFUNCTION("GOOGLEFINANCE(A579,""HIGH"")"),"#N/A")</f>
        <v>#N/A</v>
      </c>
      <c r="E579" s="14" t="str">
        <f>IFERROR(__xludf.DUMMYFUNCTION("GOOGLEFINANCE(A579,""LOW"")"),"#N/A")</f>
        <v>#N/A</v>
      </c>
      <c r="F579" s="15" t="str">
        <f t="shared" si="8"/>
        <v>#N/A</v>
      </c>
      <c r="G579" s="16" t="str">
        <f>IFERROR(__xludf.DUMMYFUNCTION("GOOGLEFINANCE(A579,""CLOSEYEST"")"),"#N/A")</f>
        <v>#N/A</v>
      </c>
      <c r="H579" s="17" t="str">
        <f t="shared" si="14"/>
        <v>#N/A</v>
      </c>
      <c r="I579" s="18" t="str">
        <f t="shared" si="9"/>
        <v>#N/A</v>
      </c>
      <c r="J579" s="19" t="str">
        <f t="shared" si="10"/>
        <v>#N/A</v>
      </c>
      <c r="K579" s="19"/>
      <c r="L579" s="19" t="str">
        <f t="shared" si="11"/>
        <v>#N/A</v>
      </c>
      <c r="M579" s="19" t="str">
        <f t="shared" si="12"/>
        <v>#N/A</v>
      </c>
      <c r="N579" s="19" t="str">
        <f t="shared" si="13"/>
        <v>#N/A</v>
      </c>
    </row>
    <row r="580" ht="24.75" customHeight="1">
      <c r="A580" s="21" t="s">
        <v>543</v>
      </c>
      <c r="B580" s="13">
        <f>IFERROR(__xludf.DUMMYFUNCTION("GOOGLEFINANCE(A580,""PRICE"")"),381.9)</f>
        <v>381.9</v>
      </c>
      <c r="C580" s="14">
        <f>IFERROR(__xludf.DUMMYFUNCTION("GOOGLEFINANCE(A580,""PRICEOPEN"")"),375.45)</f>
        <v>375.45</v>
      </c>
      <c r="D580" s="14">
        <f>IFERROR(__xludf.DUMMYFUNCTION("GOOGLEFINANCE(A580,""HIGH"")"),385.75)</f>
        <v>385.75</v>
      </c>
      <c r="E580" s="14">
        <f>IFERROR(__xludf.DUMMYFUNCTION("GOOGLEFINANCE(A580,""LOW"")"),373.0)</f>
        <v>373</v>
      </c>
      <c r="F580" s="15" t="str">
        <f t="shared" si="8"/>
        <v/>
      </c>
      <c r="G580" s="16">
        <f>IFERROR(__xludf.DUMMYFUNCTION("GOOGLEFINANCE(A580,""CLOSEYEST"")"),372.15)</f>
        <v>372.15</v>
      </c>
      <c r="H580" s="17" t="str">
        <f t="shared" si="14"/>
        <v/>
      </c>
      <c r="I580" s="18">
        <f t="shared" si="9"/>
        <v>376.9666667</v>
      </c>
      <c r="J580" s="19">
        <f t="shared" si="10"/>
        <v>380.9333333</v>
      </c>
      <c r="K580" s="19"/>
      <c r="L580" s="19">
        <f t="shared" si="11"/>
        <v>368.1833333</v>
      </c>
      <c r="M580" s="19">
        <f t="shared" si="12"/>
        <v>389.7166667</v>
      </c>
      <c r="N580" s="19">
        <f t="shared" si="13"/>
        <v>364.2166667</v>
      </c>
    </row>
    <row r="581" ht="24.75" customHeight="1">
      <c r="A581" s="21" t="s">
        <v>544</v>
      </c>
      <c r="B581" s="13" t="str">
        <f>IFERROR(__xludf.DUMMYFUNCTION("GOOGLEFINANCE(A581,""PRICE"")"),"#N/A")</f>
        <v>#N/A</v>
      </c>
      <c r="C581" s="14" t="str">
        <f>IFERROR(__xludf.DUMMYFUNCTION("GOOGLEFINANCE(A581,""PRICEOPEN"")"),"#N/A")</f>
        <v>#N/A</v>
      </c>
      <c r="D581" s="14" t="str">
        <f>IFERROR(__xludf.DUMMYFUNCTION("GOOGLEFINANCE(A581,""HIGH"")"),"#N/A")</f>
        <v>#N/A</v>
      </c>
      <c r="E581" s="14" t="str">
        <f>IFERROR(__xludf.DUMMYFUNCTION("GOOGLEFINANCE(A581,""LOW"")"),"#N/A")</f>
        <v>#N/A</v>
      </c>
      <c r="F581" s="15" t="str">
        <f t="shared" si="8"/>
        <v>#N/A</v>
      </c>
      <c r="G581" s="16" t="str">
        <f>IFERROR(__xludf.DUMMYFUNCTION("GOOGLEFINANCE(A581,""CLOSEYEST"")"),"#N/A")</f>
        <v>#N/A</v>
      </c>
      <c r="H581" s="17" t="str">
        <f t="shared" si="14"/>
        <v>#N/A</v>
      </c>
      <c r="I581" s="18" t="str">
        <f t="shared" si="9"/>
        <v>#N/A</v>
      </c>
      <c r="J581" s="19" t="str">
        <f t="shared" si="10"/>
        <v>#N/A</v>
      </c>
      <c r="K581" s="19"/>
      <c r="L581" s="19" t="str">
        <f t="shared" si="11"/>
        <v>#N/A</v>
      </c>
      <c r="M581" s="19" t="str">
        <f t="shared" si="12"/>
        <v>#N/A</v>
      </c>
      <c r="N581" s="19" t="str">
        <f t="shared" si="13"/>
        <v>#N/A</v>
      </c>
    </row>
    <row r="582" ht="24.75" customHeight="1">
      <c r="A582" s="21" t="s">
        <v>545</v>
      </c>
      <c r="B582" s="13">
        <f>IFERROR(__xludf.DUMMYFUNCTION("GOOGLEFINANCE(A582,""PRICE"")"),368.0)</f>
        <v>368</v>
      </c>
      <c r="C582" s="14">
        <f>IFERROR(__xludf.DUMMYFUNCTION("GOOGLEFINANCE(A582,""PRICEOPEN"")"),363.8)</f>
        <v>363.8</v>
      </c>
      <c r="D582" s="14">
        <f>IFERROR(__xludf.DUMMYFUNCTION("GOOGLEFINANCE(A582,""HIGH"")"),375.0)</f>
        <v>375</v>
      </c>
      <c r="E582" s="14">
        <f>IFERROR(__xludf.DUMMYFUNCTION("GOOGLEFINANCE(A582,""LOW"")"),360.7)</f>
        <v>360.7</v>
      </c>
      <c r="F582" s="15" t="str">
        <f t="shared" si="8"/>
        <v/>
      </c>
      <c r="G582" s="16">
        <f>IFERROR(__xludf.DUMMYFUNCTION("GOOGLEFINANCE(A582,""CLOSEYEST"")"),361.1)</f>
        <v>361.1</v>
      </c>
      <c r="H582" s="17" t="str">
        <f t="shared" si="14"/>
        <v/>
      </c>
      <c r="I582" s="18">
        <f t="shared" si="9"/>
        <v>365.6</v>
      </c>
      <c r="J582" s="19">
        <f t="shared" si="10"/>
        <v>370.5</v>
      </c>
      <c r="K582" s="19"/>
      <c r="L582" s="19">
        <f t="shared" si="11"/>
        <v>356.2</v>
      </c>
      <c r="M582" s="19">
        <f t="shared" si="12"/>
        <v>379.9</v>
      </c>
      <c r="N582" s="19">
        <f t="shared" si="13"/>
        <v>351.3</v>
      </c>
    </row>
    <row r="583" ht="24.75" customHeight="1">
      <c r="A583" s="21" t="s">
        <v>546</v>
      </c>
      <c r="B583" s="13" t="str">
        <f>IFERROR(__xludf.DUMMYFUNCTION("GOOGLEFINANCE(A583,""PRICE"")"),"#N/A")</f>
        <v>#N/A</v>
      </c>
      <c r="C583" s="14" t="str">
        <f>IFERROR(__xludf.DUMMYFUNCTION("GOOGLEFINANCE(A583,""PRICEOPEN"")"),"#N/A")</f>
        <v>#N/A</v>
      </c>
      <c r="D583" s="14" t="str">
        <f>IFERROR(__xludf.DUMMYFUNCTION("GOOGLEFINANCE(A583,""HIGH"")"),"#N/A")</f>
        <v>#N/A</v>
      </c>
      <c r="E583" s="14" t="str">
        <f>IFERROR(__xludf.DUMMYFUNCTION("GOOGLEFINANCE(A583,""LOW"")"),"#N/A")</f>
        <v>#N/A</v>
      </c>
      <c r="F583" s="15" t="str">
        <f t="shared" si="8"/>
        <v>#N/A</v>
      </c>
      <c r="G583" s="16" t="str">
        <f>IFERROR(__xludf.DUMMYFUNCTION("GOOGLEFINANCE(A583,""CLOSEYEST"")"),"#N/A")</f>
        <v>#N/A</v>
      </c>
      <c r="H583" s="17" t="str">
        <f t="shared" si="14"/>
        <v>#N/A</v>
      </c>
      <c r="I583" s="18" t="str">
        <f t="shared" si="9"/>
        <v>#N/A</v>
      </c>
      <c r="J583" s="19" t="str">
        <f t="shared" si="10"/>
        <v>#N/A</v>
      </c>
      <c r="K583" s="19"/>
      <c r="L583" s="19" t="str">
        <f t="shared" si="11"/>
        <v>#N/A</v>
      </c>
      <c r="M583" s="19" t="str">
        <f t="shared" si="12"/>
        <v>#N/A</v>
      </c>
      <c r="N583" s="19" t="str">
        <f t="shared" si="13"/>
        <v>#N/A</v>
      </c>
    </row>
    <row r="584" ht="24.75" customHeight="1">
      <c r="A584" s="21" t="s">
        <v>547</v>
      </c>
      <c r="B584" s="13">
        <f>IFERROR(__xludf.DUMMYFUNCTION("GOOGLEFINANCE(A584,""PRICE"")"),389.5)</f>
        <v>389.5</v>
      </c>
      <c r="C584" s="14">
        <f>IFERROR(__xludf.DUMMYFUNCTION("GOOGLEFINANCE(A584,""PRICEOPEN"")"),368.45)</f>
        <v>368.45</v>
      </c>
      <c r="D584" s="14">
        <f>IFERROR(__xludf.DUMMYFUNCTION("GOOGLEFINANCE(A584,""HIGH"")"),395.7)</f>
        <v>395.7</v>
      </c>
      <c r="E584" s="14">
        <f>IFERROR(__xludf.DUMMYFUNCTION("GOOGLEFINANCE(A584,""LOW"")"),365.8)</f>
        <v>365.8</v>
      </c>
      <c r="F584" s="15" t="str">
        <f t="shared" si="8"/>
        <v/>
      </c>
      <c r="G584" s="16">
        <f>IFERROR(__xludf.DUMMYFUNCTION("GOOGLEFINANCE(A584,""CLOSEYEST"")"),368.4)</f>
        <v>368.4</v>
      </c>
      <c r="H584" s="17" t="str">
        <f t="shared" si="14"/>
        <v/>
      </c>
      <c r="I584" s="18">
        <f t="shared" si="9"/>
        <v>376.6333333</v>
      </c>
      <c r="J584" s="19">
        <f t="shared" si="10"/>
        <v>387.4666667</v>
      </c>
      <c r="K584" s="19"/>
      <c r="L584" s="19">
        <f t="shared" si="11"/>
        <v>357.5666667</v>
      </c>
      <c r="M584" s="19">
        <f t="shared" si="12"/>
        <v>406.5333333</v>
      </c>
      <c r="N584" s="19">
        <f t="shared" si="13"/>
        <v>346.7333333</v>
      </c>
    </row>
    <row r="585" ht="24.75" customHeight="1">
      <c r="A585" s="21" t="s">
        <v>548</v>
      </c>
      <c r="B585" s="13" t="str">
        <f>IFERROR(__xludf.DUMMYFUNCTION("GOOGLEFINANCE(A585,""PRICE"")"),"#N/A")</f>
        <v>#N/A</v>
      </c>
      <c r="C585" s="14" t="str">
        <f>IFERROR(__xludf.DUMMYFUNCTION("GOOGLEFINANCE(A585,""PRICEOPEN"")"),"#N/A")</f>
        <v>#N/A</v>
      </c>
      <c r="D585" s="14" t="str">
        <f>IFERROR(__xludf.DUMMYFUNCTION("GOOGLEFINANCE(A585,""HIGH"")"),"#N/A")</f>
        <v>#N/A</v>
      </c>
      <c r="E585" s="14" t="str">
        <f>IFERROR(__xludf.DUMMYFUNCTION("GOOGLEFINANCE(A585,""LOW"")"),"#N/A")</f>
        <v>#N/A</v>
      </c>
      <c r="F585" s="15" t="str">
        <f t="shared" si="8"/>
        <v>#N/A</v>
      </c>
      <c r="G585" s="16" t="str">
        <f>IFERROR(__xludf.DUMMYFUNCTION("GOOGLEFINANCE(A585,""CLOSEYEST"")"),"#N/A")</f>
        <v>#N/A</v>
      </c>
      <c r="H585" s="17" t="str">
        <f t="shared" si="14"/>
        <v>#N/A</v>
      </c>
      <c r="I585" s="18" t="str">
        <f t="shared" si="9"/>
        <v>#N/A</v>
      </c>
      <c r="J585" s="19" t="str">
        <f t="shared" si="10"/>
        <v>#N/A</v>
      </c>
      <c r="K585" s="19"/>
      <c r="L585" s="19" t="str">
        <f t="shared" si="11"/>
        <v>#N/A</v>
      </c>
      <c r="M585" s="19" t="str">
        <f t="shared" si="12"/>
        <v>#N/A</v>
      </c>
      <c r="N585" s="19" t="str">
        <f t="shared" si="13"/>
        <v>#N/A</v>
      </c>
    </row>
    <row r="586" ht="24.75" customHeight="1">
      <c r="A586" s="21" t="s">
        <v>549</v>
      </c>
      <c r="B586" s="13">
        <f>IFERROR(__xludf.DUMMYFUNCTION("GOOGLEFINANCE(A586,""PRICE"")"),1300.7)</f>
        <v>1300.7</v>
      </c>
      <c r="C586" s="14">
        <f>IFERROR(__xludf.DUMMYFUNCTION("GOOGLEFINANCE(A586,""PRICEOPEN"")"),1324.9)</f>
        <v>1324.9</v>
      </c>
      <c r="D586" s="14">
        <f>IFERROR(__xludf.DUMMYFUNCTION("GOOGLEFINANCE(A586,""HIGH"")"),1324.9)</f>
        <v>1324.9</v>
      </c>
      <c r="E586" s="14">
        <f>IFERROR(__xludf.DUMMYFUNCTION("GOOGLEFINANCE(A586,""LOW"")"),1283.0)</f>
        <v>1283</v>
      </c>
      <c r="F586" s="15" t="str">
        <f t="shared" si="8"/>
        <v>SELL</v>
      </c>
      <c r="G586" s="16">
        <f>IFERROR(__xludf.DUMMYFUNCTION("GOOGLEFINANCE(A586,""CLOSEYEST"")"),1314.4)</f>
        <v>1314.4</v>
      </c>
      <c r="H586" s="17" t="str">
        <f t="shared" si="14"/>
        <v/>
      </c>
      <c r="I586" s="18">
        <f t="shared" si="9"/>
        <v>1307.433333</v>
      </c>
      <c r="J586" s="19">
        <f t="shared" si="10"/>
        <v>1331.866667</v>
      </c>
      <c r="K586" s="19"/>
      <c r="L586" s="19">
        <f t="shared" si="11"/>
        <v>1289.966667</v>
      </c>
      <c r="M586" s="19">
        <f t="shared" si="12"/>
        <v>1349.333333</v>
      </c>
      <c r="N586" s="19">
        <f t="shared" si="13"/>
        <v>1265.533333</v>
      </c>
    </row>
    <row r="587" ht="24.75" customHeight="1">
      <c r="A587" s="21" t="s">
        <v>550</v>
      </c>
      <c r="B587" s="13">
        <f>IFERROR(__xludf.DUMMYFUNCTION("GOOGLEFINANCE(A587,""PRICE"")"),252.4)</f>
        <v>252.4</v>
      </c>
      <c r="C587" s="14">
        <f>IFERROR(__xludf.DUMMYFUNCTION("GOOGLEFINANCE(A587,""PRICEOPEN"")"),252.2)</f>
        <v>252.2</v>
      </c>
      <c r="D587" s="14">
        <f>IFERROR(__xludf.DUMMYFUNCTION("GOOGLEFINANCE(A587,""HIGH"")"),255.65)</f>
        <v>255.65</v>
      </c>
      <c r="E587" s="14">
        <f>IFERROR(__xludf.DUMMYFUNCTION("GOOGLEFINANCE(A587,""LOW"")"),250.05)</f>
        <v>250.05</v>
      </c>
      <c r="F587" s="15" t="str">
        <f t="shared" si="8"/>
        <v/>
      </c>
      <c r="G587" s="16">
        <f>IFERROR(__xludf.DUMMYFUNCTION("GOOGLEFINANCE(A587,""CLOSEYEST"")"),252.8)</f>
        <v>252.8</v>
      </c>
      <c r="H587" s="17" t="str">
        <f t="shared" si="14"/>
        <v/>
      </c>
      <c r="I587" s="18">
        <f t="shared" si="9"/>
        <v>252.8333333</v>
      </c>
      <c r="J587" s="19">
        <f t="shared" si="10"/>
        <v>255.6166667</v>
      </c>
      <c r="K587" s="19"/>
      <c r="L587" s="19">
        <f t="shared" si="11"/>
        <v>250.0166667</v>
      </c>
      <c r="M587" s="19">
        <f t="shared" si="12"/>
        <v>258.4333333</v>
      </c>
      <c r="N587" s="19">
        <f t="shared" si="13"/>
        <v>247.2333333</v>
      </c>
    </row>
    <row r="588" ht="24.75" customHeight="1">
      <c r="A588" s="21" t="s">
        <v>551</v>
      </c>
      <c r="B588" s="13">
        <f>IFERROR(__xludf.DUMMYFUNCTION("GOOGLEFINANCE(A588,""PRICE"")"),0.2)</f>
        <v>0.2</v>
      </c>
      <c r="C588" s="14" t="str">
        <f>IFERROR(__xludf.DUMMYFUNCTION("GOOGLEFINANCE(A588,""PRICEOPEN"")"),"#N/A")</f>
        <v>#N/A</v>
      </c>
      <c r="D588" s="14" t="str">
        <f>IFERROR(__xludf.DUMMYFUNCTION("GOOGLEFINANCE(A588,""HIGH"")"),"#N/A")</f>
        <v>#N/A</v>
      </c>
      <c r="E588" s="14" t="str">
        <f>IFERROR(__xludf.DUMMYFUNCTION("GOOGLEFINANCE(A588,""LOW"")"),"#N/A")</f>
        <v>#N/A</v>
      </c>
      <c r="F588" s="15" t="str">
        <f t="shared" si="8"/>
        <v>#N/A</v>
      </c>
      <c r="G588" s="16">
        <f>IFERROR(__xludf.DUMMYFUNCTION("GOOGLEFINANCE(A588,""CLOSEYEST"")"),0.2)</f>
        <v>0.2</v>
      </c>
      <c r="H588" s="17" t="str">
        <f t="shared" si="14"/>
        <v>#N/A</v>
      </c>
      <c r="I588" s="18" t="str">
        <f t="shared" si="9"/>
        <v>#N/A</v>
      </c>
      <c r="J588" s="19" t="str">
        <f t="shared" si="10"/>
        <v>#N/A</v>
      </c>
      <c r="K588" s="19"/>
      <c r="L588" s="19" t="str">
        <f t="shared" si="11"/>
        <v>#N/A</v>
      </c>
      <c r="M588" s="19" t="str">
        <f t="shared" si="12"/>
        <v>#N/A</v>
      </c>
      <c r="N588" s="19" t="str">
        <f t="shared" si="13"/>
        <v>#N/A</v>
      </c>
    </row>
    <row r="589" ht="24.75" customHeight="1">
      <c r="A589" s="21" t="s">
        <v>552</v>
      </c>
      <c r="B589" s="13">
        <f>IFERROR(__xludf.DUMMYFUNCTION("GOOGLEFINANCE(A589,""PRICE"")"),4160.0)</f>
        <v>4160</v>
      </c>
      <c r="C589" s="14">
        <f>IFERROR(__xludf.DUMMYFUNCTION("GOOGLEFINANCE(A589,""PRICEOPEN"")"),4127.4)</f>
        <v>4127.4</v>
      </c>
      <c r="D589" s="14">
        <f>IFERROR(__xludf.DUMMYFUNCTION("GOOGLEFINANCE(A589,""HIGH"")"),4162.4)</f>
        <v>4162.4</v>
      </c>
      <c r="E589" s="14">
        <f>IFERROR(__xludf.DUMMYFUNCTION("GOOGLEFINANCE(A589,""LOW"")"),4063.6)</f>
        <v>4063.6</v>
      </c>
      <c r="F589" s="15" t="str">
        <f t="shared" si="8"/>
        <v/>
      </c>
      <c r="G589" s="16">
        <f>IFERROR(__xludf.DUMMYFUNCTION("GOOGLEFINANCE(A589,""CLOSEYEST"")"),4127.4)</f>
        <v>4127.4</v>
      </c>
      <c r="H589" s="17" t="str">
        <f t="shared" si="14"/>
        <v/>
      </c>
      <c r="I589" s="18">
        <f t="shared" si="9"/>
        <v>4117.8</v>
      </c>
      <c r="J589" s="19">
        <f t="shared" si="10"/>
        <v>4172</v>
      </c>
      <c r="K589" s="19"/>
      <c r="L589" s="19">
        <f t="shared" si="11"/>
        <v>4073.2</v>
      </c>
      <c r="M589" s="19">
        <f t="shared" si="12"/>
        <v>4216.6</v>
      </c>
      <c r="N589" s="19">
        <f t="shared" si="13"/>
        <v>4019</v>
      </c>
    </row>
    <row r="590" ht="24.75" customHeight="1">
      <c r="A590" s="21" t="s">
        <v>553</v>
      </c>
      <c r="B590" s="13">
        <f>IFERROR(__xludf.DUMMYFUNCTION("GOOGLEFINANCE(A590,""PRICE"")"),353.0)</f>
        <v>353</v>
      </c>
      <c r="C590" s="14">
        <f>IFERROR(__xludf.DUMMYFUNCTION("GOOGLEFINANCE(A590,""PRICEOPEN"")"),349.1)</f>
        <v>349.1</v>
      </c>
      <c r="D590" s="14">
        <f>IFERROR(__xludf.DUMMYFUNCTION("GOOGLEFINANCE(A590,""HIGH"")"),353.7)</f>
        <v>353.7</v>
      </c>
      <c r="E590" s="14">
        <f>IFERROR(__xludf.DUMMYFUNCTION("GOOGLEFINANCE(A590,""LOW"")"),346.75)</f>
        <v>346.75</v>
      </c>
      <c r="F590" s="15" t="str">
        <f t="shared" si="8"/>
        <v/>
      </c>
      <c r="G590" s="16">
        <f>IFERROR(__xludf.DUMMYFUNCTION("GOOGLEFINANCE(A590,""CLOSEYEST"")"),348.35)</f>
        <v>348.35</v>
      </c>
      <c r="H590" s="17" t="str">
        <f t="shared" si="14"/>
        <v/>
      </c>
      <c r="I590" s="18">
        <f t="shared" si="9"/>
        <v>349.6</v>
      </c>
      <c r="J590" s="19">
        <f t="shared" si="10"/>
        <v>352.45</v>
      </c>
      <c r="K590" s="19"/>
      <c r="L590" s="19">
        <f t="shared" si="11"/>
        <v>345.5</v>
      </c>
      <c r="M590" s="19">
        <f t="shared" si="12"/>
        <v>356.55</v>
      </c>
      <c r="N590" s="19">
        <f t="shared" si="13"/>
        <v>342.65</v>
      </c>
    </row>
    <row r="591" ht="24.75" customHeight="1">
      <c r="A591" s="21" t="s">
        <v>554</v>
      </c>
      <c r="B591" s="13">
        <f>IFERROR(__xludf.DUMMYFUNCTION("GOOGLEFINANCE(A591,""PRICE"")"),14.25)</f>
        <v>14.25</v>
      </c>
      <c r="C591" s="14">
        <f>IFERROR(__xludf.DUMMYFUNCTION("GOOGLEFINANCE(A591,""PRICEOPEN"")"),14.04)</f>
        <v>14.04</v>
      </c>
      <c r="D591" s="14">
        <f>IFERROR(__xludf.DUMMYFUNCTION("GOOGLEFINANCE(A591,""HIGH"")"),14.3)</f>
        <v>14.3</v>
      </c>
      <c r="E591" s="14">
        <f>IFERROR(__xludf.DUMMYFUNCTION("GOOGLEFINANCE(A591,""LOW"")"),14.02)</f>
        <v>14.02</v>
      </c>
      <c r="F591" s="15" t="str">
        <f t="shared" si="8"/>
        <v/>
      </c>
      <c r="G591" s="16">
        <f>IFERROR(__xludf.DUMMYFUNCTION("GOOGLEFINANCE(A591,""CLOSEYEST"")"),14.03)</f>
        <v>14.03</v>
      </c>
      <c r="H591" s="17" t="str">
        <f t="shared" si="14"/>
        <v/>
      </c>
      <c r="I591" s="18">
        <f t="shared" si="9"/>
        <v>14.11666667</v>
      </c>
      <c r="J591" s="19">
        <f t="shared" si="10"/>
        <v>14.21333333</v>
      </c>
      <c r="K591" s="19"/>
      <c r="L591" s="19">
        <f t="shared" si="11"/>
        <v>13.93333333</v>
      </c>
      <c r="M591" s="19">
        <f t="shared" si="12"/>
        <v>14.39666667</v>
      </c>
      <c r="N591" s="19">
        <f t="shared" si="13"/>
        <v>13.83666667</v>
      </c>
    </row>
    <row r="592" ht="24.75" customHeight="1">
      <c r="A592" s="21" t="s">
        <v>555</v>
      </c>
      <c r="B592" s="13">
        <f>IFERROR(__xludf.DUMMYFUNCTION("GOOGLEFINANCE(A592,""PRICE"")"),1335.0)</f>
        <v>1335</v>
      </c>
      <c r="C592" s="14">
        <f>IFERROR(__xludf.DUMMYFUNCTION("GOOGLEFINANCE(A592,""PRICEOPEN"")"),1347.0)</f>
        <v>1347</v>
      </c>
      <c r="D592" s="14">
        <f>IFERROR(__xludf.DUMMYFUNCTION("GOOGLEFINANCE(A592,""HIGH"")"),1356.6)</f>
        <v>1356.6</v>
      </c>
      <c r="E592" s="14">
        <f>IFERROR(__xludf.DUMMYFUNCTION("GOOGLEFINANCE(A592,""LOW"")"),1322.0)</f>
        <v>1322</v>
      </c>
      <c r="F592" s="15" t="str">
        <f t="shared" si="8"/>
        <v/>
      </c>
      <c r="G592" s="16">
        <f>IFERROR(__xludf.DUMMYFUNCTION("GOOGLEFINANCE(A592,""CLOSEYEST"")"),1345.9)</f>
        <v>1345.9</v>
      </c>
      <c r="H592" s="17" t="str">
        <f t="shared" si="14"/>
        <v/>
      </c>
      <c r="I592" s="18">
        <f t="shared" si="9"/>
        <v>1341.5</v>
      </c>
      <c r="J592" s="19">
        <f t="shared" si="10"/>
        <v>1361</v>
      </c>
      <c r="K592" s="19"/>
      <c r="L592" s="19">
        <f t="shared" si="11"/>
        <v>1326.4</v>
      </c>
      <c r="M592" s="19">
        <f t="shared" si="12"/>
        <v>1376.1</v>
      </c>
      <c r="N592" s="19">
        <f t="shared" si="13"/>
        <v>1306.9</v>
      </c>
    </row>
    <row r="593" ht="24.75" customHeight="1">
      <c r="A593" s="21" t="s">
        <v>556</v>
      </c>
      <c r="B593" s="13">
        <f>IFERROR(__xludf.DUMMYFUNCTION("GOOGLEFINANCE(A593,""PRICE"")"),201.1)</f>
        <v>201.1</v>
      </c>
      <c r="C593" s="14">
        <f>IFERROR(__xludf.DUMMYFUNCTION("GOOGLEFINANCE(A593,""PRICEOPEN"")"),201.66)</f>
        <v>201.66</v>
      </c>
      <c r="D593" s="14">
        <f>IFERROR(__xludf.DUMMYFUNCTION("GOOGLEFINANCE(A593,""HIGH"")"),202.79)</f>
        <v>202.79</v>
      </c>
      <c r="E593" s="14">
        <f>IFERROR(__xludf.DUMMYFUNCTION("GOOGLEFINANCE(A593,""LOW"")"),199.01)</f>
        <v>199.01</v>
      </c>
      <c r="F593" s="15" t="str">
        <f t="shared" si="8"/>
        <v/>
      </c>
      <c r="G593" s="16">
        <f>IFERROR(__xludf.DUMMYFUNCTION("GOOGLEFINANCE(A593,""CLOSEYEST"")"),201.66)</f>
        <v>201.66</v>
      </c>
      <c r="H593" s="17" t="str">
        <f t="shared" si="14"/>
        <v/>
      </c>
      <c r="I593" s="18">
        <f t="shared" si="9"/>
        <v>201.1533333</v>
      </c>
      <c r="J593" s="19">
        <f t="shared" si="10"/>
        <v>203.2966667</v>
      </c>
      <c r="K593" s="19"/>
      <c r="L593" s="19">
        <f t="shared" si="11"/>
        <v>199.5166667</v>
      </c>
      <c r="M593" s="19">
        <f t="shared" si="12"/>
        <v>204.9333333</v>
      </c>
      <c r="N593" s="19">
        <f t="shared" si="13"/>
        <v>197.3733333</v>
      </c>
    </row>
    <row r="594" ht="24.75" customHeight="1">
      <c r="A594" s="21" t="s">
        <v>557</v>
      </c>
      <c r="B594" s="13">
        <f>IFERROR(__xludf.DUMMYFUNCTION("GOOGLEFINANCE(A594,""PRICE"")"),107.0)</f>
        <v>107</v>
      </c>
      <c r="C594" s="14">
        <f>IFERROR(__xludf.DUMMYFUNCTION("GOOGLEFINANCE(A594,""PRICEOPEN"")"),106.62)</f>
        <v>106.62</v>
      </c>
      <c r="D594" s="14">
        <f>IFERROR(__xludf.DUMMYFUNCTION("GOOGLEFINANCE(A594,""HIGH"")"),107.12)</f>
        <v>107.12</v>
      </c>
      <c r="E594" s="14">
        <f>IFERROR(__xludf.DUMMYFUNCTION("GOOGLEFINANCE(A594,""LOW"")"),105.35)</f>
        <v>105.35</v>
      </c>
      <c r="F594" s="15" t="str">
        <f t="shared" si="8"/>
        <v/>
      </c>
      <c r="G594" s="16">
        <f>IFERROR(__xludf.DUMMYFUNCTION("GOOGLEFINANCE(A594,""CLOSEYEST"")"),106.63)</f>
        <v>106.63</v>
      </c>
      <c r="H594" s="17" t="str">
        <f t="shared" si="14"/>
        <v/>
      </c>
      <c r="I594" s="18">
        <f t="shared" si="9"/>
        <v>106.3666667</v>
      </c>
      <c r="J594" s="19">
        <f t="shared" si="10"/>
        <v>107.3833333</v>
      </c>
      <c r="K594" s="19"/>
      <c r="L594" s="19">
        <f t="shared" si="11"/>
        <v>105.6133333</v>
      </c>
      <c r="M594" s="19">
        <f t="shared" si="12"/>
        <v>108.1366667</v>
      </c>
      <c r="N594" s="19">
        <f t="shared" si="13"/>
        <v>104.5966667</v>
      </c>
    </row>
    <row r="595" ht="24.75" customHeight="1">
      <c r="A595" s="21" t="s">
        <v>558</v>
      </c>
      <c r="B595" s="13">
        <f>IFERROR(__xludf.DUMMYFUNCTION("GOOGLEFINANCE(A595,""PRICE"")"),207.1)</f>
        <v>207.1</v>
      </c>
      <c r="C595" s="14">
        <f>IFERROR(__xludf.DUMMYFUNCTION("GOOGLEFINANCE(A595,""PRICEOPEN"")"),205.34)</f>
        <v>205.34</v>
      </c>
      <c r="D595" s="14">
        <f>IFERROR(__xludf.DUMMYFUNCTION("GOOGLEFINANCE(A595,""HIGH"")"),209.9)</f>
        <v>209.9</v>
      </c>
      <c r="E595" s="14">
        <f>IFERROR(__xludf.DUMMYFUNCTION("GOOGLEFINANCE(A595,""LOW"")"),203.51)</f>
        <v>203.51</v>
      </c>
      <c r="F595" s="15" t="str">
        <f t="shared" si="8"/>
        <v/>
      </c>
      <c r="G595" s="16">
        <f>IFERROR(__xludf.DUMMYFUNCTION("GOOGLEFINANCE(A595,""CLOSEYEST"")"),205.34)</f>
        <v>205.34</v>
      </c>
      <c r="H595" s="17" t="str">
        <f t="shared" si="14"/>
        <v/>
      </c>
      <c r="I595" s="18">
        <f t="shared" si="9"/>
        <v>206.25</v>
      </c>
      <c r="J595" s="19">
        <f t="shared" si="10"/>
        <v>208.99</v>
      </c>
      <c r="K595" s="19"/>
      <c r="L595" s="19">
        <f t="shared" si="11"/>
        <v>202.6</v>
      </c>
      <c r="M595" s="19">
        <f t="shared" si="12"/>
        <v>212.64</v>
      </c>
      <c r="N595" s="19">
        <f t="shared" si="13"/>
        <v>199.86</v>
      </c>
    </row>
    <row r="596" ht="24.75" customHeight="1">
      <c r="A596" s="21" t="s">
        <v>559</v>
      </c>
      <c r="B596" s="13">
        <f>IFERROR(__xludf.DUMMYFUNCTION("GOOGLEFINANCE(A596,""PRICE"")"),1400.1)</f>
        <v>1400.1</v>
      </c>
      <c r="C596" s="14">
        <f>IFERROR(__xludf.DUMMYFUNCTION("GOOGLEFINANCE(A596,""PRICEOPEN"")"),1408.9)</f>
        <v>1408.9</v>
      </c>
      <c r="D596" s="14">
        <f>IFERROR(__xludf.DUMMYFUNCTION("GOOGLEFINANCE(A596,""HIGH"")"),1409.3)</f>
        <v>1409.3</v>
      </c>
      <c r="E596" s="14">
        <f>IFERROR(__xludf.DUMMYFUNCTION("GOOGLEFINANCE(A596,""LOW"")"),1391.9)</f>
        <v>1391.9</v>
      </c>
      <c r="F596" s="15" t="str">
        <f t="shared" si="8"/>
        <v/>
      </c>
      <c r="G596" s="16">
        <f>IFERROR(__xludf.DUMMYFUNCTION("GOOGLEFINANCE(A596,""CLOSEYEST"")"),1402.3)</f>
        <v>1402.3</v>
      </c>
      <c r="H596" s="17" t="str">
        <f t="shared" si="14"/>
        <v/>
      </c>
      <c r="I596" s="18">
        <f t="shared" si="9"/>
        <v>1401.166667</v>
      </c>
      <c r="J596" s="19">
        <f t="shared" si="10"/>
        <v>1410.433333</v>
      </c>
      <c r="K596" s="19"/>
      <c r="L596" s="19">
        <f t="shared" si="11"/>
        <v>1393.033333</v>
      </c>
      <c r="M596" s="19">
        <f t="shared" si="12"/>
        <v>1418.566667</v>
      </c>
      <c r="N596" s="19">
        <f t="shared" si="13"/>
        <v>1383.766667</v>
      </c>
    </row>
    <row r="597" ht="24.75" customHeight="1">
      <c r="A597" s="21" t="s">
        <v>560</v>
      </c>
      <c r="B597" s="13">
        <f>IFERROR(__xludf.DUMMYFUNCTION("GOOGLEFINANCE(A597,""PRICE"")"),2830.0)</f>
        <v>2830</v>
      </c>
      <c r="C597" s="14">
        <f>IFERROR(__xludf.DUMMYFUNCTION("GOOGLEFINANCE(A597,""PRICEOPEN"")"),2644.1)</f>
        <v>2644.1</v>
      </c>
      <c r="D597" s="14">
        <f>IFERROR(__xludf.DUMMYFUNCTION("GOOGLEFINANCE(A597,""HIGH"")"),2873.9)</f>
        <v>2873.9</v>
      </c>
      <c r="E597" s="14">
        <f>IFERROR(__xludf.DUMMYFUNCTION("GOOGLEFINANCE(A597,""LOW"")"),2632.0)</f>
        <v>2632</v>
      </c>
      <c r="F597" s="15" t="str">
        <f t="shared" si="8"/>
        <v/>
      </c>
      <c r="G597" s="16">
        <f>IFERROR(__xludf.DUMMYFUNCTION("GOOGLEFINANCE(A597,""CLOSEYEST"")"),2630.9)</f>
        <v>2630.9</v>
      </c>
      <c r="H597" s="17" t="str">
        <f t="shared" si="14"/>
        <v/>
      </c>
      <c r="I597" s="18">
        <f t="shared" si="9"/>
        <v>2712.266667</v>
      </c>
      <c r="J597" s="19">
        <f t="shared" si="10"/>
        <v>2792.533333</v>
      </c>
      <c r="K597" s="19"/>
      <c r="L597" s="19">
        <f t="shared" si="11"/>
        <v>2550.633333</v>
      </c>
      <c r="M597" s="19">
        <f t="shared" si="12"/>
        <v>2954.166667</v>
      </c>
      <c r="N597" s="19">
        <f t="shared" si="13"/>
        <v>2470.366667</v>
      </c>
    </row>
    <row r="598" ht="24.75" customHeight="1">
      <c r="A598" s="21" t="s">
        <v>561</v>
      </c>
      <c r="B598" s="13">
        <f>IFERROR(__xludf.DUMMYFUNCTION("GOOGLEFINANCE(A598,""PRICE"")"),291.15)</f>
        <v>291.15</v>
      </c>
      <c r="C598" s="14">
        <f>IFERROR(__xludf.DUMMYFUNCTION("GOOGLEFINANCE(A598,""PRICEOPEN"")"),291.6)</f>
        <v>291.6</v>
      </c>
      <c r="D598" s="14">
        <f>IFERROR(__xludf.DUMMYFUNCTION("GOOGLEFINANCE(A598,""HIGH"")"),292.35)</f>
        <v>292.35</v>
      </c>
      <c r="E598" s="14">
        <f>IFERROR(__xludf.DUMMYFUNCTION("GOOGLEFINANCE(A598,""LOW"")"),289.05)</f>
        <v>289.05</v>
      </c>
      <c r="F598" s="15" t="str">
        <f t="shared" si="8"/>
        <v/>
      </c>
      <c r="G598" s="16">
        <f>IFERROR(__xludf.DUMMYFUNCTION("GOOGLEFINANCE(A598,""CLOSEYEST"")"),290.15)</f>
        <v>290.15</v>
      </c>
      <c r="H598" s="17" t="str">
        <f t="shared" si="14"/>
        <v/>
      </c>
      <c r="I598" s="18">
        <f t="shared" si="9"/>
        <v>290.5166667</v>
      </c>
      <c r="J598" s="19">
        <f t="shared" si="10"/>
        <v>291.9833333</v>
      </c>
      <c r="K598" s="19"/>
      <c r="L598" s="19">
        <f t="shared" si="11"/>
        <v>288.6833333</v>
      </c>
      <c r="M598" s="19">
        <f t="shared" si="12"/>
        <v>293.8166667</v>
      </c>
      <c r="N598" s="19">
        <f t="shared" si="13"/>
        <v>287.2166667</v>
      </c>
    </row>
    <row r="599" ht="24.75" customHeight="1">
      <c r="A599" s="21" t="s">
        <v>562</v>
      </c>
      <c r="B599" s="13">
        <f>IFERROR(__xludf.DUMMYFUNCTION("GOOGLEFINANCE(A599,""PRICE"")"),173.4)</f>
        <v>173.4</v>
      </c>
      <c r="C599" s="14">
        <f>IFERROR(__xludf.DUMMYFUNCTION("GOOGLEFINANCE(A599,""PRICEOPEN"")"),168.4)</f>
        <v>168.4</v>
      </c>
      <c r="D599" s="14">
        <f>IFERROR(__xludf.DUMMYFUNCTION("GOOGLEFINANCE(A599,""HIGH"")"),173.68)</f>
        <v>173.68</v>
      </c>
      <c r="E599" s="14">
        <f>IFERROR(__xludf.DUMMYFUNCTION("GOOGLEFINANCE(A599,""LOW"")"),167.0)</f>
        <v>167</v>
      </c>
      <c r="F599" s="15" t="str">
        <f t="shared" si="8"/>
        <v/>
      </c>
      <c r="G599" s="16">
        <f>IFERROR(__xludf.DUMMYFUNCTION("GOOGLEFINANCE(A599,""CLOSEYEST"")"),166.28)</f>
        <v>166.28</v>
      </c>
      <c r="H599" s="17" t="str">
        <f t="shared" si="14"/>
        <v>GAP UP</v>
      </c>
      <c r="I599" s="18">
        <f t="shared" si="9"/>
        <v>168.9866667</v>
      </c>
      <c r="J599" s="19">
        <f t="shared" si="10"/>
        <v>170.9733333</v>
      </c>
      <c r="K599" s="19"/>
      <c r="L599" s="19">
        <f t="shared" si="11"/>
        <v>164.2933333</v>
      </c>
      <c r="M599" s="19">
        <f t="shared" si="12"/>
        <v>175.6666667</v>
      </c>
      <c r="N599" s="19">
        <f t="shared" si="13"/>
        <v>162.3066667</v>
      </c>
    </row>
    <row r="600" ht="24.75" customHeight="1">
      <c r="A600" s="21" t="s">
        <v>563</v>
      </c>
      <c r="B600" s="13">
        <f>IFERROR(__xludf.DUMMYFUNCTION("GOOGLEFINANCE(A600,""PRICE"")"),537.05)</f>
        <v>537.05</v>
      </c>
      <c r="C600" s="14">
        <f>IFERROR(__xludf.DUMMYFUNCTION("GOOGLEFINANCE(A600,""PRICEOPEN"")"),532.5)</f>
        <v>532.5</v>
      </c>
      <c r="D600" s="14">
        <f>IFERROR(__xludf.DUMMYFUNCTION("GOOGLEFINANCE(A600,""HIGH"")"),543.6)</f>
        <v>543.6</v>
      </c>
      <c r="E600" s="14">
        <f>IFERROR(__xludf.DUMMYFUNCTION("GOOGLEFINANCE(A600,""LOW"")"),524.1)</f>
        <v>524.1</v>
      </c>
      <c r="F600" s="15" t="str">
        <f t="shared" si="8"/>
        <v/>
      </c>
      <c r="G600" s="16">
        <f>IFERROR(__xludf.DUMMYFUNCTION("GOOGLEFINANCE(A600,""CLOSEYEST"")"),530.4)</f>
        <v>530.4</v>
      </c>
      <c r="H600" s="17" t="str">
        <f t="shared" si="14"/>
        <v/>
      </c>
      <c r="I600" s="18">
        <f t="shared" si="9"/>
        <v>532.7</v>
      </c>
      <c r="J600" s="19">
        <f t="shared" si="10"/>
        <v>541.3</v>
      </c>
      <c r="K600" s="19"/>
      <c r="L600" s="19">
        <f t="shared" si="11"/>
        <v>521.8</v>
      </c>
      <c r="M600" s="19">
        <f t="shared" si="12"/>
        <v>552.2</v>
      </c>
      <c r="N600" s="19">
        <f t="shared" si="13"/>
        <v>513.2</v>
      </c>
    </row>
    <row r="601" ht="24.75" customHeight="1">
      <c r="A601" s="21" t="s">
        <v>564</v>
      </c>
      <c r="B601" s="13">
        <f>IFERROR(__xludf.DUMMYFUNCTION("GOOGLEFINANCE(A601,""PRICE"")"),184.2)</f>
        <v>184.2</v>
      </c>
      <c r="C601" s="14">
        <f>IFERROR(__xludf.DUMMYFUNCTION("GOOGLEFINANCE(A601,""PRICEOPEN"")"),184.25)</f>
        <v>184.25</v>
      </c>
      <c r="D601" s="14">
        <f>IFERROR(__xludf.DUMMYFUNCTION("GOOGLEFINANCE(A601,""HIGH"")"),190.69)</f>
        <v>190.69</v>
      </c>
      <c r="E601" s="14">
        <f>IFERROR(__xludf.DUMMYFUNCTION("GOOGLEFINANCE(A601,""LOW"")"),180.1)</f>
        <v>180.1</v>
      </c>
      <c r="F601" s="15" t="str">
        <f t="shared" si="8"/>
        <v/>
      </c>
      <c r="G601" s="16">
        <f>IFERROR(__xludf.DUMMYFUNCTION("GOOGLEFINANCE(A601,""CLOSEYEST"")"),182.86)</f>
        <v>182.86</v>
      </c>
      <c r="H601" s="17" t="str">
        <f t="shared" si="14"/>
        <v/>
      </c>
      <c r="I601" s="18">
        <f t="shared" si="9"/>
        <v>184.55</v>
      </c>
      <c r="J601" s="19">
        <f t="shared" si="10"/>
        <v>189</v>
      </c>
      <c r="K601" s="19"/>
      <c r="L601" s="19">
        <f t="shared" si="11"/>
        <v>178.41</v>
      </c>
      <c r="M601" s="19">
        <f t="shared" si="12"/>
        <v>195.14</v>
      </c>
      <c r="N601" s="19">
        <f t="shared" si="13"/>
        <v>173.96</v>
      </c>
    </row>
    <row r="602" ht="24.75" customHeight="1">
      <c r="A602" s="21" t="s">
        <v>565</v>
      </c>
      <c r="B602" s="13">
        <f>IFERROR(__xludf.DUMMYFUNCTION("GOOGLEFINANCE(A602,""PRICE"")"),464.9)</f>
        <v>464.9</v>
      </c>
      <c r="C602" s="14">
        <f>IFERROR(__xludf.DUMMYFUNCTION("GOOGLEFINANCE(A602,""PRICEOPEN"")"),460.0)</f>
        <v>460</v>
      </c>
      <c r="D602" s="14">
        <f>IFERROR(__xludf.DUMMYFUNCTION("GOOGLEFINANCE(A602,""HIGH"")"),464.9)</f>
        <v>464.9</v>
      </c>
      <c r="E602" s="14">
        <f>IFERROR(__xludf.DUMMYFUNCTION("GOOGLEFINANCE(A602,""LOW"")"),454.55)</f>
        <v>454.55</v>
      </c>
      <c r="F602" s="15" t="str">
        <f t="shared" si="8"/>
        <v/>
      </c>
      <c r="G602" s="16">
        <f>IFERROR(__xludf.DUMMYFUNCTION("GOOGLEFINANCE(A602,""CLOSEYEST"")"),457.95)</f>
        <v>457.95</v>
      </c>
      <c r="H602" s="17" t="str">
        <f t="shared" si="14"/>
        <v/>
      </c>
      <c r="I602" s="18">
        <f t="shared" si="9"/>
        <v>459.1333333</v>
      </c>
      <c r="J602" s="19">
        <f t="shared" si="10"/>
        <v>463.7166667</v>
      </c>
      <c r="K602" s="19"/>
      <c r="L602" s="19">
        <f t="shared" si="11"/>
        <v>453.3666667</v>
      </c>
      <c r="M602" s="19">
        <f t="shared" si="12"/>
        <v>469.4833333</v>
      </c>
      <c r="N602" s="19">
        <f t="shared" si="13"/>
        <v>448.7833333</v>
      </c>
    </row>
    <row r="603" ht="24.75" customHeight="1">
      <c r="A603" s="21" t="s">
        <v>566</v>
      </c>
      <c r="B603" s="13">
        <f>IFERROR(__xludf.DUMMYFUNCTION("GOOGLEFINANCE(A603,""PRICE"")"),105.3)</f>
        <v>105.3</v>
      </c>
      <c r="C603" s="14">
        <f>IFERROR(__xludf.DUMMYFUNCTION("GOOGLEFINANCE(A603,""PRICEOPEN"")"),104.31)</f>
        <v>104.31</v>
      </c>
      <c r="D603" s="14">
        <f>IFERROR(__xludf.DUMMYFUNCTION("GOOGLEFINANCE(A603,""HIGH"")"),105.64)</f>
        <v>105.64</v>
      </c>
      <c r="E603" s="14">
        <f>IFERROR(__xludf.DUMMYFUNCTION("GOOGLEFINANCE(A603,""LOW"")"),103.75)</f>
        <v>103.75</v>
      </c>
      <c r="F603" s="15" t="str">
        <f t="shared" si="8"/>
        <v/>
      </c>
      <c r="G603" s="16">
        <f>IFERROR(__xludf.DUMMYFUNCTION("GOOGLEFINANCE(A603,""CLOSEYEST"")"),104.15)</f>
        <v>104.15</v>
      </c>
      <c r="H603" s="17" t="str">
        <f t="shared" si="14"/>
        <v/>
      </c>
      <c r="I603" s="18">
        <f t="shared" si="9"/>
        <v>104.5133333</v>
      </c>
      <c r="J603" s="19">
        <f t="shared" si="10"/>
        <v>105.2766667</v>
      </c>
      <c r="K603" s="19"/>
      <c r="L603" s="19">
        <f t="shared" si="11"/>
        <v>103.3866667</v>
      </c>
      <c r="M603" s="19">
        <f t="shared" si="12"/>
        <v>106.4033333</v>
      </c>
      <c r="N603" s="19">
        <f t="shared" si="13"/>
        <v>102.6233333</v>
      </c>
    </row>
    <row r="604" ht="24.75" customHeight="1">
      <c r="A604" s="21" t="s">
        <v>567</v>
      </c>
      <c r="B604" s="13">
        <f>IFERROR(__xludf.DUMMYFUNCTION("GOOGLEFINANCE(A604,""PRICE"")"),387.7)</f>
        <v>387.7</v>
      </c>
      <c r="C604" s="14">
        <f>IFERROR(__xludf.DUMMYFUNCTION("GOOGLEFINANCE(A604,""PRICEOPEN"")"),385.0)</f>
        <v>385</v>
      </c>
      <c r="D604" s="14">
        <f>IFERROR(__xludf.DUMMYFUNCTION("GOOGLEFINANCE(A604,""HIGH"")"),392.0)</f>
        <v>392</v>
      </c>
      <c r="E604" s="14">
        <f>IFERROR(__xludf.DUMMYFUNCTION("GOOGLEFINANCE(A604,""LOW"")"),381.85)</f>
        <v>381.85</v>
      </c>
      <c r="F604" s="15" t="str">
        <f t="shared" si="8"/>
        <v/>
      </c>
      <c r="G604" s="16">
        <f>IFERROR(__xludf.DUMMYFUNCTION("GOOGLEFINANCE(A604,""CLOSEYEST"")"),383.75)</f>
        <v>383.75</v>
      </c>
      <c r="H604" s="17" t="str">
        <f t="shared" si="14"/>
        <v/>
      </c>
      <c r="I604" s="18">
        <f t="shared" si="9"/>
        <v>385.8666667</v>
      </c>
      <c r="J604" s="19">
        <f t="shared" si="10"/>
        <v>389.8833333</v>
      </c>
      <c r="K604" s="19"/>
      <c r="L604" s="19">
        <f t="shared" si="11"/>
        <v>379.7333333</v>
      </c>
      <c r="M604" s="19">
        <f t="shared" si="12"/>
        <v>396.0166667</v>
      </c>
      <c r="N604" s="19">
        <f t="shared" si="13"/>
        <v>375.7166667</v>
      </c>
    </row>
    <row r="605" ht="24.75" customHeight="1">
      <c r="A605" s="21" t="s">
        <v>568</v>
      </c>
      <c r="B605" s="13">
        <f>IFERROR(__xludf.DUMMYFUNCTION("GOOGLEFINANCE(A605,""PRICE"")"),955.0)</f>
        <v>955</v>
      </c>
      <c r="C605" s="14">
        <f>IFERROR(__xludf.DUMMYFUNCTION("GOOGLEFINANCE(A605,""PRICEOPEN"")"),964.9)</f>
        <v>964.9</v>
      </c>
      <c r="D605" s="14">
        <f>IFERROR(__xludf.DUMMYFUNCTION("GOOGLEFINANCE(A605,""HIGH"")"),976.45)</f>
        <v>976.45</v>
      </c>
      <c r="E605" s="14">
        <f>IFERROR(__xludf.DUMMYFUNCTION("GOOGLEFINANCE(A605,""LOW"")"),952.55)</f>
        <v>952.55</v>
      </c>
      <c r="F605" s="15" t="str">
        <f t="shared" si="8"/>
        <v/>
      </c>
      <c r="G605" s="16">
        <f>IFERROR(__xludf.DUMMYFUNCTION("GOOGLEFINANCE(A605,""CLOSEYEST"")"),960.85)</f>
        <v>960.85</v>
      </c>
      <c r="H605" s="17" t="str">
        <f t="shared" si="14"/>
        <v/>
      </c>
      <c r="I605" s="18">
        <f t="shared" si="9"/>
        <v>963.2833333</v>
      </c>
      <c r="J605" s="19">
        <f t="shared" si="10"/>
        <v>974.0166667</v>
      </c>
      <c r="K605" s="19"/>
      <c r="L605" s="19">
        <f t="shared" si="11"/>
        <v>950.1166667</v>
      </c>
      <c r="M605" s="19">
        <f t="shared" si="12"/>
        <v>987.1833333</v>
      </c>
      <c r="N605" s="19">
        <f t="shared" si="13"/>
        <v>939.3833333</v>
      </c>
    </row>
    <row r="606" ht="24.75" customHeight="1">
      <c r="A606" s="21" t="s">
        <v>569</v>
      </c>
      <c r="B606" s="13" t="str">
        <f>IFERROR(__xludf.DUMMYFUNCTION("GOOGLEFINANCE(A606,""PRICE"")"),"#N/A")</f>
        <v>#N/A</v>
      </c>
      <c r="C606" s="14" t="str">
        <f>IFERROR(__xludf.DUMMYFUNCTION("GOOGLEFINANCE(A606,""PRICEOPEN"")"),"#N/A")</f>
        <v>#N/A</v>
      </c>
      <c r="D606" s="14" t="str">
        <f>IFERROR(__xludf.DUMMYFUNCTION("GOOGLEFINANCE(A606,""HIGH"")"),"#N/A")</f>
        <v>#N/A</v>
      </c>
      <c r="E606" s="14" t="str">
        <f>IFERROR(__xludf.DUMMYFUNCTION("GOOGLEFINANCE(A606,""LOW"")"),"#N/A")</f>
        <v>#N/A</v>
      </c>
      <c r="F606" s="15" t="str">
        <f t="shared" si="8"/>
        <v>#N/A</v>
      </c>
      <c r="G606" s="16" t="str">
        <f>IFERROR(__xludf.DUMMYFUNCTION("GOOGLEFINANCE(A606,""CLOSEYEST"")"),"#N/A")</f>
        <v>#N/A</v>
      </c>
      <c r="H606" s="17" t="str">
        <f t="shared" si="14"/>
        <v>#N/A</v>
      </c>
      <c r="I606" s="18" t="str">
        <f t="shared" si="9"/>
        <v>#N/A</v>
      </c>
      <c r="J606" s="19" t="str">
        <f t="shared" si="10"/>
        <v>#N/A</v>
      </c>
      <c r="K606" s="19"/>
      <c r="L606" s="19" t="str">
        <f t="shared" si="11"/>
        <v>#N/A</v>
      </c>
      <c r="M606" s="19" t="str">
        <f t="shared" si="12"/>
        <v>#N/A</v>
      </c>
      <c r="N606" s="19" t="str">
        <f t="shared" si="13"/>
        <v>#N/A</v>
      </c>
    </row>
    <row r="607" ht="24.75" customHeight="1">
      <c r="A607" s="21" t="s">
        <v>570</v>
      </c>
      <c r="B607" s="13">
        <f>IFERROR(__xludf.DUMMYFUNCTION("GOOGLEFINANCE(A607,""PRICE"")"),209.4)</f>
        <v>209.4</v>
      </c>
      <c r="C607" s="14">
        <f>IFERROR(__xludf.DUMMYFUNCTION("GOOGLEFINANCE(A607,""PRICEOPEN"")"),211.5)</f>
        <v>211.5</v>
      </c>
      <c r="D607" s="14">
        <f>IFERROR(__xludf.DUMMYFUNCTION("GOOGLEFINANCE(A607,""HIGH"")"),212.66)</f>
        <v>212.66</v>
      </c>
      <c r="E607" s="14">
        <f>IFERROR(__xludf.DUMMYFUNCTION("GOOGLEFINANCE(A607,""LOW"")"),208.5)</f>
        <v>208.5</v>
      </c>
      <c r="F607" s="15" t="str">
        <f t="shared" si="8"/>
        <v/>
      </c>
      <c r="G607" s="16">
        <f>IFERROR(__xludf.DUMMYFUNCTION("GOOGLEFINANCE(A607,""CLOSEYEST"")"),210.61)</f>
        <v>210.61</v>
      </c>
      <c r="H607" s="17" t="str">
        <f t="shared" si="14"/>
        <v/>
      </c>
      <c r="I607" s="18">
        <f t="shared" si="9"/>
        <v>210.59</v>
      </c>
      <c r="J607" s="19">
        <f t="shared" si="10"/>
        <v>212.68</v>
      </c>
      <c r="K607" s="19"/>
      <c r="L607" s="19">
        <f t="shared" si="11"/>
        <v>208.52</v>
      </c>
      <c r="M607" s="19">
        <f t="shared" si="12"/>
        <v>214.75</v>
      </c>
      <c r="N607" s="19">
        <f t="shared" si="13"/>
        <v>206.43</v>
      </c>
    </row>
    <row r="608" ht="24.75" customHeight="1">
      <c r="A608" s="21" t="s">
        <v>571</v>
      </c>
      <c r="B608" s="13">
        <f>IFERROR(__xludf.DUMMYFUNCTION("GOOGLEFINANCE(A608,""PRICE"")"),413.85)</f>
        <v>413.85</v>
      </c>
      <c r="C608" s="14">
        <f>IFERROR(__xludf.DUMMYFUNCTION("GOOGLEFINANCE(A608,""PRICEOPEN"")"),410.9)</f>
        <v>410.9</v>
      </c>
      <c r="D608" s="14">
        <f>IFERROR(__xludf.DUMMYFUNCTION("GOOGLEFINANCE(A608,""HIGH"")"),419.15)</f>
        <v>419.15</v>
      </c>
      <c r="E608" s="14">
        <f>IFERROR(__xludf.DUMMYFUNCTION("GOOGLEFINANCE(A608,""LOW"")"),409.25)</f>
        <v>409.25</v>
      </c>
      <c r="F608" s="15" t="str">
        <f t="shared" si="8"/>
        <v/>
      </c>
      <c r="G608" s="16">
        <f>IFERROR(__xludf.DUMMYFUNCTION("GOOGLEFINANCE(A608,""CLOSEYEST"")"),410.9)</f>
        <v>410.9</v>
      </c>
      <c r="H608" s="17" t="str">
        <f t="shared" si="14"/>
        <v/>
      </c>
      <c r="I608" s="18">
        <f t="shared" si="9"/>
        <v>413.1</v>
      </c>
      <c r="J608" s="19">
        <f t="shared" si="10"/>
        <v>416.95</v>
      </c>
      <c r="K608" s="19"/>
      <c r="L608" s="19">
        <f t="shared" si="11"/>
        <v>407.05</v>
      </c>
      <c r="M608" s="19">
        <f t="shared" si="12"/>
        <v>423</v>
      </c>
      <c r="N608" s="19">
        <f t="shared" si="13"/>
        <v>403.2</v>
      </c>
    </row>
    <row r="609" ht="24.75" customHeight="1">
      <c r="A609" s="21" t="s">
        <v>572</v>
      </c>
      <c r="B609" s="13">
        <f>IFERROR(__xludf.DUMMYFUNCTION("GOOGLEFINANCE(A609,""PRICE"")"),1578.5)</f>
        <v>1578.5</v>
      </c>
      <c r="C609" s="14">
        <f>IFERROR(__xludf.DUMMYFUNCTION("GOOGLEFINANCE(A609,""PRICEOPEN"")"),1568.0)</f>
        <v>1568</v>
      </c>
      <c r="D609" s="14">
        <f>IFERROR(__xludf.DUMMYFUNCTION("GOOGLEFINANCE(A609,""HIGH"")"),1580.0)</f>
        <v>1580</v>
      </c>
      <c r="E609" s="14">
        <f>IFERROR(__xludf.DUMMYFUNCTION("GOOGLEFINANCE(A609,""LOW"")"),1565.3)</f>
        <v>1565.3</v>
      </c>
      <c r="F609" s="15" t="str">
        <f t="shared" si="8"/>
        <v/>
      </c>
      <c r="G609" s="16">
        <f>IFERROR(__xludf.DUMMYFUNCTION("GOOGLEFINANCE(A609,""CLOSEYEST"")"),1559.6)</f>
        <v>1559.6</v>
      </c>
      <c r="H609" s="17" t="str">
        <f t="shared" si="14"/>
        <v/>
      </c>
      <c r="I609" s="18">
        <f t="shared" si="9"/>
        <v>1568.3</v>
      </c>
      <c r="J609" s="19">
        <f t="shared" si="10"/>
        <v>1571.3</v>
      </c>
      <c r="K609" s="19"/>
      <c r="L609" s="19">
        <f t="shared" si="11"/>
        <v>1556.6</v>
      </c>
      <c r="M609" s="19">
        <f t="shared" si="12"/>
        <v>1583</v>
      </c>
      <c r="N609" s="19">
        <f t="shared" si="13"/>
        <v>1553.6</v>
      </c>
    </row>
    <row r="610" ht="24.75" customHeight="1">
      <c r="A610" s="21" t="s">
        <v>573</v>
      </c>
      <c r="B610" s="13">
        <f>IFERROR(__xludf.DUMMYFUNCTION("GOOGLEFINANCE(A610,""PRICE"")"),602.1)</f>
        <v>602.1</v>
      </c>
      <c r="C610" s="14">
        <f>IFERROR(__xludf.DUMMYFUNCTION("GOOGLEFINANCE(A610,""PRICEOPEN"")"),607.15)</f>
        <v>607.15</v>
      </c>
      <c r="D610" s="14">
        <f>IFERROR(__xludf.DUMMYFUNCTION("GOOGLEFINANCE(A610,""HIGH"")"),625.0)</f>
        <v>625</v>
      </c>
      <c r="E610" s="14">
        <f>IFERROR(__xludf.DUMMYFUNCTION("GOOGLEFINANCE(A610,""LOW"")"),599.8)</f>
        <v>599.8</v>
      </c>
      <c r="F610" s="15" t="str">
        <f t="shared" si="8"/>
        <v/>
      </c>
      <c r="G610" s="16">
        <f>IFERROR(__xludf.DUMMYFUNCTION("GOOGLEFINANCE(A610,""CLOSEYEST"")"),607.15)</f>
        <v>607.15</v>
      </c>
      <c r="H610" s="17" t="str">
        <f t="shared" si="14"/>
        <v/>
      </c>
      <c r="I610" s="18">
        <f t="shared" si="9"/>
        <v>610.65</v>
      </c>
      <c r="J610" s="19">
        <f t="shared" si="10"/>
        <v>621.5</v>
      </c>
      <c r="K610" s="19"/>
      <c r="L610" s="19">
        <f t="shared" si="11"/>
        <v>596.3</v>
      </c>
      <c r="M610" s="19">
        <f t="shared" si="12"/>
        <v>635.85</v>
      </c>
      <c r="N610" s="19">
        <f t="shared" si="13"/>
        <v>585.45</v>
      </c>
    </row>
    <row r="611" ht="24.75" customHeight="1">
      <c r="A611" s="21" t="s">
        <v>574</v>
      </c>
      <c r="B611" s="13">
        <f>IFERROR(__xludf.DUMMYFUNCTION("GOOGLEFINANCE(A611,""PRICE"")"),2489.0)</f>
        <v>2489</v>
      </c>
      <c r="C611" s="14">
        <f>IFERROR(__xludf.DUMMYFUNCTION("GOOGLEFINANCE(A611,""PRICEOPEN"")"),2450.0)</f>
        <v>2450</v>
      </c>
      <c r="D611" s="14">
        <f>IFERROR(__xludf.DUMMYFUNCTION("GOOGLEFINANCE(A611,""HIGH"")"),2509.0)</f>
        <v>2509</v>
      </c>
      <c r="E611" s="14">
        <f>IFERROR(__xludf.DUMMYFUNCTION("GOOGLEFINANCE(A611,""LOW"")"),2432.1)</f>
        <v>2432.1</v>
      </c>
      <c r="F611" s="15" t="str">
        <f t="shared" si="8"/>
        <v/>
      </c>
      <c r="G611" s="16">
        <f>IFERROR(__xludf.DUMMYFUNCTION("GOOGLEFINANCE(A611,""CLOSEYEST"")"),2443.8)</f>
        <v>2443.8</v>
      </c>
      <c r="H611" s="17" t="str">
        <f t="shared" si="14"/>
        <v/>
      </c>
      <c r="I611" s="18">
        <f t="shared" si="9"/>
        <v>2461.633333</v>
      </c>
      <c r="J611" s="19">
        <f t="shared" si="10"/>
        <v>2491.166667</v>
      </c>
      <c r="K611" s="19"/>
      <c r="L611" s="19">
        <f t="shared" si="11"/>
        <v>2414.266667</v>
      </c>
      <c r="M611" s="19">
        <f t="shared" si="12"/>
        <v>2538.533333</v>
      </c>
      <c r="N611" s="19">
        <f t="shared" si="13"/>
        <v>2384.733333</v>
      </c>
    </row>
    <row r="612" ht="24.75" customHeight="1">
      <c r="A612" s="21" t="s">
        <v>575</v>
      </c>
      <c r="B612" s="13" t="str">
        <f>IFERROR(__xludf.DUMMYFUNCTION("GOOGLEFINANCE(A612,""PRICE"")"),"#N/A")</f>
        <v>#N/A</v>
      </c>
      <c r="C612" s="14" t="str">
        <f>IFERROR(__xludf.DUMMYFUNCTION("GOOGLEFINANCE(A612,""PRICEOPEN"")"),"#N/A")</f>
        <v>#N/A</v>
      </c>
      <c r="D612" s="14" t="str">
        <f>IFERROR(__xludf.DUMMYFUNCTION("GOOGLEFINANCE(A612,""HIGH"")"),"#N/A")</f>
        <v>#N/A</v>
      </c>
      <c r="E612" s="14" t="str">
        <f>IFERROR(__xludf.DUMMYFUNCTION("GOOGLEFINANCE(A612,""LOW"")"),"#N/A")</f>
        <v>#N/A</v>
      </c>
      <c r="F612" s="15" t="str">
        <f t="shared" si="8"/>
        <v>#N/A</v>
      </c>
      <c r="G612" s="16" t="str">
        <f>IFERROR(__xludf.DUMMYFUNCTION("GOOGLEFINANCE(A612,""CLOSEYEST"")"),"#N/A")</f>
        <v>#N/A</v>
      </c>
      <c r="H612" s="17" t="str">
        <f t="shared" si="14"/>
        <v>#N/A</v>
      </c>
      <c r="I612" s="18" t="str">
        <f t="shared" si="9"/>
        <v>#N/A</v>
      </c>
      <c r="J612" s="19" t="str">
        <f t="shared" si="10"/>
        <v>#N/A</v>
      </c>
      <c r="K612" s="19"/>
      <c r="L612" s="19" t="str">
        <f t="shared" si="11"/>
        <v>#N/A</v>
      </c>
      <c r="M612" s="19" t="str">
        <f t="shared" si="12"/>
        <v>#N/A</v>
      </c>
      <c r="N612" s="19" t="str">
        <f t="shared" si="13"/>
        <v>#N/A</v>
      </c>
    </row>
    <row r="613" ht="24.75" customHeight="1">
      <c r="A613" s="21" t="s">
        <v>576</v>
      </c>
      <c r="B613" s="13">
        <f>IFERROR(__xludf.DUMMYFUNCTION("GOOGLEFINANCE(A613,""PRICE"")"),618.0)</f>
        <v>618</v>
      </c>
      <c r="C613" s="14">
        <f>IFERROR(__xludf.DUMMYFUNCTION("GOOGLEFINANCE(A613,""PRICEOPEN"")"),605.1)</f>
        <v>605.1</v>
      </c>
      <c r="D613" s="14">
        <f>IFERROR(__xludf.DUMMYFUNCTION("GOOGLEFINANCE(A613,""HIGH"")"),621.0)</f>
        <v>621</v>
      </c>
      <c r="E613" s="14">
        <f>IFERROR(__xludf.DUMMYFUNCTION("GOOGLEFINANCE(A613,""LOW"")"),604.0)</f>
        <v>604</v>
      </c>
      <c r="F613" s="15" t="str">
        <f t="shared" si="8"/>
        <v/>
      </c>
      <c r="G613" s="16">
        <f>IFERROR(__xludf.DUMMYFUNCTION("GOOGLEFINANCE(A613,""CLOSEYEST"")"),605.35)</f>
        <v>605.35</v>
      </c>
      <c r="H613" s="17" t="str">
        <f t="shared" si="14"/>
        <v/>
      </c>
      <c r="I613" s="18">
        <f t="shared" si="9"/>
        <v>610.1166667</v>
      </c>
      <c r="J613" s="19">
        <f t="shared" si="10"/>
        <v>616.2333333</v>
      </c>
      <c r="K613" s="19"/>
      <c r="L613" s="19">
        <f t="shared" si="11"/>
        <v>599.2333333</v>
      </c>
      <c r="M613" s="19">
        <f t="shared" si="12"/>
        <v>627.1166667</v>
      </c>
      <c r="N613" s="19">
        <f t="shared" si="13"/>
        <v>593.1166667</v>
      </c>
    </row>
    <row r="614" ht="24.75" customHeight="1">
      <c r="A614" s="21" t="s">
        <v>577</v>
      </c>
      <c r="B614" s="13">
        <f>IFERROR(__xludf.DUMMYFUNCTION("GOOGLEFINANCE(A614,""PRICE"")"),599.9)</f>
        <v>599.9</v>
      </c>
      <c r="C614" s="14">
        <f>IFERROR(__xludf.DUMMYFUNCTION("GOOGLEFINANCE(A614,""PRICEOPEN"")"),597.9)</f>
        <v>597.9</v>
      </c>
      <c r="D614" s="14">
        <f>IFERROR(__xludf.DUMMYFUNCTION("GOOGLEFINANCE(A614,""HIGH"")"),610.55)</f>
        <v>610.55</v>
      </c>
      <c r="E614" s="14">
        <f>IFERROR(__xludf.DUMMYFUNCTION("GOOGLEFINANCE(A614,""LOW"")"),595.7)</f>
        <v>595.7</v>
      </c>
      <c r="F614" s="15" t="str">
        <f t="shared" si="8"/>
        <v/>
      </c>
      <c r="G614" s="16">
        <f>IFERROR(__xludf.DUMMYFUNCTION("GOOGLEFINANCE(A614,""CLOSEYEST"")"),593.2)</f>
        <v>593.2</v>
      </c>
      <c r="H614" s="17" t="str">
        <f t="shared" si="14"/>
        <v/>
      </c>
      <c r="I614" s="18">
        <f t="shared" si="9"/>
        <v>599.8166667</v>
      </c>
      <c r="J614" s="19">
        <f t="shared" si="10"/>
        <v>603.9333333</v>
      </c>
      <c r="K614" s="19"/>
      <c r="L614" s="19">
        <f t="shared" si="11"/>
        <v>589.0833333</v>
      </c>
      <c r="M614" s="19">
        <f t="shared" si="12"/>
        <v>614.6666667</v>
      </c>
      <c r="N614" s="19">
        <f t="shared" si="13"/>
        <v>584.9666667</v>
      </c>
    </row>
    <row r="615" ht="24.75" customHeight="1">
      <c r="A615" s="21" t="s">
        <v>578</v>
      </c>
      <c r="B615" s="13">
        <f>IFERROR(__xludf.DUMMYFUNCTION("GOOGLEFINANCE(A615,""PRICE"")"),1505.0)</f>
        <v>1505</v>
      </c>
      <c r="C615" s="14">
        <f>IFERROR(__xludf.DUMMYFUNCTION("GOOGLEFINANCE(A615,""PRICEOPEN"")"),1494.9)</f>
        <v>1494.9</v>
      </c>
      <c r="D615" s="14">
        <f>IFERROR(__xludf.DUMMYFUNCTION("GOOGLEFINANCE(A615,""HIGH"")"),1505.0)</f>
        <v>1505</v>
      </c>
      <c r="E615" s="14">
        <f>IFERROR(__xludf.DUMMYFUNCTION("GOOGLEFINANCE(A615,""LOW"")"),1490.0)</f>
        <v>1490</v>
      </c>
      <c r="F615" s="15" t="str">
        <f t="shared" si="8"/>
        <v/>
      </c>
      <c r="G615" s="16">
        <f>IFERROR(__xludf.DUMMYFUNCTION("GOOGLEFINANCE(A615,""CLOSEYEST"")"),1495.6)</f>
        <v>1495.6</v>
      </c>
      <c r="H615" s="17" t="str">
        <f t="shared" si="14"/>
        <v/>
      </c>
      <c r="I615" s="18">
        <f t="shared" si="9"/>
        <v>1496.866667</v>
      </c>
      <c r="J615" s="19">
        <f t="shared" si="10"/>
        <v>1503.733333</v>
      </c>
      <c r="K615" s="19"/>
      <c r="L615" s="19">
        <f t="shared" si="11"/>
        <v>1488.733333</v>
      </c>
      <c r="M615" s="19">
        <f t="shared" si="12"/>
        <v>1511.866667</v>
      </c>
      <c r="N615" s="19">
        <f t="shared" si="13"/>
        <v>1481.866667</v>
      </c>
    </row>
    <row r="616" ht="24.75" customHeight="1">
      <c r="A616" s="21" t="s">
        <v>579</v>
      </c>
      <c r="B616" s="13">
        <f>IFERROR(__xludf.DUMMYFUNCTION("GOOGLEFINANCE(A616,""PRICE"")"),554.0)</f>
        <v>554</v>
      </c>
      <c r="C616" s="14">
        <f>IFERROR(__xludf.DUMMYFUNCTION("GOOGLEFINANCE(A616,""PRICEOPEN"")"),554.9)</f>
        <v>554.9</v>
      </c>
      <c r="D616" s="14">
        <f>IFERROR(__xludf.DUMMYFUNCTION("GOOGLEFINANCE(A616,""HIGH"")"),558.8)</f>
        <v>558.8</v>
      </c>
      <c r="E616" s="14">
        <f>IFERROR(__xludf.DUMMYFUNCTION("GOOGLEFINANCE(A616,""LOW"")"),551.5)</f>
        <v>551.5</v>
      </c>
      <c r="F616" s="15" t="str">
        <f t="shared" si="8"/>
        <v/>
      </c>
      <c r="G616" s="16">
        <f>IFERROR(__xludf.DUMMYFUNCTION("GOOGLEFINANCE(A616,""CLOSEYEST"")"),550.6)</f>
        <v>550.6</v>
      </c>
      <c r="H616" s="17" t="str">
        <f t="shared" si="14"/>
        <v/>
      </c>
      <c r="I616" s="18">
        <f t="shared" si="9"/>
        <v>553.6333333</v>
      </c>
      <c r="J616" s="19">
        <f t="shared" si="10"/>
        <v>555.7666667</v>
      </c>
      <c r="K616" s="19"/>
      <c r="L616" s="19">
        <f t="shared" si="11"/>
        <v>548.4666667</v>
      </c>
      <c r="M616" s="19">
        <f t="shared" si="12"/>
        <v>560.9333333</v>
      </c>
      <c r="N616" s="19">
        <f t="shared" si="13"/>
        <v>546.3333333</v>
      </c>
    </row>
    <row r="617" ht="24.75" customHeight="1">
      <c r="A617" s="21" t="s">
        <v>580</v>
      </c>
      <c r="B617" s="13">
        <f>IFERROR(__xludf.DUMMYFUNCTION("GOOGLEFINANCE(A617,""PRICE"")"),212.2)</f>
        <v>212.2</v>
      </c>
      <c r="C617" s="14">
        <f>IFERROR(__xludf.DUMMYFUNCTION("GOOGLEFINANCE(A617,""PRICEOPEN"")"),213.0)</f>
        <v>213</v>
      </c>
      <c r="D617" s="14">
        <f>IFERROR(__xludf.DUMMYFUNCTION("GOOGLEFINANCE(A617,""HIGH"")"),213.96)</f>
        <v>213.96</v>
      </c>
      <c r="E617" s="14">
        <f>IFERROR(__xludf.DUMMYFUNCTION("GOOGLEFINANCE(A617,""LOW"")"),209.9)</f>
        <v>209.9</v>
      </c>
      <c r="F617" s="15" t="str">
        <f t="shared" si="8"/>
        <v/>
      </c>
      <c r="G617" s="16">
        <f>IFERROR(__xludf.DUMMYFUNCTION("GOOGLEFINANCE(A617,""CLOSEYEST"")"),210.18)</f>
        <v>210.18</v>
      </c>
      <c r="H617" s="17" t="str">
        <f t="shared" si="14"/>
        <v>GAP UP</v>
      </c>
      <c r="I617" s="18">
        <f t="shared" si="9"/>
        <v>211.3466667</v>
      </c>
      <c r="J617" s="19">
        <f t="shared" si="10"/>
        <v>212.7933333</v>
      </c>
      <c r="K617" s="19"/>
      <c r="L617" s="19">
        <f t="shared" si="11"/>
        <v>208.7333333</v>
      </c>
      <c r="M617" s="19">
        <f t="shared" si="12"/>
        <v>215.4066667</v>
      </c>
      <c r="N617" s="19">
        <f t="shared" si="13"/>
        <v>207.2866667</v>
      </c>
    </row>
    <row r="618" ht="24.75" customHeight="1">
      <c r="A618" s="21" t="s">
        <v>581</v>
      </c>
      <c r="B618" s="13">
        <f>IFERROR(__xludf.DUMMYFUNCTION("GOOGLEFINANCE(A618,""PRICE"")"),259.99)</f>
        <v>259.99</v>
      </c>
      <c r="C618" s="14">
        <f>IFERROR(__xludf.DUMMYFUNCTION("GOOGLEFINANCE(A618,""PRICEOPEN"")"),254.42)</f>
        <v>254.42</v>
      </c>
      <c r="D618" s="14">
        <f>IFERROR(__xludf.DUMMYFUNCTION("GOOGLEFINANCE(A618,""HIGH"")"),264.96)</f>
        <v>264.96</v>
      </c>
      <c r="E618" s="14">
        <f>IFERROR(__xludf.DUMMYFUNCTION("GOOGLEFINANCE(A618,""LOW"")"),248.0)</f>
        <v>248</v>
      </c>
      <c r="F618" s="15" t="str">
        <f t="shared" si="8"/>
        <v/>
      </c>
      <c r="G618" s="16">
        <f>IFERROR(__xludf.DUMMYFUNCTION("GOOGLEFINANCE(A618,""CLOSEYEST"")"),253.29)</f>
        <v>253.29</v>
      </c>
      <c r="H618" s="17" t="str">
        <f t="shared" si="14"/>
        <v/>
      </c>
      <c r="I618" s="18">
        <f t="shared" si="9"/>
        <v>255.4166667</v>
      </c>
      <c r="J618" s="19">
        <f t="shared" si="10"/>
        <v>262.8333333</v>
      </c>
      <c r="K618" s="19"/>
      <c r="L618" s="19">
        <f t="shared" si="11"/>
        <v>245.8733333</v>
      </c>
      <c r="M618" s="19">
        <f t="shared" si="12"/>
        <v>272.3766667</v>
      </c>
      <c r="N618" s="19">
        <f t="shared" si="13"/>
        <v>238.4566667</v>
      </c>
    </row>
    <row r="619" ht="24.75" customHeight="1">
      <c r="A619" s="21" t="s">
        <v>582</v>
      </c>
      <c r="B619" s="13">
        <f>IFERROR(__xludf.DUMMYFUNCTION("GOOGLEFINANCE(A619,""PRICE"")"),330.25)</f>
        <v>330.25</v>
      </c>
      <c r="C619" s="14">
        <f>IFERROR(__xludf.DUMMYFUNCTION("GOOGLEFINANCE(A619,""PRICEOPEN"")"),328.6)</f>
        <v>328.6</v>
      </c>
      <c r="D619" s="14">
        <f>IFERROR(__xludf.DUMMYFUNCTION("GOOGLEFINANCE(A619,""HIGH"")"),334.45)</f>
        <v>334.45</v>
      </c>
      <c r="E619" s="14">
        <f>IFERROR(__xludf.DUMMYFUNCTION("GOOGLEFINANCE(A619,""LOW"")"),326.65)</f>
        <v>326.65</v>
      </c>
      <c r="F619" s="15" t="str">
        <f t="shared" si="8"/>
        <v/>
      </c>
      <c r="G619" s="16">
        <f>IFERROR(__xludf.DUMMYFUNCTION("GOOGLEFINANCE(A619,""CLOSEYEST"")"),331.6)</f>
        <v>331.6</v>
      </c>
      <c r="H619" s="17" t="str">
        <f t="shared" si="14"/>
        <v/>
      </c>
      <c r="I619" s="18">
        <f t="shared" si="9"/>
        <v>330.9</v>
      </c>
      <c r="J619" s="19">
        <f t="shared" si="10"/>
        <v>335.15</v>
      </c>
      <c r="K619" s="19"/>
      <c r="L619" s="19">
        <f t="shared" si="11"/>
        <v>327.35</v>
      </c>
      <c r="M619" s="19">
        <f t="shared" si="12"/>
        <v>338.7</v>
      </c>
      <c r="N619" s="19">
        <f t="shared" si="13"/>
        <v>323.1</v>
      </c>
    </row>
    <row r="620" ht="24.75" customHeight="1">
      <c r="A620" s="21" t="s">
        <v>583</v>
      </c>
      <c r="B620" s="13">
        <f>IFERROR(__xludf.DUMMYFUNCTION("GOOGLEFINANCE(A620,""PRICE"")"),247.99)</f>
        <v>247.99</v>
      </c>
      <c r="C620" s="14">
        <f>IFERROR(__xludf.DUMMYFUNCTION("GOOGLEFINANCE(A620,""PRICEOPEN"")"),249.99)</f>
        <v>249.99</v>
      </c>
      <c r="D620" s="14">
        <f>IFERROR(__xludf.DUMMYFUNCTION("GOOGLEFINANCE(A620,""HIGH"")"),251.7)</f>
        <v>251.7</v>
      </c>
      <c r="E620" s="14">
        <f>IFERROR(__xludf.DUMMYFUNCTION("GOOGLEFINANCE(A620,""LOW"")"),245.52)</f>
        <v>245.52</v>
      </c>
      <c r="F620" s="15" t="str">
        <f t="shared" si="8"/>
        <v/>
      </c>
      <c r="G620" s="16">
        <f>IFERROR(__xludf.DUMMYFUNCTION("GOOGLEFINANCE(A620,""CLOSEYEST"")"),246.64)</f>
        <v>246.64</v>
      </c>
      <c r="H620" s="17" t="str">
        <f t="shared" si="14"/>
        <v>GAP UP</v>
      </c>
      <c r="I620" s="18">
        <f t="shared" si="9"/>
        <v>247.9533333</v>
      </c>
      <c r="J620" s="19">
        <f t="shared" si="10"/>
        <v>250.3866667</v>
      </c>
      <c r="K620" s="19"/>
      <c r="L620" s="19">
        <f t="shared" si="11"/>
        <v>244.2066667</v>
      </c>
      <c r="M620" s="19">
        <f t="shared" si="12"/>
        <v>254.1333333</v>
      </c>
      <c r="N620" s="19">
        <f t="shared" si="13"/>
        <v>241.7733333</v>
      </c>
    </row>
    <row r="621" ht="24.75" customHeight="1">
      <c r="A621" s="21" t="s">
        <v>584</v>
      </c>
      <c r="B621" s="13">
        <f>IFERROR(__xludf.DUMMYFUNCTION("GOOGLEFINANCE(A621,""PRICE"")"),520.0)</f>
        <v>520</v>
      </c>
      <c r="C621" s="14">
        <f>IFERROR(__xludf.DUMMYFUNCTION("GOOGLEFINANCE(A621,""PRICEOPEN"")"),520.7)</f>
        <v>520.7</v>
      </c>
      <c r="D621" s="14">
        <f>IFERROR(__xludf.DUMMYFUNCTION("GOOGLEFINANCE(A621,""HIGH"")"),525.85)</f>
        <v>525.85</v>
      </c>
      <c r="E621" s="14">
        <f>IFERROR(__xludf.DUMMYFUNCTION("GOOGLEFINANCE(A621,""LOW"")"),514.8)</f>
        <v>514.8</v>
      </c>
      <c r="F621" s="15" t="str">
        <f t="shared" si="8"/>
        <v/>
      </c>
      <c r="G621" s="16">
        <f>IFERROR(__xludf.DUMMYFUNCTION("GOOGLEFINANCE(A621,""CLOSEYEST"")"),520.7)</f>
        <v>520.7</v>
      </c>
      <c r="H621" s="17" t="str">
        <f t="shared" si="14"/>
        <v/>
      </c>
      <c r="I621" s="18">
        <f t="shared" si="9"/>
        <v>520.45</v>
      </c>
      <c r="J621" s="19">
        <f t="shared" si="10"/>
        <v>526.1</v>
      </c>
      <c r="K621" s="19"/>
      <c r="L621" s="19">
        <f t="shared" si="11"/>
        <v>515.05</v>
      </c>
      <c r="M621" s="19">
        <f t="shared" si="12"/>
        <v>531.5</v>
      </c>
      <c r="N621" s="19">
        <f t="shared" si="13"/>
        <v>509.4</v>
      </c>
    </row>
    <row r="622" ht="24.75" customHeight="1">
      <c r="A622" s="21" t="s">
        <v>585</v>
      </c>
      <c r="B622" s="13">
        <f>IFERROR(__xludf.DUMMYFUNCTION("GOOGLEFINANCE(A622,""PRICE"")"),139.4)</f>
        <v>139.4</v>
      </c>
      <c r="C622" s="14">
        <f>IFERROR(__xludf.DUMMYFUNCTION("GOOGLEFINANCE(A622,""PRICEOPEN"")"),135.49)</f>
        <v>135.49</v>
      </c>
      <c r="D622" s="14">
        <f>IFERROR(__xludf.DUMMYFUNCTION("GOOGLEFINANCE(A622,""HIGH"")"),139.86)</f>
        <v>139.86</v>
      </c>
      <c r="E622" s="14">
        <f>IFERROR(__xludf.DUMMYFUNCTION("GOOGLEFINANCE(A622,""LOW"")"),134.0)</f>
        <v>134</v>
      </c>
      <c r="F622" s="15" t="str">
        <f t="shared" si="8"/>
        <v/>
      </c>
      <c r="G622" s="16">
        <f>IFERROR(__xludf.DUMMYFUNCTION("GOOGLEFINANCE(A622,""CLOSEYEST"")"),134.75)</f>
        <v>134.75</v>
      </c>
      <c r="H622" s="17" t="str">
        <f t="shared" si="14"/>
        <v/>
      </c>
      <c r="I622" s="18">
        <f t="shared" si="9"/>
        <v>136.2033333</v>
      </c>
      <c r="J622" s="19">
        <f t="shared" si="10"/>
        <v>138.4066667</v>
      </c>
      <c r="K622" s="19"/>
      <c r="L622" s="19">
        <f t="shared" si="11"/>
        <v>132.5466667</v>
      </c>
      <c r="M622" s="19">
        <f t="shared" si="12"/>
        <v>142.0633333</v>
      </c>
      <c r="N622" s="19">
        <f t="shared" si="13"/>
        <v>130.3433333</v>
      </c>
    </row>
    <row r="623" ht="24.75" customHeight="1">
      <c r="A623" s="21" t="s">
        <v>586</v>
      </c>
      <c r="B623" s="13">
        <f>IFERROR(__xludf.DUMMYFUNCTION("GOOGLEFINANCE(A623,""PRICE"")"),8885.0)</f>
        <v>8885</v>
      </c>
      <c r="C623" s="14">
        <f>IFERROR(__xludf.DUMMYFUNCTION("GOOGLEFINANCE(A623,""PRICEOPEN"")"),9049.5)</f>
        <v>9049.5</v>
      </c>
      <c r="D623" s="14">
        <f>IFERROR(__xludf.DUMMYFUNCTION("GOOGLEFINANCE(A623,""HIGH"")"),9049.5)</f>
        <v>9049.5</v>
      </c>
      <c r="E623" s="14">
        <f>IFERROR(__xludf.DUMMYFUNCTION("GOOGLEFINANCE(A623,""LOW"")"),8790.0)</f>
        <v>8790</v>
      </c>
      <c r="F623" s="15" t="str">
        <f t="shared" si="8"/>
        <v>SELL</v>
      </c>
      <c r="G623" s="16">
        <f>IFERROR(__xludf.DUMMYFUNCTION("GOOGLEFINANCE(A623,""CLOSEYEST"")"),8905.0)</f>
        <v>8905</v>
      </c>
      <c r="H623" s="17" t="str">
        <f t="shared" si="14"/>
        <v>GAP UP</v>
      </c>
      <c r="I623" s="18">
        <f t="shared" si="9"/>
        <v>8914.833333</v>
      </c>
      <c r="J623" s="19">
        <f t="shared" si="10"/>
        <v>9039.666667</v>
      </c>
      <c r="K623" s="19"/>
      <c r="L623" s="19">
        <f t="shared" si="11"/>
        <v>8780.166667</v>
      </c>
      <c r="M623" s="19">
        <f t="shared" si="12"/>
        <v>9174.333333</v>
      </c>
      <c r="N623" s="19">
        <f t="shared" si="13"/>
        <v>8655.333333</v>
      </c>
    </row>
    <row r="624" ht="24.75" customHeight="1">
      <c r="A624" s="21" t="s">
        <v>587</v>
      </c>
      <c r="B624" s="13">
        <f>IFERROR(__xludf.DUMMYFUNCTION("GOOGLEFINANCE(A624,""PRICE"")"),224.9)</f>
        <v>224.9</v>
      </c>
      <c r="C624" s="14">
        <f>IFERROR(__xludf.DUMMYFUNCTION("GOOGLEFINANCE(A624,""PRICEOPEN"")"),223.03)</f>
        <v>223.03</v>
      </c>
      <c r="D624" s="14">
        <f>IFERROR(__xludf.DUMMYFUNCTION("GOOGLEFINANCE(A624,""HIGH"")"),225.53)</f>
        <v>225.53</v>
      </c>
      <c r="E624" s="14">
        <f>IFERROR(__xludf.DUMMYFUNCTION("GOOGLEFINANCE(A624,""LOW"")"),222.21)</f>
        <v>222.21</v>
      </c>
      <c r="F624" s="15" t="str">
        <f t="shared" si="8"/>
        <v/>
      </c>
      <c r="G624" s="16">
        <f>IFERROR(__xludf.DUMMYFUNCTION("GOOGLEFINANCE(A624,""CLOSEYEST"")"),223.03)</f>
        <v>223.03</v>
      </c>
      <c r="H624" s="17" t="str">
        <f t="shared" si="14"/>
        <v/>
      </c>
      <c r="I624" s="18">
        <f t="shared" si="9"/>
        <v>223.59</v>
      </c>
      <c r="J624" s="19">
        <f t="shared" si="10"/>
        <v>224.97</v>
      </c>
      <c r="K624" s="19"/>
      <c r="L624" s="19">
        <f t="shared" si="11"/>
        <v>221.65</v>
      </c>
      <c r="M624" s="19">
        <f t="shared" si="12"/>
        <v>226.91</v>
      </c>
      <c r="N624" s="19">
        <f t="shared" si="13"/>
        <v>220.27</v>
      </c>
    </row>
    <row r="625" ht="24.75" customHeight="1">
      <c r="A625" s="21" t="s">
        <v>588</v>
      </c>
      <c r="B625" s="13">
        <f>IFERROR(__xludf.DUMMYFUNCTION("GOOGLEFINANCE(A625,""PRICE"")"),48.25)</f>
        <v>48.25</v>
      </c>
      <c r="C625" s="14">
        <f>IFERROR(__xludf.DUMMYFUNCTION("GOOGLEFINANCE(A625,""PRICEOPEN"")"),48.23)</f>
        <v>48.23</v>
      </c>
      <c r="D625" s="14">
        <f>IFERROR(__xludf.DUMMYFUNCTION("GOOGLEFINANCE(A625,""HIGH"")"),48.6)</f>
        <v>48.6</v>
      </c>
      <c r="E625" s="14">
        <f>IFERROR(__xludf.DUMMYFUNCTION("GOOGLEFINANCE(A625,""LOW"")"),47.83)</f>
        <v>47.83</v>
      </c>
      <c r="F625" s="15" t="str">
        <f t="shared" si="8"/>
        <v/>
      </c>
      <c r="G625" s="16">
        <f>IFERROR(__xludf.DUMMYFUNCTION("GOOGLEFINANCE(A625,""CLOSEYEST"")"),48.23)</f>
        <v>48.23</v>
      </c>
      <c r="H625" s="17" t="str">
        <f t="shared" si="14"/>
        <v/>
      </c>
      <c r="I625" s="18">
        <f t="shared" si="9"/>
        <v>48.22</v>
      </c>
      <c r="J625" s="19">
        <f t="shared" si="10"/>
        <v>48.61</v>
      </c>
      <c r="K625" s="19"/>
      <c r="L625" s="19">
        <f t="shared" si="11"/>
        <v>47.84</v>
      </c>
      <c r="M625" s="19">
        <f t="shared" si="12"/>
        <v>48.99</v>
      </c>
      <c r="N625" s="19">
        <f t="shared" si="13"/>
        <v>47.45</v>
      </c>
    </row>
    <row r="626" ht="24.75" customHeight="1">
      <c r="A626" s="21" t="s">
        <v>589</v>
      </c>
      <c r="B626" s="13">
        <f>IFERROR(__xludf.DUMMYFUNCTION("GOOGLEFINANCE(A626,""PRICE"")"),3502.0)</f>
        <v>3502</v>
      </c>
      <c r="C626" s="14">
        <f>IFERROR(__xludf.DUMMYFUNCTION("GOOGLEFINANCE(A626,""PRICEOPEN"")"),3700.0)</f>
        <v>3700</v>
      </c>
      <c r="D626" s="14">
        <f>IFERROR(__xludf.DUMMYFUNCTION("GOOGLEFINANCE(A626,""HIGH"")"),3700.0)</f>
        <v>3700</v>
      </c>
      <c r="E626" s="14">
        <f>IFERROR(__xludf.DUMMYFUNCTION("GOOGLEFINANCE(A626,""LOW"")"),3501.0)</f>
        <v>3501</v>
      </c>
      <c r="F626" s="15" t="str">
        <f t="shared" si="8"/>
        <v>SELL</v>
      </c>
      <c r="G626" s="16">
        <f>IFERROR(__xludf.DUMMYFUNCTION("GOOGLEFINANCE(A626,""CLOSEYEST"")"),3653.5)</f>
        <v>3653.5</v>
      </c>
      <c r="H626" s="17" t="str">
        <f t="shared" si="14"/>
        <v>GAP UP</v>
      </c>
      <c r="I626" s="18">
        <f t="shared" si="9"/>
        <v>3618.166667</v>
      </c>
      <c r="J626" s="19">
        <f t="shared" si="10"/>
        <v>3735.333333</v>
      </c>
      <c r="K626" s="19"/>
      <c r="L626" s="19">
        <f t="shared" si="11"/>
        <v>3536.333333</v>
      </c>
      <c r="M626" s="19">
        <f t="shared" si="12"/>
        <v>3817.166667</v>
      </c>
      <c r="N626" s="19">
        <f t="shared" si="13"/>
        <v>3419.166667</v>
      </c>
    </row>
    <row r="627" ht="24.75" customHeight="1">
      <c r="A627" s="21" t="s">
        <v>590</v>
      </c>
      <c r="B627" s="13">
        <f>IFERROR(__xludf.DUMMYFUNCTION("GOOGLEFINANCE(A627,""PRICE"")"),8.55)</f>
        <v>8.55</v>
      </c>
      <c r="C627" s="14">
        <f>IFERROR(__xludf.DUMMYFUNCTION("GOOGLEFINANCE(A627,""PRICEOPEN"")"),8.51)</f>
        <v>8.51</v>
      </c>
      <c r="D627" s="14">
        <f>IFERROR(__xludf.DUMMYFUNCTION("GOOGLEFINANCE(A627,""HIGH"")"),8.55)</f>
        <v>8.55</v>
      </c>
      <c r="E627" s="14">
        <f>IFERROR(__xludf.DUMMYFUNCTION("GOOGLEFINANCE(A627,""LOW"")"),8.51)</f>
        <v>8.51</v>
      </c>
      <c r="F627" s="15" t="str">
        <f t="shared" si="8"/>
        <v>BUY</v>
      </c>
      <c r="G627" s="16">
        <f>IFERROR(__xludf.DUMMYFUNCTION("GOOGLEFINANCE(A627,""CLOSEYEST"")"),8.55)</f>
        <v>8.55</v>
      </c>
      <c r="H627" s="17" t="str">
        <f t="shared" si="14"/>
        <v/>
      </c>
      <c r="I627" s="18">
        <f t="shared" si="9"/>
        <v>8.536666667</v>
      </c>
      <c r="J627" s="19">
        <f t="shared" si="10"/>
        <v>8.563333333</v>
      </c>
      <c r="K627" s="19"/>
      <c r="L627" s="19">
        <f t="shared" si="11"/>
        <v>8.523333333</v>
      </c>
      <c r="M627" s="19">
        <f t="shared" si="12"/>
        <v>8.576666667</v>
      </c>
      <c r="N627" s="19">
        <f t="shared" si="13"/>
        <v>8.496666667</v>
      </c>
    </row>
    <row r="628" ht="24.75" customHeight="1">
      <c r="A628" s="21" t="s">
        <v>591</v>
      </c>
      <c r="B628" s="13">
        <f>IFERROR(__xludf.DUMMYFUNCTION("GOOGLEFINANCE(A628,""PRICE"")"),300.0)</f>
        <v>300</v>
      </c>
      <c r="C628" s="14">
        <f>IFERROR(__xludf.DUMMYFUNCTION("GOOGLEFINANCE(A628,""PRICEOPEN"")"),297.15)</f>
        <v>297.15</v>
      </c>
      <c r="D628" s="14">
        <f>IFERROR(__xludf.DUMMYFUNCTION("GOOGLEFINANCE(A628,""HIGH"")"),301.3)</f>
        <v>301.3</v>
      </c>
      <c r="E628" s="14">
        <f>IFERROR(__xludf.DUMMYFUNCTION("GOOGLEFINANCE(A628,""LOW"")"),297.15)</f>
        <v>297.15</v>
      </c>
      <c r="F628" s="15" t="str">
        <f t="shared" si="8"/>
        <v>BUY</v>
      </c>
      <c r="G628" s="16">
        <f>IFERROR(__xludf.DUMMYFUNCTION("GOOGLEFINANCE(A628,""CLOSEYEST"")"),297.9)</f>
        <v>297.9</v>
      </c>
      <c r="H628" s="17" t="str">
        <f t="shared" si="14"/>
        <v/>
      </c>
      <c r="I628" s="18">
        <f t="shared" si="9"/>
        <v>298.7833333</v>
      </c>
      <c r="J628" s="19">
        <f t="shared" si="10"/>
        <v>300.4166667</v>
      </c>
      <c r="K628" s="19"/>
      <c r="L628" s="19">
        <f t="shared" si="11"/>
        <v>296.2666667</v>
      </c>
      <c r="M628" s="19">
        <f t="shared" si="12"/>
        <v>302.9333333</v>
      </c>
      <c r="N628" s="19">
        <f t="shared" si="13"/>
        <v>294.6333333</v>
      </c>
    </row>
    <row r="629" ht="24.75" customHeight="1">
      <c r="A629" s="21" t="s">
        <v>592</v>
      </c>
      <c r="B629" s="13">
        <f>IFERROR(__xludf.DUMMYFUNCTION("GOOGLEFINANCE(A629,""PRICE"")"),1300.0)</f>
        <v>1300</v>
      </c>
      <c r="C629" s="14">
        <f>IFERROR(__xludf.DUMMYFUNCTION("GOOGLEFINANCE(A629,""PRICEOPEN"")"),1310.0)</f>
        <v>1310</v>
      </c>
      <c r="D629" s="14">
        <f>IFERROR(__xludf.DUMMYFUNCTION("GOOGLEFINANCE(A629,""HIGH"")"),1310.0)</f>
        <v>1310</v>
      </c>
      <c r="E629" s="14">
        <f>IFERROR(__xludf.DUMMYFUNCTION("GOOGLEFINANCE(A629,""LOW"")"),1294.0)</f>
        <v>1294</v>
      </c>
      <c r="F629" s="15" t="str">
        <f t="shared" si="8"/>
        <v>SELL</v>
      </c>
      <c r="G629" s="16">
        <f>IFERROR(__xludf.DUMMYFUNCTION("GOOGLEFINANCE(A629,""CLOSEYEST"")"),1298.8)</f>
        <v>1298.8</v>
      </c>
      <c r="H629" s="17" t="str">
        <f t="shared" si="14"/>
        <v/>
      </c>
      <c r="I629" s="18">
        <f t="shared" si="9"/>
        <v>1300.933333</v>
      </c>
      <c r="J629" s="19">
        <f t="shared" si="10"/>
        <v>1307.866667</v>
      </c>
      <c r="K629" s="19"/>
      <c r="L629" s="19">
        <f t="shared" si="11"/>
        <v>1291.866667</v>
      </c>
      <c r="M629" s="19">
        <f t="shared" si="12"/>
        <v>1316.933333</v>
      </c>
      <c r="N629" s="19">
        <f t="shared" si="13"/>
        <v>1284.933333</v>
      </c>
    </row>
    <row r="630" ht="24.75" customHeight="1">
      <c r="A630" s="21" t="s">
        <v>593</v>
      </c>
      <c r="B630" s="13">
        <f>IFERROR(__xludf.DUMMYFUNCTION("GOOGLEFINANCE(A630,""PRICE"")"),425.5)</f>
        <v>425.5</v>
      </c>
      <c r="C630" s="14">
        <f>IFERROR(__xludf.DUMMYFUNCTION("GOOGLEFINANCE(A630,""PRICEOPEN"")"),394.8)</f>
        <v>394.8</v>
      </c>
      <c r="D630" s="14">
        <f>IFERROR(__xludf.DUMMYFUNCTION("GOOGLEFINANCE(A630,""HIGH"")"),444.8)</f>
        <v>444.8</v>
      </c>
      <c r="E630" s="14">
        <f>IFERROR(__xludf.DUMMYFUNCTION("GOOGLEFINANCE(A630,""LOW"")"),391.85)</f>
        <v>391.85</v>
      </c>
      <c r="F630" s="15" t="str">
        <f t="shared" si="8"/>
        <v/>
      </c>
      <c r="G630" s="16">
        <f>IFERROR(__xludf.DUMMYFUNCTION("GOOGLEFINANCE(A630,""CLOSEYEST"")"),392.9)</f>
        <v>392.9</v>
      </c>
      <c r="H630" s="17" t="str">
        <f t="shared" si="14"/>
        <v/>
      </c>
      <c r="I630" s="18">
        <f t="shared" si="9"/>
        <v>409.85</v>
      </c>
      <c r="J630" s="19">
        <f t="shared" si="10"/>
        <v>427.85</v>
      </c>
      <c r="K630" s="19"/>
      <c r="L630" s="19">
        <f t="shared" si="11"/>
        <v>374.9</v>
      </c>
      <c r="M630" s="19">
        <f t="shared" si="12"/>
        <v>462.8</v>
      </c>
      <c r="N630" s="19">
        <f t="shared" si="13"/>
        <v>356.9</v>
      </c>
    </row>
    <row r="631" ht="24.75" customHeight="1">
      <c r="A631" s="21" t="s">
        <v>594</v>
      </c>
      <c r="B631" s="13">
        <f>IFERROR(__xludf.DUMMYFUNCTION("GOOGLEFINANCE(A631,""PRICE"")"),0.0)</f>
        <v>0</v>
      </c>
      <c r="C631" s="14">
        <f>IFERROR(__xludf.DUMMYFUNCTION("GOOGLEFINANCE(A631,""PRICEOPEN"")"),0.0)</f>
        <v>0</v>
      </c>
      <c r="D631" s="14">
        <f>IFERROR(__xludf.DUMMYFUNCTION("GOOGLEFINANCE(A631,""HIGH"")"),0.0)</f>
        <v>0</v>
      </c>
      <c r="E631" s="14">
        <f>IFERROR(__xludf.DUMMYFUNCTION("GOOGLEFINANCE(A631,""LOW"")"),0.0)</f>
        <v>0</v>
      </c>
      <c r="F631" s="15" t="str">
        <f t="shared" si="8"/>
        <v>SELL</v>
      </c>
      <c r="G631" s="16">
        <f>IFERROR(__xludf.DUMMYFUNCTION("GOOGLEFINANCE(A631,""CLOSEYEST"")"),0.0)</f>
        <v>0</v>
      </c>
      <c r="H631" s="17" t="str">
        <f t="shared" si="14"/>
        <v>GAP UP</v>
      </c>
      <c r="I631" s="18">
        <f t="shared" si="9"/>
        <v>0</v>
      </c>
      <c r="J631" s="19">
        <f t="shared" si="10"/>
        <v>0</v>
      </c>
      <c r="K631" s="19"/>
      <c r="L631" s="19">
        <f t="shared" si="11"/>
        <v>0</v>
      </c>
      <c r="M631" s="19">
        <f t="shared" si="12"/>
        <v>0</v>
      </c>
      <c r="N631" s="19">
        <f t="shared" si="13"/>
        <v>0</v>
      </c>
    </row>
    <row r="632" ht="24.75" customHeight="1">
      <c r="A632" s="21" t="s">
        <v>595</v>
      </c>
      <c r="B632" s="13">
        <f>IFERROR(__xludf.DUMMYFUNCTION("GOOGLEFINANCE(A632,""PRICE"")"),58.41)</f>
        <v>58.41</v>
      </c>
      <c r="C632" s="14">
        <f>IFERROR(__xludf.DUMMYFUNCTION("GOOGLEFINANCE(A632,""PRICEOPEN"")"),55.2)</f>
        <v>55.2</v>
      </c>
      <c r="D632" s="14">
        <f>IFERROR(__xludf.DUMMYFUNCTION("GOOGLEFINANCE(A632,""HIGH"")"),58.61)</f>
        <v>58.61</v>
      </c>
      <c r="E632" s="14">
        <f>IFERROR(__xludf.DUMMYFUNCTION("GOOGLEFINANCE(A632,""LOW"")"),55.05)</f>
        <v>55.05</v>
      </c>
      <c r="F632" s="15" t="str">
        <f t="shared" si="8"/>
        <v/>
      </c>
      <c r="G632" s="16">
        <f>IFERROR(__xludf.DUMMYFUNCTION("GOOGLEFINANCE(A632,""CLOSEYEST"")"),55.34)</f>
        <v>55.34</v>
      </c>
      <c r="H632" s="17" t="str">
        <f t="shared" si="14"/>
        <v/>
      </c>
      <c r="I632" s="18">
        <f t="shared" si="9"/>
        <v>56.33333333</v>
      </c>
      <c r="J632" s="19">
        <f t="shared" si="10"/>
        <v>57.61666667</v>
      </c>
      <c r="K632" s="19"/>
      <c r="L632" s="19">
        <f t="shared" si="11"/>
        <v>54.05666667</v>
      </c>
      <c r="M632" s="19">
        <f t="shared" si="12"/>
        <v>59.89333333</v>
      </c>
      <c r="N632" s="19">
        <f t="shared" si="13"/>
        <v>52.77333333</v>
      </c>
    </row>
    <row r="633" ht="24.75" customHeight="1">
      <c r="A633" s="21" t="s">
        <v>596</v>
      </c>
      <c r="B633" s="13">
        <f>IFERROR(__xludf.DUMMYFUNCTION("GOOGLEFINANCE(A633,""PRICE"")"),366.0)</f>
        <v>366</v>
      </c>
      <c r="C633" s="14">
        <f>IFERROR(__xludf.DUMMYFUNCTION("GOOGLEFINANCE(A633,""PRICEOPEN"")"),356.5)</f>
        <v>356.5</v>
      </c>
      <c r="D633" s="14">
        <f>IFERROR(__xludf.DUMMYFUNCTION("GOOGLEFINANCE(A633,""HIGH"")"),368.0)</f>
        <v>368</v>
      </c>
      <c r="E633" s="14">
        <f>IFERROR(__xludf.DUMMYFUNCTION("GOOGLEFINANCE(A633,""LOW"")"),353.8)</f>
        <v>353.8</v>
      </c>
      <c r="F633" s="15" t="str">
        <f t="shared" si="8"/>
        <v/>
      </c>
      <c r="G633" s="16">
        <f>IFERROR(__xludf.DUMMYFUNCTION("GOOGLEFINANCE(A633,""CLOSEYEST"")"),352.7)</f>
        <v>352.7</v>
      </c>
      <c r="H633" s="17" t="str">
        <f t="shared" si="14"/>
        <v>GAP UP</v>
      </c>
      <c r="I633" s="18">
        <f t="shared" si="9"/>
        <v>358.1666667</v>
      </c>
      <c r="J633" s="19">
        <f t="shared" si="10"/>
        <v>362.5333333</v>
      </c>
      <c r="K633" s="19"/>
      <c r="L633" s="19">
        <f t="shared" si="11"/>
        <v>348.3333333</v>
      </c>
      <c r="M633" s="19">
        <f t="shared" si="12"/>
        <v>372.3666667</v>
      </c>
      <c r="N633" s="19">
        <f t="shared" si="13"/>
        <v>343.9666667</v>
      </c>
    </row>
    <row r="634" ht="24.75" customHeight="1">
      <c r="A634" s="21" t="s">
        <v>597</v>
      </c>
      <c r="B634" s="13">
        <f>IFERROR(__xludf.DUMMYFUNCTION("GOOGLEFINANCE(A634,""PRICE"")"),1524.6)</f>
        <v>1524.6</v>
      </c>
      <c r="C634" s="14">
        <f>IFERROR(__xludf.DUMMYFUNCTION("GOOGLEFINANCE(A634,""PRICEOPEN"")"),1537.5)</f>
        <v>1537.5</v>
      </c>
      <c r="D634" s="14">
        <f>IFERROR(__xludf.DUMMYFUNCTION("GOOGLEFINANCE(A634,""HIGH"")"),1568.8)</f>
        <v>1568.8</v>
      </c>
      <c r="E634" s="14">
        <f>IFERROR(__xludf.DUMMYFUNCTION("GOOGLEFINANCE(A634,""LOW"")"),1510.2)</f>
        <v>1510.2</v>
      </c>
      <c r="F634" s="15" t="str">
        <f t="shared" si="8"/>
        <v/>
      </c>
      <c r="G634" s="16">
        <f>IFERROR(__xludf.DUMMYFUNCTION("GOOGLEFINANCE(A634,""CLOSEYEST"")"),1537.5)</f>
        <v>1537.5</v>
      </c>
      <c r="H634" s="17" t="str">
        <f t="shared" si="14"/>
        <v/>
      </c>
      <c r="I634" s="18">
        <f t="shared" si="9"/>
        <v>1538.833333</v>
      </c>
      <c r="J634" s="19">
        <f t="shared" si="10"/>
        <v>1567.466667</v>
      </c>
      <c r="K634" s="19"/>
      <c r="L634" s="19">
        <f t="shared" si="11"/>
        <v>1508.866667</v>
      </c>
      <c r="M634" s="19">
        <f t="shared" si="12"/>
        <v>1597.433333</v>
      </c>
      <c r="N634" s="19">
        <f t="shared" si="13"/>
        <v>1480.233333</v>
      </c>
    </row>
    <row r="635" ht="24.75" customHeight="1">
      <c r="A635" s="21" t="s">
        <v>598</v>
      </c>
      <c r="B635" s="13">
        <f>IFERROR(__xludf.DUMMYFUNCTION("GOOGLEFINANCE(A635,""PRICE"")"),269.0)</f>
        <v>269</v>
      </c>
      <c r="C635" s="14">
        <f>IFERROR(__xludf.DUMMYFUNCTION("GOOGLEFINANCE(A635,""PRICEOPEN"")"),265.55)</f>
        <v>265.55</v>
      </c>
      <c r="D635" s="14">
        <f>IFERROR(__xludf.DUMMYFUNCTION("GOOGLEFINANCE(A635,""HIGH"")"),269.25)</f>
        <v>269.25</v>
      </c>
      <c r="E635" s="14">
        <f>IFERROR(__xludf.DUMMYFUNCTION("GOOGLEFINANCE(A635,""LOW"")"),265.0)</f>
        <v>265</v>
      </c>
      <c r="F635" s="15" t="str">
        <f t="shared" si="8"/>
        <v/>
      </c>
      <c r="G635" s="16">
        <f>IFERROR(__xludf.DUMMYFUNCTION("GOOGLEFINANCE(A635,""CLOSEYEST"")"),268.55)</f>
        <v>268.55</v>
      </c>
      <c r="H635" s="17" t="str">
        <f t="shared" si="14"/>
        <v>GAP DOWN</v>
      </c>
      <c r="I635" s="18">
        <f t="shared" si="9"/>
        <v>267.6</v>
      </c>
      <c r="J635" s="19">
        <f t="shared" si="10"/>
        <v>270.2</v>
      </c>
      <c r="K635" s="19"/>
      <c r="L635" s="19">
        <f t="shared" si="11"/>
        <v>265.95</v>
      </c>
      <c r="M635" s="19">
        <f t="shared" si="12"/>
        <v>271.85</v>
      </c>
      <c r="N635" s="19">
        <f t="shared" si="13"/>
        <v>263.35</v>
      </c>
    </row>
    <row r="636" ht="24.75" customHeight="1">
      <c r="A636" s="21" t="s">
        <v>599</v>
      </c>
      <c r="B636" s="13">
        <f>IFERROR(__xludf.DUMMYFUNCTION("GOOGLEFINANCE(A636,""PRICE"")"),399.05)</f>
        <v>399.05</v>
      </c>
      <c r="C636" s="14">
        <f>IFERROR(__xludf.DUMMYFUNCTION("GOOGLEFINANCE(A636,""PRICEOPEN"")"),383.8)</f>
        <v>383.8</v>
      </c>
      <c r="D636" s="14">
        <f>IFERROR(__xludf.DUMMYFUNCTION("GOOGLEFINANCE(A636,""HIGH"")"),403.3)</f>
        <v>403.3</v>
      </c>
      <c r="E636" s="14">
        <f>IFERROR(__xludf.DUMMYFUNCTION("GOOGLEFINANCE(A636,""LOW"")"),382.65)</f>
        <v>382.65</v>
      </c>
      <c r="F636" s="15" t="str">
        <f t="shared" si="8"/>
        <v/>
      </c>
      <c r="G636" s="16">
        <f>IFERROR(__xludf.DUMMYFUNCTION("GOOGLEFINANCE(A636,""CLOSEYEST"")"),382.9)</f>
        <v>382.9</v>
      </c>
      <c r="H636" s="17" t="str">
        <f t="shared" si="14"/>
        <v/>
      </c>
      <c r="I636" s="18">
        <f t="shared" si="9"/>
        <v>389.6166667</v>
      </c>
      <c r="J636" s="19">
        <f t="shared" si="10"/>
        <v>396.5833333</v>
      </c>
      <c r="K636" s="19"/>
      <c r="L636" s="19">
        <f t="shared" si="11"/>
        <v>375.9333333</v>
      </c>
      <c r="M636" s="19">
        <f t="shared" si="12"/>
        <v>410.2666667</v>
      </c>
      <c r="N636" s="19">
        <f t="shared" si="13"/>
        <v>368.9666667</v>
      </c>
    </row>
    <row r="637" ht="24.75" customHeight="1">
      <c r="A637" s="21" t="s">
        <v>600</v>
      </c>
      <c r="B637" s="13">
        <f>IFERROR(__xludf.DUMMYFUNCTION("GOOGLEFINANCE(A637,""PRICE"")"),341.45)</f>
        <v>341.45</v>
      </c>
      <c r="C637" s="14">
        <f>IFERROR(__xludf.DUMMYFUNCTION("GOOGLEFINANCE(A637,""PRICEOPEN"")"),328.7)</f>
        <v>328.7</v>
      </c>
      <c r="D637" s="14">
        <f>IFERROR(__xludf.DUMMYFUNCTION("GOOGLEFINANCE(A637,""HIGH"")"),341.7)</f>
        <v>341.7</v>
      </c>
      <c r="E637" s="14">
        <f>IFERROR(__xludf.DUMMYFUNCTION("GOOGLEFINANCE(A637,""LOW"")"),328.7)</f>
        <v>328.7</v>
      </c>
      <c r="F637" s="15" t="str">
        <f t="shared" si="8"/>
        <v>BUY</v>
      </c>
      <c r="G637" s="16">
        <f>IFERROR(__xludf.DUMMYFUNCTION("GOOGLEFINANCE(A637,""CLOSEYEST"")"),334.0)</f>
        <v>334</v>
      </c>
      <c r="H637" s="17" t="str">
        <f t="shared" si="14"/>
        <v>GAP DOWN</v>
      </c>
      <c r="I637" s="18">
        <f t="shared" si="9"/>
        <v>334.8</v>
      </c>
      <c r="J637" s="19">
        <f t="shared" si="10"/>
        <v>340.9</v>
      </c>
      <c r="K637" s="19"/>
      <c r="L637" s="19">
        <f t="shared" si="11"/>
        <v>327.9</v>
      </c>
      <c r="M637" s="19">
        <f t="shared" si="12"/>
        <v>347.8</v>
      </c>
      <c r="N637" s="19">
        <f t="shared" si="13"/>
        <v>321.8</v>
      </c>
    </row>
    <row r="638" ht="24.75" customHeight="1">
      <c r="A638" s="21" t="s">
        <v>601</v>
      </c>
      <c r="B638" s="13">
        <f>IFERROR(__xludf.DUMMYFUNCTION("GOOGLEFINANCE(A638,""PRICE"")"),0.73)</f>
        <v>0.73</v>
      </c>
      <c r="C638" s="14">
        <f>IFERROR(__xludf.DUMMYFUNCTION("GOOGLEFINANCE(A638,""PRICEOPEN"")"),0.73)</f>
        <v>0.73</v>
      </c>
      <c r="D638" s="14">
        <f>IFERROR(__xludf.DUMMYFUNCTION("GOOGLEFINANCE(A638,""HIGH"")"),0.73)</f>
        <v>0.73</v>
      </c>
      <c r="E638" s="14">
        <f>IFERROR(__xludf.DUMMYFUNCTION("GOOGLEFINANCE(A638,""LOW"")"),0.73)</f>
        <v>0.73</v>
      </c>
      <c r="F638" s="15" t="str">
        <f t="shared" si="8"/>
        <v>SELL</v>
      </c>
      <c r="G638" s="16">
        <f>IFERROR(__xludf.DUMMYFUNCTION("GOOGLEFINANCE(A638,""CLOSEYEST"")"),0.73)</f>
        <v>0.73</v>
      </c>
      <c r="H638" s="17" t="str">
        <f t="shared" si="14"/>
        <v/>
      </c>
      <c r="I638" s="18">
        <f t="shared" si="9"/>
        <v>0.73</v>
      </c>
      <c r="J638" s="19">
        <f t="shared" si="10"/>
        <v>0.73</v>
      </c>
      <c r="K638" s="19"/>
      <c r="L638" s="19">
        <f t="shared" si="11"/>
        <v>0.73</v>
      </c>
      <c r="M638" s="19">
        <f t="shared" si="12"/>
        <v>0.73</v>
      </c>
      <c r="N638" s="19">
        <f t="shared" si="13"/>
        <v>0.73</v>
      </c>
    </row>
    <row r="639" ht="24.75" customHeight="1">
      <c r="A639" s="21" t="s">
        <v>602</v>
      </c>
      <c r="B639" s="13">
        <f>IFERROR(__xludf.DUMMYFUNCTION("GOOGLEFINANCE(A639,""PRICE"")"),373.5)</f>
        <v>373.5</v>
      </c>
      <c r="C639" s="14">
        <f>IFERROR(__xludf.DUMMYFUNCTION("GOOGLEFINANCE(A639,""PRICEOPEN"")"),366.2)</f>
        <v>366.2</v>
      </c>
      <c r="D639" s="14">
        <f>IFERROR(__xludf.DUMMYFUNCTION("GOOGLEFINANCE(A639,""HIGH"")"),375.6)</f>
        <v>375.6</v>
      </c>
      <c r="E639" s="14">
        <f>IFERROR(__xludf.DUMMYFUNCTION("GOOGLEFINANCE(A639,""LOW"")"),363.7)</f>
        <v>363.7</v>
      </c>
      <c r="F639" s="15" t="str">
        <f t="shared" si="8"/>
        <v/>
      </c>
      <c r="G639" s="16">
        <f>IFERROR(__xludf.DUMMYFUNCTION("GOOGLEFINANCE(A639,""CLOSEYEST"")"),366.45)</f>
        <v>366.45</v>
      </c>
      <c r="H639" s="17" t="str">
        <f t="shared" si="14"/>
        <v/>
      </c>
      <c r="I639" s="18">
        <f t="shared" si="9"/>
        <v>368.5833333</v>
      </c>
      <c r="J639" s="19">
        <f t="shared" si="10"/>
        <v>373.4666667</v>
      </c>
      <c r="K639" s="19"/>
      <c r="L639" s="19">
        <f t="shared" si="11"/>
        <v>361.5666667</v>
      </c>
      <c r="M639" s="19">
        <f t="shared" si="12"/>
        <v>380.4833333</v>
      </c>
      <c r="N639" s="19">
        <f t="shared" si="13"/>
        <v>356.6833333</v>
      </c>
    </row>
    <row r="640" ht="24.75" customHeight="1">
      <c r="A640" s="21" t="s">
        <v>603</v>
      </c>
      <c r="B640" s="13" t="str">
        <f>IFERROR(__xludf.DUMMYFUNCTION("GOOGLEFINANCE(A640,""PRICE"")"),"#N/A")</f>
        <v>#N/A</v>
      </c>
      <c r="C640" s="14" t="str">
        <f>IFERROR(__xludf.DUMMYFUNCTION("GOOGLEFINANCE(A640,""PRICEOPEN"")"),"#N/A")</f>
        <v>#N/A</v>
      </c>
      <c r="D640" s="14" t="str">
        <f>IFERROR(__xludf.DUMMYFUNCTION("GOOGLEFINANCE(A640,""HIGH"")"),"#N/A")</f>
        <v>#N/A</v>
      </c>
      <c r="E640" s="14" t="str">
        <f>IFERROR(__xludf.DUMMYFUNCTION("GOOGLEFINANCE(A640,""LOW"")"),"#N/A")</f>
        <v>#N/A</v>
      </c>
      <c r="F640" s="15" t="str">
        <f t="shared" si="8"/>
        <v>#N/A</v>
      </c>
      <c r="G640" s="16" t="str">
        <f>IFERROR(__xludf.DUMMYFUNCTION("GOOGLEFINANCE(A640,""CLOSEYEST"")"),"#N/A")</f>
        <v>#N/A</v>
      </c>
      <c r="H640" s="17" t="str">
        <f t="shared" si="14"/>
        <v>#N/A</v>
      </c>
      <c r="I640" s="18" t="str">
        <f t="shared" si="9"/>
        <v>#N/A</v>
      </c>
      <c r="J640" s="19" t="str">
        <f t="shared" si="10"/>
        <v>#N/A</v>
      </c>
      <c r="K640" s="19"/>
      <c r="L640" s="19" t="str">
        <f t="shared" si="11"/>
        <v>#N/A</v>
      </c>
      <c r="M640" s="19" t="str">
        <f t="shared" si="12"/>
        <v>#N/A</v>
      </c>
      <c r="N640" s="19" t="str">
        <f t="shared" si="13"/>
        <v>#N/A</v>
      </c>
    </row>
    <row r="641" ht="24.75" customHeight="1">
      <c r="A641" s="21" t="s">
        <v>604</v>
      </c>
      <c r="B641" s="13">
        <f>IFERROR(__xludf.DUMMYFUNCTION("GOOGLEFINANCE(A641,""PRICE"")"),5.0)</f>
        <v>5</v>
      </c>
      <c r="C641" s="14">
        <f>IFERROR(__xludf.DUMMYFUNCTION("GOOGLEFINANCE(A641,""PRICEOPEN"")"),4.99)</f>
        <v>4.99</v>
      </c>
      <c r="D641" s="14">
        <f>IFERROR(__xludf.DUMMYFUNCTION("GOOGLEFINANCE(A641,""HIGH"")"),5.01)</f>
        <v>5.01</v>
      </c>
      <c r="E641" s="14">
        <f>IFERROR(__xludf.DUMMYFUNCTION("GOOGLEFINANCE(A641,""LOW"")"),4.92)</f>
        <v>4.92</v>
      </c>
      <c r="F641" s="15" t="str">
        <f t="shared" si="8"/>
        <v/>
      </c>
      <c r="G641" s="16">
        <f>IFERROR(__xludf.DUMMYFUNCTION("GOOGLEFINANCE(A641,""CLOSEYEST"")"),4.95)</f>
        <v>4.95</v>
      </c>
      <c r="H641" s="17" t="str">
        <f t="shared" si="14"/>
        <v/>
      </c>
      <c r="I641" s="18">
        <f t="shared" si="9"/>
        <v>4.96</v>
      </c>
      <c r="J641" s="19">
        <f t="shared" si="10"/>
        <v>5</v>
      </c>
      <c r="K641" s="19"/>
      <c r="L641" s="19">
        <f t="shared" si="11"/>
        <v>4.91</v>
      </c>
      <c r="M641" s="19">
        <f t="shared" si="12"/>
        <v>5.05</v>
      </c>
      <c r="N641" s="19">
        <f t="shared" si="13"/>
        <v>4.87</v>
      </c>
    </row>
    <row r="642" ht="24.75" customHeight="1">
      <c r="A642" s="21" t="s">
        <v>605</v>
      </c>
      <c r="B642" s="13" t="str">
        <f>IFERROR(__xludf.DUMMYFUNCTION("GOOGLEFINANCE(A642,""PRICE"")"),"#N/A")</f>
        <v>#N/A</v>
      </c>
      <c r="C642" s="14" t="str">
        <f>IFERROR(__xludf.DUMMYFUNCTION("GOOGLEFINANCE(A642,""PRICEOPEN"")"),"#N/A")</f>
        <v>#N/A</v>
      </c>
      <c r="D642" s="14" t="str">
        <f>IFERROR(__xludf.DUMMYFUNCTION("GOOGLEFINANCE(A642,""HIGH"")"),"#N/A")</f>
        <v>#N/A</v>
      </c>
      <c r="E642" s="14" t="str">
        <f>IFERROR(__xludf.DUMMYFUNCTION("GOOGLEFINANCE(A642,""LOW"")"),"#N/A")</f>
        <v>#N/A</v>
      </c>
      <c r="F642" s="15" t="str">
        <f t="shared" si="8"/>
        <v>#N/A</v>
      </c>
      <c r="G642" s="16" t="str">
        <f>IFERROR(__xludf.DUMMYFUNCTION("GOOGLEFINANCE(A642,""CLOSEYEST"")"),"#N/A")</f>
        <v>#N/A</v>
      </c>
      <c r="H642" s="17" t="str">
        <f t="shared" si="14"/>
        <v>#N/A</v>
      </c>
      <c r="I642" s="18" t="str">
        <f t="shared" si="9"/>
        <v>#N/A</v>
      </c>
      <c r="J642" s="19" t="str">
        <f t="shared" si="10"/>
        <v>#N/A</v>
      </c>
      <c r="K642" s="19"/>
      <c r="L642" s="19" t="str">
        <f t="shared" si="11"/>
        <v>#N/A</v>
      </c>
      <c r="M642" s="19" t="str">
        <f t="shared" si="12"/>
        <v>#N/A</v>
      </c>
      <c r="N642" s="19" t="str">
        <f t="shared" si="13"/>
        <v>#N/A</v>
      </c>
    </row>
    <row r="643" ht="24.75" customHeight="1">
      <c r="A643" s="21" t="s">
        <v>606</v>
      </c>
      <c r="B643" s="13">
        <f>IFERROR(__xludf.DUMMYFUNCTION("GOOGLEFINANCE(A643,""PRICE"")"),1339.0)</f>
        <v>1339</v>
      </c>
      <c r="C643" s="14">
        <f>IFERROR(__xludf.DUMMYFUNCTION("GOOGLEFINANCE(A643,""PRICEOPEN"")"),1332.0)</f>
        <v>1332</v>
      </c>
      <c r="D643" s="14">
        <f>IFERROR(__xludf.DUMMYFUNCTION("GOOGLEFINANCE(A643,""HIGH"")"),1343.7)</f>
        <v>1343.7</v>
      </c>
      <c r="E643" s="14">
        <f>IFERROR(__xludf.DUMMYFUNCTION("GOOGLEFINANCE(A643,""LOW"")"),1323.0)</f>
        <v>1323</v>
      </c>
      <c r="F643" s="15" t="str">
        <f t="shared" si="8"/>
        <v/>
      </c>
      <c r="G643" s="16">
        <f>IFERROR(__xludf.DUMMYFUNCTION("GOOGLEFINANCE(A643,""CLOSEYEST"")"),1335.7)</f>
        <v>1335.7</v>
      </c>
      <c r="H643" s="17" t="str">
        <f t="shared" si="14"/>
        <v/>
      </c>
      <c r="I643" s="18">
        <f t="shared" si="9"/>
        <v>1334.133333</v>
      </c>
      <c r="J643" s="19">
        <f t="shared" si="10"/>
        <v>1345.266667</v>
      </c>
      <c r="K643" s="19"/>
      <c r="L643" s="19">
        <f t="shared" si="11"/>
        <v>1324.566667</v>
      </c>
      <c r="M643" s="19">
        <f t="shared" si="12"/>
        <v>1354.833333</v>
      </c>
      <c r="N643" s="19">
        <f t="shared" si="13"/>
        <v>1313.433333</v>
      </c>
    </row>
    <row r="644" ht="24.75" customHeight="1">
      <c r="A644" s="21" t="s">
        <v>607</v>
      </c>
      <c r="B644" s="13">
        <f>IFERROR(__xludf.DUMMYFUNCTION("GOOGLEFINANCE(A644,""PRICE"")"),283.1)</f>
        <v>283.1</v>
      </c>
      <c r="C644" s="14">
        <f>IFERROR(__xludf.DUMMYFUNCTION("GOOGLEFINANCE(A644,""PRICEOPEN"")"),278.9)</f>
        <v>278.9</v>
      </c>
      <c r="D644" s="14">
        <f>IFERROR(__xludf.DUMMYFUNCTION("GOOGLEFINANCE(A644,""HIGH"")"),285.9)</f>
        <v>285.9</v>
      </c>
      <c r="E644" s="14">
        <f>IFERROR(__xludf.DUMMYFUNCTION("GOOGLEFINANCE(A644,""LOW"")"),276.3)</f>
        <v>276.3</v>
      </c>
      <c r="F644" s="15" t="str">
        <f t="shared" si="8"/>
        <v/>
      </c>
      <c r="G644" s="16">
        <f>IFERROR(__xludf.DUMMYFUNCTION("GOOGLEFINANCE(A644,""CLOSEYEST"")"),276.4)</f>
        <v>276.4</v>
      </c>
      <c r="H644" s="17" t="str">
        <f t="shared" si="14"/>
        <v/>
      </c>
      <c r="I644" s="18">
        <f t="shared" si="9"/>
        <v>279.5333333</v>
      </c>
      <c r="J644" s="19">
        <f t="shared" si="10"/>
        <v>282.7666667</v>
      </c>
      <c r="K644" s="19"/>
      <c r="L644" s="19">
        <f t="shared" si="11"/>
        <v>273.1666667</v>
      </c>
      <c r="M644" s="19">
        <f t="shared" si="12"/>
        <v>289.1333333</v>
      </c>
      <c r="N644" s="19">
        <f t="shared" si="13"/>
        <v>269.9333333</v>
      </c>
    </row>
    <row r="645" ht="24.75" customHeight="1">
      <c r="A645" s="21" t="s">
        <v>608</v>
      </c>
      <c r="B645" s="13">
        <f>IFERROR(__xludf.DUMMYFUNCTION("GOOGLEFINANCE(A645,""PRICE"")"),206.5)</f>
        <v>206.5</v>
      </c>
      <c r="C645" s="14">
        <f>IFERROR(__xludf.DUMMYFUNCTION("GOOGLEFINANCE(A645,""PRICEOPEN"")"),204.6)</f>
        <v>204.6</v>
      </c>
      <c r="D645" s="14">
        <f>IFERROR(__xludf.DUMMYFUNCTION("GOOGLEFINANCE(A645,""HIGH"")"),206.9)</f>
        <v>206.9</v>
      </c>
      <c r="E645" s="14">
        <f>IFERROR(__xludf.DUMMYFUNCTION("GOOGLEFINANCE(A645,""LOW"")"),202.76)</f>
        <v>202.76</v>
      </c>
      <c r="F645" s="15" t="str">
        <f t="shared" si="8"/>
        <v/>
      </c>
      <c r="G645" s="16">
        <f>IFERROR(__xludf.DUMMYFUNCTION("GOOGLEFINANCE(A645,""CLOSEYEST"")"),204.48)</f>
        <v>204.48</v>
      </c>
      <c r="H645" s="17" t="str">
        <f t="shared" si="14"/>
        <v/>
      </c>
      <c r="I645" s="18">
        <f t="shared" si="9"/>
        <v>204.7133333</v>
      </c>
      <c r="J645" s="19">
        <f t="shared" si="10"/>
        <v>206.6666667</v>
      </c>
      <c r="K645" s="19"/>
      <c r="L645" s="19">
        <f t="shared" si="11"/>
        <v>202.5266667</v>
      </c>
      <c r="M645" s="19">
        <f t="shared" si="12"/>
        <v>208.8533333</v>
      </c>
      <c r="N645" s="19">
        <f t="shared" si="13"/>
        <v>200.5733333</v>
      </c>
    </row>
    <row r="646" ht="24.75" customHeight="1">
      <c r="A646" s="21" t="s">
        <v>609</v>
      </c>
      <c r="B646" s="13">
        <f>IFERROR(__xludf.DUMMYFUNCTION("GOOGLEFINANCE(A646,""PRICE"")"),6253.0)</f>
        <v>6253</v>
      </c>
      <c r="C646" s="14">
        <f>IFERROR(__xludf.DUMMYFUNCTION("GOOGLEFINANCE(A646,""PRICEOPEN"")"),6236.0)</f>
        <v>6236</v>
      </c>
      <c r="D646" s="14">
        <f>IFERROR(__xludf.DUMMYFUNCTION("GOOGLEFINANCE(A646,""HIGH"")"),6350.0)</f>
        <v>6350</v>
      </c>
      <c r="E646" s="14">
        <f>IFERROR(__xludf.DUMMYFUNCTION("GOOGLEFINANCE(A646,""LOW"")"),6151.0)</f>
        <v>6151</v>
      </c>
      <c r="F646" s="15" t="str">
        <f t="shared" si="8"/>
        <v/>
      </c>
      <c r="G646" s="16">
        <f>IFERROR(__xludf.DUMMYFUNCTION("GOOGLEFINANCE(A646,""CLOSEYEST"")"),6299.5)</f>
        <v>6299.5</v>
      </c>
      <c r="H646" s="17" t="str">
        <f t="shared" si="14"/>
        <v>GAP DOWN</v>
      </c>
      <c r="I646" s="18">
        <f t="shared" si="9"/>
        <v>6266.833333</v>
      </c>
      <c r="J646" s="19">
        <f t="shared" si="10"/>
        <v>6382.666667</v>
      </c>
      <c r="K646" s="19"/>
      <c r="L646" s="19">
        <f t="shared" si="11"/>
        <v>6183.666667</v>
      </c>
      <c r="M646" s="19">
        <f t="shared" si="12"/>
        <v>6465.833333</v>
      </c>
      <c r="N646" s="19">
        <f t="shared" si="13"/>
        <v>6067.833333</v>
      </c>
    </row>
    <row r="647" ht="24.75" customHeight="1">
      <c r="A647" s="21" t="s">
        <v>610</v>
      </c>
      <c r="B647" s="13" t="str">
        <f>IFERROR(__xludf.DUMMYFUNCTION("GOOGLEFINANCE(A647,""PRICE"")"),"#N/A")</f>
        <v>#N/A</v>
      </c>
      <c r="C647" s="14" t="str">
        <f>IFERROR(__xludf.DUMMYFUNCTION("GOOGLEFINANCE(A647,""PRICEOPEN"")"),"#N/A")</f>
        <v>#N/A</v>
      </c>
      <c r="D647" s="14" t="str">
        <f>IFERROR(__xludf.DUMMYFUNCTION("GOOGLEFINANCE(A647,""HIGH"")"),"#N/A")</f>
        <v>#N/A</v>
      </c>
      <c r="E647" s="14" t="str">
        <f>IFERROR(__xludf.DUMMYFUNCTION("GOOGLEFINANCE(A647,""LOW"")"),"#N/A")</f>
        <v>#N/A</v>
      </c>
      <c r="F647" s="15" t="str">
        <f t="shared" si="8"/>
        <v>#N/A</v>
      </c>
      <c r="G647" s="16" t="str">
        <f>IFERROR(__xludf.DUMMYFUNCTION("GOOGLEFINANCE(A647,""CLOSEYEST"")"),"#N/A")</f>
        <v>#N/A</v>
      </c>
      <c r="H647" s="17" t="str">
        <f t="shared" si="14"/>
        <v>#N/A</v>
      </c>
      <c r="I647" s="18" t="str">
        <f t="shared" si="9"/>
        <v>#N/A</v>
      </c>
      <c r="J647" s="19" t="str">
        <f t="shared" si="10"/>
        <v>#N/A</v>
      </c>
      <c r="K647" s="19"/>
      <c r="L647" s="19" t="str">
        <f t="shared" si="11"/>
        <v>#N/A</v>
      </c>
      <c r="M647" s="19" t="str">
        <f t="shared" si="12"/>
        <v>#N/A</v>
      </c>
      <c r="N647" s="19" t="str">
        <f t="shared" si="13"/>
        <v>#N/A</v>
      </c>
    </row>
    <row r="648" ht="24.75" customHeight="1">
      <c r="A648" s="21" t="s">
        <v>611</v>
      </c>
      <c r="B648" s="13">
        <f>IFERROR(__xludf.DUMMYFUNCTION("GOOGLEFINANCE(A648,""PRICE"")"),302.1)</f>
        <v>302.1</v>
      </c>
      <c r="C648" s="14">
        <f>IFERROR(__xludf.DUMMYFUNCTION("GOOGLEFINANCE(A648,""PRICEOPEN"")"),308.5)</f>
        <v>308.5</v>
      </c>
      <c r="D648" s="14">
        <f>IFERROR(__xludf.DUMMYFUNCTION("GOOGLEFINANCE(A648,""HIGH"")"),308.5)</f>
        <v>308.5</v>
      </c>
      <c r="E648" s="14">
        <f>IFERROR(__xludf.DUMMYFUNCTION("GOOGLEFINANCE(A648,""LOW"")"),300.5)</f>
        <v>300.5</v>
      </c>
      <c r="F648" s="15" t="str">
        <f t="shared" si="8"/>
        <v>SELL</v>
      </c>
      <c r="G648" s="16">
        <f>IFERROR(__xludf.DUMMYFUNCTION("GOOGLEFINANCE(A648,""CLOSEYEST"")"),306.85)</f>
        <v>306.85</v>
      </c>
      <c r="H648" s="17" t="str">
        <f t="shared" si="14"/>
        <v/>
      </c>
      <c r="I648" s="18">
        <f t="shared" si="9"/>
        <v>305.2833333</v>
      </c>
      <c r="J648" s="19">
        <f t="shared" si="10"/>
        <v>310.0666667</v>
      </c>
      <c r="K648" s="19"/>
      <c r="L648" s="19">
        <f t="shared" si="11"/>
        <v>302.0666667</v>
      </c>
      <c r="M648" s="19">
        <f t="shared" si="12"/>
        <v>313.2833333</v>
      </c>
      <c r="N648" s="19">
        <f t="shared" si="13"/>
        <v>297.2833333</v>
      </c>
    </row>
    <row r="649" ht="24.75" customHeight="1">
      <c r="A649" s="21" t="s">
        <v>612</v>
      </c>
      <c r="B649" s="13">
        <f>IFERROR(__xludf.DUMMYFUNCTION("GOOGLEFINANCE(A649,""PRICE"")"),372.8)</f>
        <v>372.8</v>
      </c>
      <c r="C649" s="14">
        <f>IFERROR(__xludf.DUMMYFUNCTION("GOOGLEFINANCE(A649,""PRICEOPEN"")"),373.0)</f>
        <v>373</v>
      </c>
      <c r="D649" s="14">
        <f>IFERROR(__xludf.DUMMYFUNCTION("GOOGLEFINANCE(A649,""HIGH"")"),374.45)</f>
        <v>374.45</v>
      </c>
      <c r="E649" s="14">
        <f>IFERROR(__xludf.DUMMYFUNCTION("GOOGLEFINANCE(A649,""LOW"")"),368.55)</f>
        <v>368.55</v>
      </c>
      <c r="F649" s="15" t="str">
        <f t="shared" si="8"/>
        <v/>
      </c>
      <c r="G649" s="16">
        <f>IFERROR(__xludf.DUMMYFUNCTION("GOOGLEFINANCE(A649,""CLOSEYEST"")"),372.35)</f>
        <v>372.35</v>
      </c>
      <c r="H649" s="17" t="str">
        <f t="shared" si="14"/>
        <v/>
      </c>
      <c r="I649" s="18">
        <f t="shared" si="9"/>
        <v>371.7833333</v>
      </c>
      <c r="J649" s="19">
        <f t="shared" si="10"/>
        <v>375.0166667</v>
      </c>
      <c r="K649" s="19"/>
      <c r="L649" s="19">
        <f t="shared" si="11"/>
        <v>369.1166667</v>
      </c>
      <c r="M649" s="19">
        <f t="shared" si="12"/>
        <v>377.6833333</v>
      </c>
      <c r="N649" s="19">
        <f t="shared" si="13"/>
        <v>365.8833333</v>
      </c>
    </row>
    <row r="650" ht="24.75" customHeight="1">
      <c r="A650" s="21" t="s">
        <v>613</v>
      </c>
      <c r="B650" s="13">
        <f>IFERROR(__xludf.DUMMYFUNCTION("GOOGLEFINANCE(A650,""PRICE"")"),203.0)</f>
        <v>203</v>
      </c>
      <c r="C650" s="14">
        <f>IFERROR(__xludf.DUMMYFUNCTION("GOOGLEFINANCE(A650,""PRICEOPEN"")"),203.2)</f>
        <v>203.2</v>
      </c>
      <c r="D650" s="14">
        <f>IFERROR(__xludf.DUMMYFUNCTION("GOOGLEFINANCE(A650,""HIGH"")"),204.54)</f>
        <v>204.54</v>
      </c>
      <c r="E650" s="14">
        <f>IFERROR(__xludf.DUMMYFUNCTION("GOOGLEFINANCE(A650,""LOW"")"),202.57)</f>
        <v>202.57</v>
      </c>
      <c r="F650" s="15" t="str">
        <f t="shared" si="8"/>
        <v/>
      </c>
      <c r="G650" s="16">
        <f>IFERROR(__xludf.DUMMYFUNCTION("GOOGLEFINANCE(A650,""CLOSEYEST"")"),203.02)</f>
        <v>203.02</v>
      </c>
      <c r="H650" s="17" t="str">
        <f t="shared" si="14"/>
        <v/>
      </c>
      <c r="I650" s="18">
        <f t="shared" si="9"/>
        <v>203.3766667</v>
      </c>
      <c r="J650" s="19">
        <f t="shared" si="10"/>
        <v>204.1833333</v>
      </c>
      <c r="K650" s="19"/>
      <c r="L650" s="19">
        <f t="shared" si="11"/>
        <v>202.2133333</v>
      </c>
      <c r="M650" s="19">
        <f t="shared" si="12"/>
        <v>205.3466667</v>
      </c>
      <c r="N650" s="19">
        <f t="shared" si="13"/>
        <v>201.4066667</v>
      </c>
    </row>
    <row r="651" ht="24.75" customHeight="1">
      <c r="A651" s="21" t="s">
        <v>614</v>
      </c>
      <c r="B651" s="13">
        <f>IFERROR(__xludf.DUMMYFUNCTION("GOOGLEFINANCE(A651,""PRICE"")"),34.15)</f>
        <v>34.15</v>
      </c>
      <c r="C651" s="14">
        <f>IFERROR(__xludf.DUMMYFUNCTION("GOOGLEFINANCE(A651,""PRICEOPEN"")"),34.11)</f>
        <v>34.11</v>
      </c>
      <c r="D651" s="14">
        <f>IFERROR(__xludf.DUMMYFUNCTION("GOOGLEFINANCE(A651,""HIGH"")"),34.24)</f>
        <v>34.24</v>
      </c>
      <c r="E651" s="14">
        <f>IFERROR(__xludf.DUMMYFUNCTION("GOOGLEFINANCE(A651,""LOW"")"),34.11)</f>
        <v>34.11</v>
      </c>
      <c r="F651" s="15" t="str">
        <f t="shared" si="8"/>
        <v>BUY</v>
      </c>
      <c r="G651" s="16">
        <f>IFERROR(__xludf.DUMMYFUNCTION("GOOGLEFINANCE(A651,""CLOSEYEST"")"),34.11)</f>
        <v>34.11</v>
      </c>
      <c r="H651" s="17" t="str">
        <f t="shared" si="14"/>
        <v/>
      </c>
      <c r="I651" s="18">
        <f t="shared" si="9"/>
        <v>34.15333333</v>
      </c>
      <c r="J651" s="19">
        <f t="shared" si="10"/>
        <v>34.19666667</v>
      </c>
      <c r="K651" s="19"/>
      <c r="L651" s="19">
        <f t="shared" si="11"/>
        <v>34.06666667</v>
      </c>
      <c r="M651" s="19">
        <f t="shared" si="12"/>
        <v>34.28333333</v>
      </c>
      <c r="N651" s="19">
        <f t="shared" si="13"/>
        <v>34.02333333</v>
      </c>
    </row>
    <row r="652" ht="24.75" customHeight="1">
      <c r="A652" s="21" t="s">
        <v>615</v>
      </c>
      <c r="B652" s="13">
        <f>IFERROR(__xludf.DUMMYFUNCTION("GOOGLEFINANCE(A652,""PRICE"")"),795.0)</f>
        <v>795</v>
      </c>
      <c r="C652" s="14">
        <f>IFERROR(__xludf.DUMMYFUNCTION("GOOGLEFINANCE(A652,""PRICEOPEN"")"),809.1)</f>
        <v>809.1</v>
      </c>
      <c r="D652" s="14">
        <f>IFERROR(__xludf.DUMMYFUNCTION("GOOGLEFINANCE(A652,""HIGH"")"),815.9)</f>
        <v>815.9</v>
      </c>
      <c r="E652" s="14">
        <f>IFERROR(__xludf.DUMMYFUNCTION("GOOGLEFINANCE(A652,""LOW"")"),790.0)</f>
        <v>790</v>
      </c>
      <c r="F652" s="15" t="str">
        <f t="shared" si="8"/>
        <v/>
      </c>
      <c r="G652" s="16">
        <f>IFERROR(__xludf.DUMMYFUNCTION("GOOGLEFINANCE(A652,""CLOSEYEST"")"),802.45)</f>
        <v>802.45</v>
      </c>
      <c r="H652" s="17" t="str">
        <f t="shared" si="14"/>
        <v/>
      </c>
      <c r="I652" s="18">
        <f t="shared" si="9"/>
        <v>802.7833333</v>
      </c>
      <c r="J652" s="19">
        <f t="shared" si="10"/>
        <v>815.5666667</v>
      </c>
      <c r="K652" s="19"/>
      <c r="L652" s="19">
        <f t="shared" si="11"/>
        <v>789.6666667</v>
      </c>
      <c r="M652" s="19">
        <f t="shared" si="12"/>
        <v>828.6833333</v>
      </c>
      <c r="N652" s="19">
        <f t="shared" si="13"/>
        <v>776.8833333</v>
      </c>
    </row>
    <row r="653" ht="24.75" customHeight="1">
      <c r="A653" s="21" t="s">
        <v>616</v>
      </c>
      <c r="B653" s="13">
        <f>IFERROR(__xludf.DUMMYFUNCTION("GOOGLEFINANCE(A653,""PRICE"")"),108.15)</f>
        <v>108.15</v>
      </c>
      <c r="C653" s="14">
        <f>IFERROR(__xludf.DUMMYFUNCTION("GOOGLEFINANCE(A653,""PRICEOPEN"")"),108.8)</f>
        <v>108.8</v>
      </c>
      <c r="D653" s="14">
        <f>IFERROR(__xludf.DUMMYFUNCTION("GOOGLEFINANCE(A653,""HIGH"")"),109.39)</f>
        <v>109.39</v>
      </c>
      <c r="E653" s="14">
        <f>IFERROR(__xludf.DUMMYFUNCTION("GOOGLEFINANCE(A653,""LOW"")"),107.5)</f>
        <v>107.5</v>
      </c>
      <c r="F653" s="15" t="str">
        <f t="shared" si="8"/>
        <v/>
      </c>
      <c r="G653" s="16">
        <f>IFERROR(__xludf.DUMMYFUNCTION("GOOGLEFINANCE(A653,""CLOSEYEST"")"),107.99)</f>
        <v>107.99</v>
      </c>
      <c r="H653" s="17" t="str">
        <f t="shared" si="14"/>
        <v/>
      </c>
      <c r="I653" s="18">
        <f t="shared" si="9"/>
        <v>108.2933333</v>
      </c>
      <c r="J653" s="19">
        <f t="shared" si="10"/>
        <v>109.0866667</v>
      </c>
      <c r="K653" s="19"/>
      <c r="L653" s="19">
        <f t="shared" si="11"/>
        <v>107.1966667</v>
      </c>
      <c r="M653" s="19">
        <f t="shared" si="12"/>
        <v>110.1833333</v>
      </c>
      <c r="N653" s="19">
        <f t="shared" si="13"/>
        <v>106.4033333</v>
      </c>
    </row>
    <row r="654" ht="24.75" customHeight="1">
      <c r="A654" s="21" t="s">
        <v>617</v>
      </c>
      <c r="B654" s="13">
        <f>IFERROR(__xludf.DUMMYFUNCTION("GOOGLEFINANCE(A654,""PRICE"")"),844.9)</f>
        <v>844.9</v>
      </c>
      <c r="C654" s="14">
        <f>IFERROR(__xludf.DUMMYFUNCTION("GOOGLEFINANCE(A654,""PRICEOPEN"")"),819.95)</f>
        <v>819.95</v>
      </c>
      <c r="D654" s="14">
        <f>IFERROR(__xludf.DUMMYFUNCTION("GOOGLEFINANCE(A654,""HIGH"")"),856.0)</f>
        <v>856</v>
      </c>
      <c r="E654" s="14">
        <f>IFERROR(__xludf.DUMMYFUNCTION("GOOGLEFINANCE(A654,""LOW"")"),816.7)</f>
        <v>816.7</v>
      </c>
      <c r="F654" s="15" t="str">
        <f t="shared" si="8"/>
        <v/>
      </c>
      <c r="G654" s="16">
        <f>IFERROR(__xludf.DUMMYFUNCTION("GOOGLEFINANCE(A654,""CLOSEYEST"")"),815.8)</f>
        <v>815.8</v>
      </c>
      <c r="H654" s="17" t="str">
        <f t="shared" si="14"/>
        <v/>
      </c>
      <c r="I654" s="18">
        <f t="shared" si="9"/>
        <v>829.5</v>
      </c>
      <c r="J654" s="19">
        <f t="shared" si="10"/>
        <v>842.3</v>
      </c>
      <c r="K654" s="19"/>
      <c r="L654" s="19">
        <f t="shared" si="11"/>
        <v>803</v>
      </c>
      <c r="M654" s="19">
        <f t="shared" si="12"/>
        <v>868.8</v>
      </c>
      <c r="N654" s="19">
        <f t="shared" si="13"/>
        <v>790.2</v>
      </c>
    </row>
    <row r="655" ht="24.75" customHeight="1">
      <c r="A655" s="21" t="s">
        <v>618</v>
      </c>
      <c r="B655" s="13">
        <f>IFERROR(__xludf.DUMMYFUNCTION("GOOGLEFINANCE(A655,""PRICE"")"),252.34)</f>
        <v>252.34</v>
      </c>
      <c r="C655" s="14">
        <f>IFERROR(__xludf.DUMMYFUNCTION("GOOGLEFINANCE(A655,""PRICEOPEN"")"),258.1)</f>
        <v>258.1</v>
      </c>
      <c r="D655" s="14">
        <f>IFERROR(__xludf.DUMMYFUNCTION("GOOGLEFINANCE(A655,""HIGH"")"),258.1)</f>
        <v>258.1</v>
      </c>
      <c r="E655" s="14">
        <f>IFERROR(__xludf.DUMMYFUNCTION("GOOGLEFINANCE(A655,""LOW"")"),250.0)</f>
        <v>250</v>
      </c>
      <c r="F655" s="15" t="str">
        <f t="shared" si="8"/>
        <v>SELL</v>
      </c>
      <c r="G655" s="16">
        <f>IFERROR(__xludf.DUMMYFUNCTION("GOOGLEFINANCE(A655,""CLOSEYEST"")"),254.8)</f>
        <v>254.8</v>
      </c>
      <c r="H655" s="17" t="str">
        <f t="shared" si="14"/>
        <v>GAP UP</v>
      </c>
      <c r="I655" s="18">
        <f t="shared" si="9"/>
        <v>254.3</v>
      </c>
      <c r="J655" s="19">
        <f t="shared" si="10"/>
        <v>258.6</v>
      </c>
      <c r="K655" s="19"/>
      <c r="L655" s="19">
        <f t="shared" si="11"/>
        <v>250.5</v>
      </c>
      <c r="M655" s="19">
        <f t="shared" si="12"/>
        <v>262.4</v>
      </c>
      <c r="N655" s="19">
        <f t="shared" si="13"/>
        <v>246.2</v>
      </c>
    </row>
    <row r="656" ht="24.75" customHeight="1">
      <c r="A656" s="21" t="s">
        <v>619</v>
      </c>
      <c r="B656" s="13">
        <f>IFERROR(__xludf.DUMMYFUNCTION("GOOGLEFINANCE(A656,""PRICE"")"),678.0)</f>
        <v>678</v>
      </c>
      <c r="C656" s="14">
        <f>IFERROR(__xludf.DUMMYFUNCTION("GOOGLEFINANCE(A656,""PRICEOPEN"")"),666.2)</f>
        <v>666.2</v>
      </c>
      <c r="D656" s="14">
        <f>IFERROR(__xludf.DUMMYFUNCTION("GOOGLEFINANCE(A656,""HIGH"")"),680.35)</f>
        <v>680.35</v>
      </c>
      <c r="E656" s="14">
        <f>IFERROR(__xludf.DUMMYFUNCTION("GOOGLEFINANCE(A656,""LOW"")"),662.3)</f>
        <v>662.3</v>
      </c>
      <c r="F656" s="15" t="str">
        <f t="shared" si="8"/>
        <v/>
      </c>
      <c r="G656" s="16">
        <f>IFERROR(__xludf.DUMMYFUNCTION("GOOGLEFINANCE(A656,""CLOSEYEST"")"),660.9)</f>
        <v>660.9</v>
      </c>
      <c r="H656" s="17" t="str">
        <f t="shared" si="14"/>
        <v/>
      </c>
      <c r="I656" s="18">
        <f t="shared" si="9"/>
        <v>667.85</v>
      </c>
      <c r="J656" s="19">
        <f t="shared" si="10"/>
        <v>673.4</v>
      </c>
      <c r="K656" s="19"/>
      <c r="L656" s="19">
        <f t="shared" si="11"/>
        <v>655.35</v>
      </c>
      <c r="M656" s="19">
        <f t="shared" si="12"/>
        <v>685.9</v>
      </c>
      <c r="N656" s="19">
        <f t="shared" si="13"/>
        <v>649.8</v>
      </c>
    </row>
    <row r="657" ht="24.75" customHeight="1">
      <c r="A657" s="21" t="s">
        <v>620</v>
      </c>
      <c r="B657" s="13">
        <f>IFERROR(__xludf.DUMMYFUNCTION("GOOGLEFINANCE(A657,""PRICE"")"),3.53)</f>
        <v>3.53</v>
      </c>
      <c r="C657" s="14">
        <f>IFERROR(__xludf.DUMMYFUNCTION("GOOGLEFINANCE(A657,""PRICEOPEN"")"),3.45)</f>
        <v>3.45</v>
      </c>
      <c r="D657" s="14">
        <f>IFERROR(__xludf.DUMMYFUNCTION("GOOGLEFINANCE(A657,""HIGH"")"),3.53)</f>
        <v>3.53</v>
      </c>
      <c r="E657" s="14">
        <f>IFERROR(__xludf.DUMMYFUNCTION("GOOGLEFINANCE(A657,""LOW"")"),3.4)</f>
        <v>3.4</v>
      </c>
      <c r="F657" s="15" t="str">
        <f t="shared" si="8"/>
        <v/>
      </c>
      <c r="G657" s="16">
        <f>IFERROR(__xludf.DUMMYFUNCTION("GOOGLEFINANCE(A657,""CLOSEYEST"")"),3.45)</f>
        <v>3.45</v>
      </c>
      <c r="H657" s="17" t="str">
        <f t="shared" si="14"/>
        <v/>
      </c>
      <c r="I657" s="18">
        <f t="shared" si="9"/>
        <v>3.46</v>
      </c>
      <c r="J657" s="19">
        <f t="shared" si="10"/>
        <v>3.52</v>
      </c>
      <c r="K657" s="19"/>
      <c r="L657" s="19">
        <f t="shared" si="11"/>
        <v>3.39</v>
      </c>
      <c r="M657" s="19">
        <f t="shared" si="12"/>
        <v>3.59</v>
      </c>
      <c r="N657" s="19">
        <f t="shared" si="13"/>
        <v>3.33</v>
      </c>
    </row>
    <row r="658" ht="24.75" customHeight="1">
      <c r="A658" s="21" t="s">
        <v>621</v>
      </c>
      <c r="B658" s="13">
        <f>IFERROR(__xludf.DUMMYFUNCTION("GOOGLEFINANCE(A658,""PRICE"")"),925.0)</f>
        <v>925</v>
      </c>
      <c r="C658" s="14">
        <f>IFERROR(__xludf.DUMMYFUNCTION("GOOGLEFINANCE(A658,""PRICEOPEN"")"),867.0)</f>
        <v>867</v>
      </c>
      <c r="D658" s="14">
        <f>IFERROR(__xludf.DUMMYFUNCTION("GOOGLEFINANCE(A658,""HIGH"")"),934.0)</f>
        <v>934</v>
      </c>
      <c r="E658" s="14">
        <f>IFERROR(__xludf.DUMMYFUNCTION("GOOGLEFINANCE(A658,""LOW"")"),867.0)</f>
        <v>867</v>
      </c>
      <c r="F658" s="15" t="str">
        <f t="shared" si="8"/>
        <v>BUY</v>
      </c>
      <c r="G658" s="16">
        <f>IFERROR(__xludf.DUMMYFUNCTION("GOOGLEFINANCE(A658,""CLOSEYEST"")"),868.3)</f>
        <v>868.3</v>
      </c>
      <c r="H658" s="17" t="str">
        <f t="shared" si="14"/>
        <v/>
      </c>
      <c r="I658" s="18">
        <f t="shared" si="9"/>
        <v>889.7666667</v>
      </c>
      <c r="J658" s="19">
        <f t="shared" si="10"/>
        <v>912.5333333</v>
      </c>
      <c r="K658" s="19"/>
      <c r="L658" s="19">
        <f t="shared" si="11"/>
        <v>845.5333333</v>
      </c>
      <c r="M658" s="19">
        <f t="shared" si="12"/>
        <v>956.7666667</v>
      </c>
      <c r="N658" s="19">
        <f t="shared" si="13"/>
        <v>822.7666667</v>
      </c>
    </row>
    <row r="659" ht="24.75" customHeight="1">
      <c r="A659" s="21" t="s">
        <v>622</v>
      </c>
      <c r="B659" s="13">
        <f>IFERROR(__xludf.DUMMYFUNCTION("GOOGLEFINANCE(A659,""PRICE"")"),552.2)</f>
        <v>552.2</v>
      </c>
      <c r="C659" s="14">
        <f>IFERROR(__xludf.DUMMYFUNCTION("GOOGLEFINANCE(A659,""PRICEOPEN"")"),540.8)</f>
        <v>540.8</v>
      </c>
      <c r="D659" s="14">
        <f>IFERROR(__xludf.DUMMYFUNCTION("GOOGLEFINANCE(A659,""HIGH"")"),561.9)</f>
        <v>561.9</v>
      </c>
      <c r="E659" s="14">
        <f>IFERROR(__xludf.DUMMYFUNCTION("GOOGLEFINANCE(A659,""LOW"")"),540.55)</f>
        <v>540.55</v>
      </c>
      <c r="F659" s="15" t="str">
        <f t="shared" si="8"/>
        <v/>
      </c>
      <c r="G659" s="16">
        <f>IFERROR(__xludf.DUMMYFUNCTION("GOOGLEFINANCE(A659,""CLOSEYEST"")"),539.3)</f>
        <v>539.3</v>
      </c>
      <c r="H659" s="17" t="str">
        <f t="shared" si="14"/>
        <v/>
      </c>
      <c r="I659" s="18">
        <f t="shared" si="9"/>
        <v>547.25</v>
      </c>
      <c r="J659" s="19">
        <f t="shared" si="10"/>
        <v>553.95</v>
      </c>
      <c r="K659" s="19"/>
      <c r="L659" s="19">
        <f t="shared" si="11"/>
        <v>532.6</v>
      </c>
      <c r="M659" s="19">
        <f t="shared" si="12"/>
        <v>568.6</v>
      </c>
      <c r="N659" s="19">
        <f t="shared" si="13"/>
        <v>525.9</v>
      </c>
    </row>
    <row r="660" ht="24.75" customHeight="1">
      <c r="A660" s="21" t="s">
        <v>623</v>
      </c>
      <c r="B660" s="13">
        <f>IFERROR(__xludf.DUMMYFUNCTION("GOOGLEFINANCE(A660,""PRICE"")"),1041.5)</f>
        <v>1041.5</v>
      </c>
      <c r="C660" s="14">
        <f>IFERROR(__xludf.DUMMYFUNCTION("GOOGLEFINANCE(A660,""PRICEOPEN"")"),1051.2)</f>
        <v>1051.2</v>
      </c>
      <c r="D660" s="14">
        <f>IFERROR(__xludf.DUMMYFUNCTION("GOOGLEFINANCE(A660,""HIGH"")"),1058.9)</f>
        <v>1058.9</v>
      </c>
      <c r="E660" s="14">
        <f>IFERROR(__xludf.DUMMYFUNCTION("GOOGLEFINANCE(A660,""LOW"")"),1036.0)</f>
        <v>1036</v>
      </c>
      <c r="F660" s="15" t="str">
        <f t="shared" si="8"/>
        <v/>
      </c>
      <c r="G660" s="16">
        <f>IFERROR(__xludf.DUMMYFUNCTION("GOOGLEFINANCE(A660,""CLOSEYEST"")"),1055.7)</f>
        <v>1055.7</v>
      </c>
      <c r="H660" s="17" t="str">
        <f t="shared" si="14"/>
        <v/>
      </c>
      <c r="I660" s="18">
        <f t="shared" si="9"/>
        <v>1050.2</v>
      </c>
      <c r="J660" s="19">
        <f t="shared" si="10"/>
        <v>1064.4</v>
      </c>
      <c r="K660" s="19"/>
      <c r="L660" s="19">
        <f t="shared" si="11"/>
        <v>1041.5</v>
      </c>
      <c r="M660" s="19">
        <f t="shared" si="12"/>
        <v>1073.1</v>
      </c>
      <c r="N660" s="19">
        <f t="shared" si="13"/>
        <v>1027.3</v>
      </c>
    </row>
    <row r="661" ht="24.75" customHeight="1">
      <c r="A661" s="21" t="s">
        <v>624</v>
      </c>
      <c r="B661" s="13">
        <f>IFERROR(__xludf.DUMMYFUNCTION("GOOGLEFINANCE(A661,""PRICE"")"),294.4)</f>
        <v>294.4</v>
      </c>
      <c r="C661" s="14">
        <f>IFERROR(__xludf.DUMMYFUNCTION("GOOGLEFINANCE(A661,""PRICEOPEN"")"),285.1)</f>
        <v>285.1</v>
      </c>
      <c r="D661" s="14">
        <f>IFERROR(__xludf.DUMMYFUNCTION("GOOGLEFINANCE(A661,""HIGH"")"),295.0)</f>
        <v>295</v>
      </c>
      <c r="E661" s="14">
        <f>IFERROR(__xludf.DUMMYFUNCTION("GOOGLEFINANCE(A661,""LOW"")"),285.1)</f>
        <v>285.1</v>
      </c>
      <c r="F661" s="15" t="str">
        <f t="shared" si="8"/>
        <v>BUY</v>
      </c>
      <c r="G661" s="16">
        <f>IFERROR(__xludf.DUMMYFUNCTION("GOOGLEFINANCE(A661,""CLOSEYEST"")"),286.8)</f>
        <v>286.8</v>
      </c>
      <c r="H661" s="17" t="str">
        <f t="shared" si="14"/>
        <v/>
      </c>
      <c r="I661" s="18">
        <f t="shared" si="9"/>
        <v>288.9666667</v>
      </c>
      <c r="J661" s="19">
        <f t="shared" si="10"/>
        <v>292.8333333</v>
      </c>
      <c r="K661" s="19"/>
      <c r="L661" s="19">
        <f t="shared" si="11"/>
        <v>282.9333333</v>
      </c>
      <c r="M661" s="19">
        <f t="shared" si="12"/>
        <v>298.8666667</v>
      </c>
      <c r="N661" s="19">
        <f t="shared" si="13"/>
        <v>279.0666667</v>
      </c>
    </row>
    <row r="662" ht="24.75" customHeight="1">
      <c r="A662" s="21" t="s">
        <v>625</v>
      </c>
      <c r="B662" s="13">
        <f>IFERROR(__xludf.DUMMYFUNCTION("GOOGLEFINANCE(A662,""PRICE"")"),2000.5)</f>
        <v>2000.5</v>
      </c>
      <c r="C662" s="14">
        <f>IFERROR(__xludf.DUMMYFUNCTION("GOOGLEFINANCE(A662,""PRICEOPEN"")"),1992.0)</f>
        <v>1992</v>
      </c>
      <c r="D662" s="14">
        <f>IFERROR(__xludf.DUMMYFUNCTION("GOOGLEFINANCE(A662,""HIGH"")"),2010.0)</f>
        <v>2010</v>
      </c>
      <c r="E662" s="14">
        <f>IFERROR(__xludf.DUMMYFUNCTION("GOOGLEFINANCE(A662,""LOW"")"),1974.0)</f>
        <v>1974</v>
      </c>
      <c r="F662" s="15" t="str">
        <f t="shared" si="8"/>
        <v/>
      </c>
      <c r="G662" s="16">
        <f>IFERROR(__xludf.DUMMYFUNCTION("GOOGLEFINANCE(A662,""CLOSEYEST"")"),2004.4)</f>
        <v>2004.4</v>
      </c>
      <c r="H662" s="17" t="str">
        <f t="shared" si="14"/>
        <v/>
      </c>
      <c r="I662" s="18">
        <f t="shared" si="9"/>
        <v>1996.133333</v>
      </c>
      <c r="J662" s="19">
        <f t="shared" si="10"/>
        <v>2018.266667</v>
      </c>
      <c r="K662" s="19"/>
      <c r="L662" s="19">
        <f t="shared" si="11"/>
        <v>1982.266667</v>
      </c>
      <c r="M662" s="19">
        <f t="shared" si="12"/>
        <v>2032.133333</v>
      </c>
      <c r="N662" s="19">
        <f t="shared" si="13"/>
        <v>1960.133333</v>
      </c>
    </row>
    <row r="663" ht="24.75" customHeight="1">
      <c r="A663" s="21" t="s">
        <v>626</v>
      </c>
      <c r="B663" s="13">
        <f>IFERROR(__xludf.DUMMYFUNCTION("GOOGLEFINANCE(A663,""PRICE"")"),1174.5)</f>
        <v>1174.5</v>
      </c>
      <c r="C663" s="14">
        <f>IFERROR(__xludf.DUMMYFUNCTION("GOOGLEFINANCE(A663,""PRICEOPEN"")"),1125.0)</f>
        <v>1125</v>
      </c>
      <c r="D663" s="14">
        <f>IFERROR(__xludf.DUMMYFUNCTION("GOOGLEFINANCE(A663,""HIGH"")"),1178.9)</f>
        <v>1178.9</v>
      </c>
      <c r="E663" s="14">
        <f>IFERROR(__xludf.DUMMYFUNCTION("GOOGLEFINANCE(A663,""LOW"")"),1123.4)</f>
        <v>1123.4</v>
      </c>
      <c r="F663" s="15" t="str">
        <f t="shared" si="8"/>
        <v/>
      </c>
      <c r="G663" s="16">
        <f>IFERROR(__xludf.DUMMYFUNCTION("GOOGLEFINANCE(A663,""CLOSEYEST"")"),1122.8)</f>
        <v>1122.8</v>
      </c>
      <c r="H663" s="17" t="str">
        <f t="shared" si="14"/>
        <v/>
      </c>
      <c r="I663" s="18">
        <f t="shared" si="9"/>
        <v>1141.7</v>
      </c>
      <c r="J663" s="19">
        <f t="shared" si="10"/>
        <v>1160</v>
      </c>
      <c r="K663" s="19"/>
      <c r="L663" s="19">
        <f t="shared" si="11"/>
        <v>1104.5</v>
      </c>
      <c r="M663" s="19">
        <f t="shared" si="12"/>
        <v>1197.2</v>
      </c>
      <c r="N663" s="19">
        <f t="shared" si="13"/>
        <v>1086.2</v>
      </c>
    </row>
    <row r="664" ht="24.75" customHeight="1">
      <c r="A664" s="21" t="s">
        <v>627</v>
      </c>
      <c r="B664" s="13" t="str">
        <f>IFERROR(__xludf.DUMMYFUNCTION("GOOGLEFINANCE(A664,""PRICE"")"),"#N/A")</f>
        <v>#N/A</v>
      </c>
      <c r="C664" s="14" t="str">
        <f>IFERROR(__xludf.DUMMYFUNCTION("GOOGLEFINANCE(A664,""PRICEOPEN"")"),"#N/A")</f>
        <v>#N/A</v>
      </c>
      <c r="D664" s="14" t="str">
        <f>IFERROR(__xludf.DUMMYFUNCTION("GOOGLEFINANCE(A664,""HIGH"")"),"#N/A")</f>
        <v>#N/A</v>
      </c>
      <c r="E664" s="14" t="str">
        <f>IFERROR(__xludf.DUMMYFUNCTION("GOOGLEFINANCE(A664,""LOW"")"),"#N/A")</f>
        <v>#N/A</v>
      </c>
      <c r="F664" s="15" t="str">
        <f t="shared" si="8"/>
        <v>#N/A</v>
      </c>
      <c r="G664" s="16" t="str">
        <f>IFERROR(__xludf.DUMMYFUNCTION("GOOGLEFINANCE(A664,""CLOSEYEST"")"),"#N/A")</f>
        <v>#N/A</v>
      </c>
      <c r="H664" s="17" t="str">
        <f t="shared" si="14"/>
        <v>#N/A</v>
      </c>
      <c r="I664" s="18" t="str">
        <f t="shared" si="9"/>
        <v>#N/A</v>
      </c>
      <c r="J664" s="19" t="str">
        <f t="shared" si="10"/>
        <v>#N/A</v>
      </c>
      <c r="K664" s="19"/>
      <c r="L664" s="19" t="str">
        <f t="shared" si="11"/>
        <v>#N/A</v>
      </c>
      <c r="M664" s="19" t="str">
        <f t="shared" si="12"/>
        <v>#N/A</v>
      </c>
      <c r="N664" s="19" t="str">
        <f t="shared" si="13"/>
        <v>#N/A</v>
      </c>
    </row>
    <row r="665" ht="24.75" customHeight="1">
      <c r="A665" s="21" t="s">
        <v>628</v>
      </c>
      <c r="B665" s="13" t="str">
        <f>IFERROR(__xludf.DUMMYFUNCTION("GOOGLEFINANCE(A665,""PRICE"")"),"#N/A")</f>
        <v>#N/A</v>
      </c>
      <c r="C665" s="14" t="str">
        <f>IFERROR(__xludf.DUMMYFUNCTION("GOOGLEFINANCE(A665,""PRICEOPEN"")"),"#N/A")</f>
        <v>#N/A</v>
      </c>
      <c r="D665" s="14" t="str">
        <f>IFERROR(__xludf.DUMMYFUNCTION("GOOGLEFINANCE(A665,""HIGH"")"),"#N/A")</f>
        <v>#N/A</v>
      </c>
      <c r="E665" s="14" t="str">
        <f>IFERROR(__xludf.DUMMYFUNCTION("GOOGLEFINANCE(A665,""LOW"")"),"#N/A")</f>
        <v>#N/A</v>
      </c>
      <c r="F665" s="15" t="str">
        <f t="shared" si="8"/>
        <v>#N/A</v>
      </c>
      <c r="G665" s="16" t="str">
        <f>IFERROR(__xludf.DUMMYFUNCTION("GOOGLEFINANCE(A665,""CLOSEYEST"")"),"#N/A")</f>
        <v>#N/A</v>
      </c>
      <c r="H665" s="17" t="str">
        <f t="shared" si="14"/>
        <v>#N/A</v>
      </c>
      <c r="I665" s="18" t="str">
        <f t="shared" si="9"/>
        <v>#N/A</v>
      </c>
      <c r="J665" s="19" t="str">
        <f t="shared" si="10"/>
        <v>#N/A</v>
      </c>
      <c r="K665" s="19"/>
      <c r="L665" s="19" t="str">
        <f t="shared" si="11"/>
        <v>#N/A</v>
      </c>
      <c r="M665" s="19" t="str">
        <f t="shared" si="12"/>
        <v>#N/A</v>
      </c>
      <c r="N665" s="19" t="str">
        <f t="shared" si="13"/>
        <v>#N/A</v>
      </c>
    </row>
    <row r="666" ht="24.75" customHeight="1">
      <c r="A666" s="21" t="s">
        <v>629</v>
      </c>
      <c r="B666" s="13">
        <f>IFERROR(__xludf.DUMMYFUNCTION("GOOGLEFINANCE(A666,""PRICE"")"),8413.0)</f>
        <v>8413</v>
      </c>
      <c r="C666" s="14">
        <f>IFERROR(__xludf.DUMMYFUNCTION("GOOGLEFINANCE(A666,""PRICEOPEN"")"),8253.5)</f>
        <v>8253.5</v>
      </c>
      <c r="D666" s="14">
        <f>IFERROR(__xludf.DUMMYFUNCTION("GOOGLEFINANCE(A666,""HIGH"")"),8450.0)</f>
        <v>8450</v>
      </c>
      <c r="E666" s="14">
        <f>IFERROR(__xludf.DUMMYFUNCTION("GOOGLEFINANCE(A666,""LOW"")"),8204.5)</f>
        <v>8204.5</v>
      </c>
      <c r="F666" s="15" t="str">
        <f t="shared" si="8"/>
        <v/>
      </c>
      <c r="G666" s="16">
        <f>IFERROR(__xludf.DUMMYFUNCTION("GOOGLEFINANCE(A666,""CLOSEYEST"")"),8216.0)</f>
        <v>8216</v>
      </c>
      <c r="H666" s="17" t="str">
        <f t="shared" si="14"/>
        <v/>
      </c>
      <c r="I666" s="18">
        <f t="shared" si="9"/>
        <v>8290.166667</v>
      </c>
      <c r="J666" s="19">
        <f t="shared" si="10"/>
        <v>8375.833333</v>
      </c>
      <c r="K666" s="19"/>
      <c r="L666" s="19">
        <f t="shared" si="11"/>
        <v>8130.333333</v>
      </c>
      <c r="M666" s="19">
        <f t="shared" si="12"/>
        <v>8535.666667</v>
      </c>
      <c r="N666" s="19">
        <f t="shared" si="13"/>
        <v>8044.666667</v>
      </c>
    </row>
    <row r="667" ht="24.75" customHeight="1">
      <c r="A667" s="21" t="s">
        <v>630</v>
      </c>
      <c r="B667" s="13">
        <f>IFERROR(__xludf.DUMMYFUNCTION("GOOGLEFINANCE(A667,""PRICE"")"),41.8)</f>
        <v>41.8</v>
      </c>
      <c r="C667" s="14">
        <f>IFERROR(__xludf.DUMMYFUNCTION("GOOGLEFINANCE(A667,""PRICEOPEN"")"),41.35)</f>
        <v>41.35</v>
      </c>
      <c r="D667" s="14">
        <f>IFERROR(__xludf.DUMMYFUNCTION("GOOGLEFINANCE(A667,""HIGH"")"),42.0)</f>
        <v>42</v>
      </c>
      <c r="E667" s="14">
        <f>IFERROR(__xludf.DUMMYFUNCTION("GOOGLEFINANCE(A667,""LOW"")"),41.35)</f>
        <v>41.35</v>
      </c>
      <c r="F667" s="15" t="str">
        <f t="shared" si="8"/>
        <v>BUY</v>
      </c>
      <c r="G667" s="16">
        <f>IFERROR(__xludf.DUMMYFUNCTION("GOOGLEFINANCE(A667,""CLOSEYEST"")"),41.3)</f>
        <v>41.3</v>
      </c>
      <c r="H667" s="17" t="str">
        <f t="shared" si="14"/>
        <v/>
      </c>
      <c r="I667" s="18">
        <f t="shared" si="9"/>
        <v>41.55</v>
      </c>
      <c r="J667" s="19">
        <f t="shared" si="10"/>
        <v>41.75</v>
      </c>
      <c r="K667" s="19"/>
      <c r="L667" s="19">
        <f t="shared" si="11"/>
        <v>41.1</v>
      </c>
      <c r="M667" s="19">
        <f t="shared" si="12"/>
        <v>42.2</v>
      </c>
      <c r="N667" s="19">
        <f t="shared" si="13"/>
        <v>40.9</v>
      </c>
    </row>
    <row r="668" ht="24.75" customHeight="1">
      <c r="A668" s="21" t="s">
        <v>631</v>
      </c>
      <c r="B668" s="13">
        <f>IFERROR(__xludf.DUMMYFUNCTION("GOOGLEFINANCE(A668,""PRICE"")"),172.75)</f>
        <v>172.75</v>
      </c>
      <c r="C668" s="14">
        <f>IFERROR(__xludf.DUMMYFUNCTION("GOOGLEFINANCE(A668,""PRICEOPEN"")"),173.16)</f>
        <v>173.16</v>
      </c>
      <c r="D668" s="14">
        <f>IFERROR(__xludf.DUMMYFUNCTION("GOOGLEFINANCE(A668,""HIGH"")"),174.49)</f>
        <v>174.49</v>
      </c>
      <c r="E668" s="14">
        <f>IFERROR(__xludf.DUMMYFUNCTION("GOOGLEFINANCE(A668,""LOW"")"),171.0)</f>
        <v>171</v>
      </c>
      <c r="F668" s="15" t="str">
        <f t="shared" si="8"/>
        <v/>
      </c>
      <c r="G668" s="16">
        <f>IFERROR(__xludf.DUMMYFUNCTION("GOOGLEFINANCE(A668,""CLOSEYEST"")"),173.16)</f>
        <v>173.16</v>
      </c>
      <c r="H668" s="17" t="str">
        <f t="shared" si="14"/>
        <v/>
      </c>
      <c r="I668" s="18">
        <f t="shared" si="9"/>
        <v>172.8833333</v>
      </c>
      <c r="J668" s="19">
        <f t="shared" si="10"/>
        <v>174.7666667</v>
      </c>
      <c r="K668" s="19"/>
      <c r="L668" s="19">
        <f t="shared" si="11"/>
        <v>171.2766667</v>
      </c>
      <c r="M668" s="19">
        <f t="shared" si="12"/>
        <v>176.3733333</v>
      </c>
      <c r="N668" s="19">
        <f t="shared" si="13"/>
        <v>169.3933333</v>
      </c>
    </row>
    <row r="669" ht="24.75" customHeight="1">
      <c r="A669" s="21" t="s">
        <v>632</v>
      </c>
      <c r="B669" s="13">
        <f>IFERROR(__xludf.DUMMYFUNCTION("GOOGLEFINANCE(A669,""PRICE"")"),145.3)</f>
        <v>145.3</v>
      </c>
      <c r="C669" s="14">
        <f>IFERROR(__xludf.DUMMYFUNCTION("GOOGLEFINANCE(A669,""PRICEOPEN"")"),146.6)</f>
        <v>146.6</v>
      </c>
      <c r="D669" s="14">
        <f>IFERROR(__xludf.DUMMYFUNCTION("GOOGLEFINANCE(A669,""HIGH"")"),147.36)</f>
        <v>147.36</v>
      </c>
      <c r="E669" s="14">
        <f>IFERROR(__xludf.DUMMYFUNCTION("GOOGLEFINANCE(A669,""LOW"")"),143.62)</f>
        <v>143.62</v>
      </c>
      <c r="F669" s="15" t="str">
        <f t="shared" si="8"/>
        <v/>
      </c>
      <c r="G669" s="16">
        <f>IFERROR(__xludf.DUMMYFUNCTION("GOOGLEFINANCE(A669,""CLOSEYEST"")"),146.61)</f>
        <v>146.61</v>
      </c>
      <c r="H669" s="17" t="str">
        <f t="shared" si="14"/>
        <v/>
      </c>
      <c r="I669" s="18">
        <f t="shared" si="9"/>
        <v>145.8633333</v>
      </c>
      <c r="J669" s="19">
        <f t="shared" si="10"/>
        <v>148.1066667</v>
      </c>
      <c r="K669" s="19"/>
      <c r="L669" s="19">
        <f t="shared" si="11"/>
        <v>144.3666667</v>
      </c>
      <c r="M669" s="19">
        <f t="shared" si="12"/>
        <v>149.6033333</v>
      </c>
      <c r="N669" s="19">
        <f t="shared" si="13"/>
        <v>142.1233333</v>
      </c>
    </row>
    <row r="670" ht="24.75" customHeight="1">
      <c r="A670" s="21" t="s">
        <v>633</v>
      </c>
      <c r="B670" s="13" t="str">
        <f>IFERROR(__xludf.DUMMYFUNCTION("GOOGLEFINANCE(A670,""PRICE"")"),"#N/A")</f>
        <v>#N/A</v>
      </c>
      <c r="C670" s="14" t="str">
        <f>IFERROR(__xludf.DUMMYFUNCTION("GOOGLEFINANCE(A670,""PRICEOPEN"")"),"#N/A")</f>
        <v>#N/A</v>
      </c>
      <c r="D670" s="14" t="str">
        <f>IFERROR(__xludf.DUMMYFUNCTION("GOOGLEFINANCE(A670,""HIGH"")"),"#N/A")</f>
        <v>#N/A</v>
      </c>
      <c r="E670" s="14" t="str">
        <f>IFERROR(__xludf.DUMMYFUNCTION("GOOGLEFINANCE(A670,""LOW"")"),"#N/A")</f>
        <v>#N/A</v>
      </c>
      <c r="F670" s="15" t="str">
        <f t="shared" si="8"/>
        <v>#N/A</v>
      </c>
      <c r="G670" s="16" t="str">
        <f>IFERROR(__xludf.DUMMYFUNCTION("GOOGLEFINANCE(A670,""CLOSEYEST"")"),"#N/A")</f>
        <v>#N/A</v>
      </c>
      <c r="H670" s="17" t="str">
        <f t="shared" si="14"/>
        <v>#N/A</v>
      </c>
      <c r="I670" s="18" t="str">
        <f t="shared" si="9"/>
        <v>#N/A</v>
      </c>
      <c r="J670" s="19" t="str">
        <f t="shared" si="10"/>
        <v>#N/A</v>
      </c>
      <c r="K670" s="19"/>
      <c r="L670" s="19" t="str">
        <f t="shared" si="11"/>
        <v>#N/A</v>
      </c>
      <c r="M670" s="19" t="str">
        <f t="shared" si="12"/>
        <v>#N/A</v>
      </c>
      <c r="N670" s="19" t="str">
        <f t="shared" si="13"/>
        <v>#N/A</v>
      </c>
    </row>
    <row r="671" ht="24.75" customHeight="1">
      <c r="A671" s="21" t="s">
        <v>634</v>
      </c>
      <c r="B671" s="13">
        <f>IFERROR(__xludf.DUMMYFUNCTION("GOOGLEFINANCE(A671,""PRICE"")"),37.54)</f>
        <v>37.54</v>
      </c>
      <c r="C671" s="14">
        <f>IFERROR(__xludf.DUMMYFUNCTION("GOOGLEFINANCE(A671,""PRICEOPEN"")"),38.16)</f>
        <v>38.16</v>
      </c>
      <c r="D671" s="14">
        <f>IFERROR(__xludf.DUMMYFUNCTION("GOOGLEFINANCE(A671,""HIGH"")"),38.16)</f>
        <v>38.16</v>
      </c>
      <c r="E671" s="14">
        <f>IFERROR(__xludf.DUMMYFUNCTION("GOOGLEFINANCE(A671,""LOW"")"),37.42)</f>
        <v>37.42</v>
      </c>
      <c r="F671" s="15" t="str">
        <f t="shared" si="8"/>
        <v>SELL</v>
      </c>
      <c r="G671" s="16">
        <f>IFERROR(__xludf.DUMMYFUNCTION("GOOGLEFINANCE(A671,""CLOSEYEST"")"),38.17)</f>
        <v>38.17</v>
      </c>
      <c r="H671" s="17" t="str">
        <f t="shared" si="14"/>
        <v/>
      </c>
      <c r="I671" s="18">
        <f t="shared" si="9"/>
        <v>37.91666667</v>
      </c>
      <c r="J671" s="19">
        <f t="shared" si="10"/>
        <v>38.41333333</v>
      </c>
      <c r="K671" s="19"/>
      <c r="L671" s="19">
        <f t="shared" si="11"/>
        <v>37.67333333</v>
      </c>
      <c r="M671" s="19">
        <f t="shared" si="12"/>
        <v>38.65666667</v>
      </c>
      <c r="N671" s="19">
        <f t="shared" si="13"/>
        <v>37.17666667</v>
      </c>
    </row>
    <row r="672" ht="24.75" customHeight="1">
      <c r="A672" s="21" t="s">
        <v>635</v>
      </c>
      <c r="B672" s="13">
        <f>IFERROR(__xludf.DUMMYFUNCTION("GOOGLEFINANCE(A672,""PRICE"")"),12.39)</f>
        <v>12.39</v>
      </c>
      <c r="C672" s="14">
        <f>IFERROR(__xludf.DUMMYFUNCTION("GOOGLEFINANCE(A672,""PRICEOPEN"")"),12.48)</f>
        <v>12.48</v>
      </c>
      <c r="D672" s="14">
        <f>IFERROR(__xludf.DUMMYFUNCTION("GOOGLEFINANCE(A672,""HIGH"")"),12.53)</f>
        <v>12.53</v>
      </c>
      <c r="E672" s="14">
        <f>IFERROR(__xludf.DUMMYFUNCTION("GOOGLEFINANCE(A672,""LOW"")"),12.2)</f>
        <v>12.2</v>
      </c>
      <c r="F672" s="15" t="str">
        <f t="shared" si="8"/>
        <v/>
      </c>
      <c r="G672" s="16">
        <f>IFERROR(__xludf.DUMMYFUNCTION("GOOGLEFINANCE(A672,""CLOSEYEST"")"),12.47)</f>
        <v>12.47</v>
      </c>
      <c r="H672" s="17" t="str">
        <f t="shared" si="14"/>
        <v/>
      </c>
      <c r="I672" s="18">
        <f t="shared" si="9"/>
        <v>12.4</v>
      </c>
      <c r="J672" s="19">
        <f t="shared" si="10"/>
        <v>12.6</v>
      </c>
      <c r="K672" s="19"/>
      <c r="L672" s="19">
        <f t="shared" si="11"/>
        <v>12.27</v>
      </c>
      <c r="M672" s="19">
        <f t="shared" si="12"/>
        <v>12.73</v>
      </c>
      <c r="N672" s="19">
        <f t="shared" si="13"/>
        <v>12.07</v>
      </c>
    </row>
    <row r="673" ht="24.75" customHeight="1">
      <c r="A673" s="21" t="s">
        <v>636</v>
      </c>
      <c r="B673" s="13">
        <f>IFERROR(__xludf.DUMMYFUNCTION("GOOGLEFINANCE(A673,""PRICE"")"),463.05)</f>
        <v>463.05</v>
      </c>
      <c r="C673" s="14">
        <f>IFERROR(__xludf.DUMMYFUNCTION("GOOGLEFINANCE(A673,""PRICEOPEN"")"),453.0)</f>
        <v>453</v>
      </c>
      <c r="D673" s="14">
        <f>IFERROR(__xludf.DUMMYFUNCTION("GOOGLEFINANCE(A673,""HIGH"")"),463.9)</f>
        <v>463.9</v>
      </c>
      <c r="E673" s="14">
        <f>IFERROR(__xludf.DUMMYFUNCTION("GOOGLEFINANCE(A673,""LOW"")"),450.0)</f>
        <v>450</v>
      </c>
      <c r="F673" s="15" t="str">
        <f t="shared" si="8"/>
        <v/>
      </c>
      <c r="G673" s="16">
        <f>IFERROR(__xludf.DUMMYFUNCTION("GOOGLEFINANCE(A673,""CLOSEYEST"")"),452.75)</f>
        <v>452.75</v>
      </c>
      <c r="H673" s="17" t="str">
        <f t="shared" si="14"/>
        <v/>
      </c>
      <c r="I673" s="18">
        <f t="shared" si="9"/>
        <v>455.55</v>
      </c>
      <c r="J673" s="19">
        <f t="shared" si="10"/>
        <v>461.1</v>
      </c>
      <c r="K673" s="19"/>
      <c r="L673" s="19">
        <f t="shared" si="11"/>
        <v>447.2</v>
      </c>
      <c r="M673" s="19">
        <f t="shared" si="12"/>
        <v>469.45</v>
      </c>
      <c r="N673" s="19">
        <f t="shared" si="13"/>
        <v>441.65</v>
      </c>
    </row>
    <row r="674" ht="24.75" customHeight="1">
      <c r="A674" s="21" t="s">
        <v>637</v>
      </c>
      <c r="B674" s="13">
        <f>IFERROR(__xludf.DUMMYFUNCTION("GOOGLEFINANCE(A674,""PRICE"")"),320.0)</f>
        <v>320</v>
      </c>
      <c r="C674" s="14">
        <f>IFERROR(__xludf.DUMMYFUNCTION("GOOGLEFINANCE(A674,""PRICEOPEN"")"),320.0)</f>
        <v>320</v>
      </c>
      <c r="D674" s="14">
        <f>IFERROR(__xludf.DUMMYFUNCTION("GOOGLEFINANCE(A674,""HIGH"")"),322.15)</f>
        <v>322.15</v>
      </c>
      <c r="E674" s="14">
        <f>IFERROR(__xludf.DUMMYFUNCTION("GOOGLEFINANCE(A674,""LOW"")"),317.85)</f>
        <v>317.85</v>
      </c>
      <c r="F674" s="15" t="str">
        <f t="shared" si="8"/>
        <v/>
      </c>
      <c r="G674" s="16">
        <f>IFERROR(__xludf.DUMMYFUNCTION("GOOGLEFINANCE(A674,""CLOSEYEST"")"),318.4)</f>
        <v>318.4</v>
      </c>
      <c r="H674" s="17" t="str">
        <f t="shared" si="14"/>
        <v/>
      </c>
      <c r="I674" s="18">
        <f t="shared" si="9"/>
        <v>319.4666667</v>
      </c>
      <c r="J674" s="19">
        <f t="shared" si="10"/>
        <v>321.0833333</v>
      </c>
      <c r="K674" s="19"/>
      <c r="L674" s="19">
        <f t="shared" si="11"/>
        <v>316.7833333</v>
      </c>
      <c r="M674" s="19">
        <f t="shared" si="12"/>
        <v>323.7666667</v>
      </c>
      <c r="N674" s="19">
        <f t="shared" si="13"/>
        <v>315.1666667</v>
      </c>
    </row>
    <row r="675" ht="24.75" customHeight="1">
      <c r="A675" s="21" t="s">
        <v>638</v>
      </c>
      <c r="B675" s="13">
        <f>IFERROR(__xludf.DUMMYFUNCTION("GOOGLEFINANCE(A675,""PRICE"")"),102.0)</f>
        <v>102</v>
      </c>
      <c r="C675" s="14">
        <f>IFERROR(__xludf.DUMMYFUNCTION("GOOGLEFINANCE(A675,""PRICEOPEN"")"),100.66)</f>
        <v>100.66</v>
      </c>
      <c r="D675" s="14">
        <f>IFERROR(__xludf.DUMMYFUNCTION("GOOGLEFINANCE(A675,""HIGH"")"),102.87)</f>
        <v>102.87</v>
      </c>
      <c r="E675" s="14">
        <f>IFERROR(__xludf.DUMMYFUNCTION("GOOGLEFINANCE(A675,""LOW"")"),100.3)</f>
        <v>100.3</v>
      </c>
      <c r="F675" s="15" t="str">
        <f t="shared" si="8"/>
        <v/>
      </c>
      <c r="G675" s="16">
        <f>IFERROR(__xludf.DUMMYFUNCTION("GOOGLEFINANCE(A675,""CLOSEYEST"")"),100.66)</f>
        <v>100.66</v>
      </c>
      <c r="H675" s="17" t="str">
        <f t="shared" si="14"/>
        <v/>
      </c>
      <c r="I675" s="18">
        <f t="shared" si="9"/>
        <v>101.2766667</v>
      </c>
      <c r="J675" s="19">
        <f t="shared" si="10"/>
        <v>102.2533333</v>
      </c>
      <c r="K675" s="19"/>
      <c r="L675" s="19">
        <f t="shared" si="11"/>
        <v>99.68333333</v>
      </c>
      <c r="M675" s="19">
        <f t="shared" si="12"/>
        <v>103.8466667</v>
      </c>
      <c r="N675" s="19">
        <f t="shared" si="13"/>
        <v>98.70666667</v>
      </c>
    </row>
    <row r="676" ht="24.75" customHeight="1">
      <c r="A676" s="21" t="s">
        <v>639</v>
      </c>
      <c r="B676" s="13">
        <f>IFERROR(__xludf.DUMMYFUNCTION("GOOGLEFINANCE(A676,""PRICE"")"),238.6)</f>
        <v>238.6</v>
      </c>
      <c r="C676" s="14">
        <f>IFERROR(__xludf.DUMMYFUNCTION("GOOGLEFINANCE(A676,""PRICEOPEN"")"),237.76)</f>
        <v>237.76</v>
      </c>
      <c r="D676" s="14">
        <f>IFERROR(__xludf.DUMMYFUNCTION("GOOGLEFINANCE(A676,""HIGH"")"),242.62)</f>
        <v>242.62</v>
      </c>
      <c r="E676" s="14">
        <f>IFERROR(__xludf.DUMMYFUNCTION("GOOGLEFINANCE(A676,""LOW"")"),236.11)</f>
        <v>236.11</v>
      </c>
      <c r="F676" s="15" t="str">
        <f t="shared" si="8"/>
        <v/>
      </c>
      <c r="G676" s="16">
        <f>IFERROR(__xludf.DUMMYFUNCTION("GOOGLEFINANCE(A676,""CLOSEYEST"")"),236.06)</f>
        <v>236.06</v>
      </c>
      <c r="H676" s="17" t="str">
        <f t="shared" si="14"/>
        <v/>
      </c>
      <c r="I676" s="18">
        <f t="shared" si="9"/>
        <v>238.2633333</v>
      </c>
      <c r="J676" s="19">
        <f t="shared" si="10"/>
        <v>240.4166667</v>
      </c>
      <c r="K676" s="19"/>
      <c r="L676" s="19">
        <f t="shared" si="11"/>
        <v>233.9066667</v>
      </c>
      <c r="M676" s="19">
        <f t="shared" si="12"/>
        <v>244.7733333</v>
      </c>
      <c r="N676" s="19">
        <f t="shared" si="13"/>
        <v>231.7533333</v>
      </c>
    </row>
    <row r="677" ht="24.75" customHeight="1">
      <c r="A677" s="21" t="s">
        <v>640</v>
      </c>
      <c r="B677" s="13">
        <f>IFERROR(__xludf.DUMMYFUNCTION("GOOGLEFINANCE(A677,""PRICE"")"),3.2)</f>
        <v>3.2</v>
      </c>
      <c r="C677" s="14">
        <f>IFERROR(__xludf.DUMMYFUNCTION("GOOGLEFINANCE(A677,""PRICEOPEN"")"),3.2)</f>
        <v>3.2</v>
      </c>
      <c r="D677" s="14">
        <f>IFERROR(__xludf.DUMMYFUNCTION("GOOGLEFINANCE(A677,""HIGH"")"),3.2)</f>
        <v>3.2</v>
      </c>
      <c r="E677" s="14">
        <f>IFERROR(__xludf.DUMMYFUNCTION("GOOGLEFINANCE(A677,""LOW"")"),3.2)</f>
        <v>3.2</v>
      </c>
      <c r="F677" s="15" t="str">
        <f t="shared" si="8"/>
        <v>SELL</v>
      </c>
      <c r="G677" s="16">
        <f>IFERROR(__xludf.DUMMYFUNCTION("GOOGLEFINANCE(A677,""CLOSEYEST"")"),3.05)</f>
        <v>3.05</v>
      </c>
      <c r="H677" s="17" t="str">
        <f t="shared" si="14"/>
        <v>GAP UP</v>
      </c>
      <c r="I677" s="18">
        <f t="shared" si="9"/>
        <v>3.15</v>
      </c>
      <c r="J677" s="19">
        <f t="shared" si="10"/>
        <v>3.1</v>
      </c>
      <c r="K677" s="19"/>
      <c r="L677" s="19">
        <f t="shared" si="11"/>
        <v>3.1</v>
      </c>
      <c r="M677" s="19">
        <f t="shared" si="12"/>
        <v>3.15</v>
      </c>
      <c r="N677" s="19">
        <f t="shared" si="13"/>
        <v>3.15</v>
      </c>
    </row>
    <row r="678" ht="24.75" customHeight="1">
      <c r="A678" s="21" t="s">
        <v>641</v>
      </c>
      <c r="B678" s="13" t="str">
        <f>IFERROR(__xludf.DUMMYFUNCTION("GOOGLEFINANCE(A678,""PRICE"")"),"#N/A")</f>
        <v>#N/A</v>
      </c>
      <c r="C678" s="14" t="str">
        <f>IFERROR(__xludf.DUMMYFUNCTION("GOOGLEFINANCE(A678,""PRICEOPEN"")"),"#N/A")</f>
        <v>#N/A</v>
      </c>
      <c r="D678" s="14" t="str">
        <f>IFERROR(__xludf.DUMMYFUNCTION("GOOGLEFINANCE(A678,""HIGH"")"),"#N/A")</f>
        <v>#N/A</v>
      </c>
      <c r="E678" s="14" t="str">
        <f>IFERROR(__xludf.DUMMYFUNCTION("GOOGLEFINANCE(A678,""LOW"")"),"#N/A")</f>
        <v>#N/A</v>
      </c>
      <c r="F678" s="15" t="str">
        <f t="shared" si="8"/>
        <v>#N/A</v>
      </c>
      <c r="G678" s="16" t="str">
        <f>IFERROR(__xludf.DUMMYFUNCTION("GOOGLEFINANCE(A678,""CLOSEYEST"")"),"#N/A")</f>
        <v>#N/A</v>
      </c>
      <c r="H678" s="17" t="str">
        <f t="shared" si="14"/>
        <v>#N/A</v>
      </c>
      <c r="I678" s="18" t="str">
        <f t="shared" si="9"/>
        <v>#N/A</v>
      </c>
      <c r="J678" s="19" t="str">
        <f t="shared" si="10"/>
        <v>#N/A</v>
      </c>
      <c r="K678" s="19"/>
      <c r="L678" s="19" t="str">
        <f t="shared" si="11"/>
        <v>#N/A</v>
      </c>
      <c r="M678" s="19" t="str">
        <f t="shared" si="12"/>
        <v>#N/A</v>
      </c>
      <c r="N678" s="19" t="str">
        <f t="shared" si="13"/>
        <v>#N/A</v>
      </c>
    </row>
    <row r="679" ht="24.75" customHeight="1">
      <c r="A679" s="21" t="s">
        <v>642</v>
      </c>
      <c r="B679" s="13">
        <f>IFERROR(__xludf.DUMMYFUNCTION("GOOGLEFINANCE(A679,""PRICE"")"),909.2)</f>
        <v>909.2</v>
      </c>
      <c r="C679" s="14">
        <f>IFERROR(__xludf.DUMMYFUNCTION("GOOGLEFINANCE(A679,""PRICEOPEN"")"),906.45)</f>
        <v>906.45</v>
      </c>
      <c r="D679" s="14">
        <f>IFERROR(__xludf.DUMMYFUNCTION("GOOGLEFINANCE(A679,""HIGH"")"),917.0)</f>
        <v>917</v>
      </c>
      <c r="E679" s="14">
        <f>IFERROR(__xludf.DUMMYFUNCTION("GOOGLEFINANCE(A679,""LOW"")"),900.1)</f>
        <v>900.1</v>
      </c>
      <c r="F679" s="15" t="str">
        <f t="shared" si="8"/>
        <v/>
      </c>
      <c r="G679" s="16">
        <f>IFERROR(__xludf.DUMMYFUNCTION("GOOGLEFINANCE(A679,""CLOSEYEST"")"),913.5)</f>
        <v>913.5</v>
      </c>
      <c r="H679" s="17" t="str">
        <f t="shared" si="14"/>
        <v/>
      </c>
      <c r="I679" s="18">
        <f t="shared" si="9"/>
        <v>910.2</v>
      </c>
      <c r="J679" s="19">
        <f t="shared" si="10"/>
        <v>920.3</v>
      </c>
      <c r="K679" s="19"/>
      <c r="L679" s="19">
        <f t="shared" si="11"/>
        <v>903.4</v>
      </c>
      <c r="M679" s="19">
        <f t="shared" si="12"/>
        <v>927.1</v>
      </c>
      <c r="N679" s="19">
        <f t="shared" si="13"/>
        <v>893.3</v>
      </c>
    </row>
    <row r="680" ht="24.75" customHeight="1">
      <c r="A680" s="21" t="s">
        <v>643</v>
      </c>
      <c r="B680" s="13">
        <f>IFERROR(__xludf.DUMMYFUNCTION("GOOGLEFINANCE(A680,""PRICE"")"),305.9)</f>
        <v>305.9</v>
      </c>
      <c r="C680" s="14">
        <f>IFERROR(__xludf.DUMMYFUNCTION("GOOGLEFINANCE(A680,""PRICEOPEN"")"),299.0)</f>
        <v>299</v>
      </c>
      <c r="D680" s="14">
        <f>IFERROR(__xludf.DUMMYFUNCTION("GOOGLEFINANCE(A680,""HIGH"")"),309.75)</f>
        <v>309.75</v>
      </c>
      <c r="E680" s="14">
        <f>IFERROR(__xludf.DUMMYFUNCTION("GOOGLEFINANCE(A680,""LOW"")"),294.0)</f>
        <v>294</v>
      </c>
      <c r="F680" s="15" t="str">
        <f t="shared" si="8"/>
        <v/>
      </c>
      <c r="G680" s="16">
        <f>IFERROR(__xludf.DUMMYFUNCTION("GOOGLEFINANCE(A680,""CLOSEYEST"")"),298.95)</f>
        <v>298.95</v>
      </c>
      <c r="H680" s="17" t="str">
        <f t="shared" si="14"/>
        <v/>
      </c>
      <c r="I680" s="18">
        <f t="shared" si="9"/>
        <v>300.9</v>
      </c>
      <c r="J680" s="19">
        <f t="shared" si="10"/>
        <v>307.8</v>
      </c>
      <c r="K680" s="19"/>
      <c r="L680" s="19">
        <f t="shared" si="11"/>
        <v>292.05</v>
      </c>
      <c r="M680" s="19">
        <f t="shared" si="12"/>
        <v>316.65</v>
      </c>
      <c r="N680" s="19">
        <f t="shared" si="13"/>
        <v>285.15</v>
      </c>
    </row>
    <row r="681" ht="24.75" customHeight="1">
      <c r="A681" s="21" t="s">
        <v>644</v>
      </c>
      <c r="B681" s="13" t="str">
        <f>IFERROR(__xludf.DUMMYFUNCTION("GOOGLEFINANCE(A681,""PRICE"")"),"#N/A")</f>
        <v>#N/A</v>
      </c>
      <c r="C681" s="14" t="str">
        <f>IFERROR(__xludf.DUMMYFUNCTION("GOOGLEFINANCE(A681,""PRICEOPEN"")"),"#N/A")</f>
        <v>#N/A</v>
      </c>
      <c r="D681" s="14" t="str">
        <f>IFERROR(__xludf.DUMMYFUNCTION("GOOGLEFINANCE(A681,""HIGH"")"),"#N/A")</f>
        <v>#N/A</v>
      </c>
      <c r="E681" s="14" t="str">
        <f>IFERROR(__xludf.DUMMYFUNCTION("GOOGLEFINANCE(A681,""LOW"")"),"#N/A")</f>
        <v>#N/A</v>
      </c>
      <c r="F681" s="15" t="str">
        <f t="shared" si="8"/>
        <v>#N/A</v>
      </c>
      <c r="G681" s="16" t="str">
        <f>IFERROR(__xludf.DUMMYFUNCTION("GOOGLEFINANCE(A681,""CLOSEYEST"")"),"#N/A")</f>
        <v>#N/A</v>
      </c>
      <c r="H681" s="17" t="str">
        <f t="shared" si="14"/>
        <v>#N/A</v>
      </c>
      <c r="I681" s="18" t="str">
        <f t="shared" si="9"/>
        <v>#N/A</v>
      </c>
      <c r="J681" s="19" t="str">
        <f t="shared" si="10"/>
        <v>#N/A</v>
      </c>
      <c r="K681" s="19"/>
      <c r="L681" s="19" t="str">
        <f t="shared" si="11"/>
        <v>#N/A</v>
      </c>
      <c r="M681" s="19" t="str">
        <f t="shared" si="12"/>
        <v>#N/A</v>
      </c>
      <c r="N681" s="19" t="str">
        <f t="shared" si="13"/>
        <v>#N/A</v>
      </c>
    </row>
    <row r="682" ht="24.75" customHeight="1">
      <c r="A682" s="21" t="s">
        <v>645</v>
      </c>
      <c r="B682" s="13">
        <f>IFERROR(__xludf.DUMMYFUNCTION("GOOGLEFINANCE(A682,""PRICE"")"),189.0)</f>
        <v>189</v>
      </c>
      <c r="C682" s="14">
        <f>IFERROR(__xludf.DUMMYFUNCTION("GOOGLEFINANCE(A682,""PRICEOPEN"")"),188.5)</f>
        <v>188.5</v>
      </c>
      <c r="D682" s="14">
        <f>IFERROR(__xludf.DUMMYFUNCTION("GOOGLEFINANCE(A682,""HIGH"")"),189.7)</f>
        <v>189.7</v>
      </c>
      <c r="E682" s="14">
        <f>IFERROR(__xludf.DUMMYFUNCTION("GOOGLEFINANCE(A682,""LOW"")"),185.3)</f>
        <v>185.3</v>
      </c>
      <c r="F682" s="15" t="str">
        <f t="shared" si="8"/>
        <v/>
      </c>
      <c r="G682" s="16">
        <f>IFERROR(__xludf.DUMMYFUNCTION("GOOGLEFINANCE(A682,""CLOSEYEST"")"),186.73)</f>
        <v>186.73</v>
      </c>
      <c r="H682" s="17" t="str">
        <f t="shared" si="14"/>
        <v/>
      </c>
      <c r="I682" s="18">
        <f t="shared" si="9"/>
        <v>187.2433333</v>
      </c>
      <c r="J682" s="19">
        <f t="shared" si="10"/>
        <v>189.1866667</v>
      </c>
      <c r="K682" s="19"/>
      <c r="L682" s="19">
        <f t="shared" si="11"/>
        <v>184.7866667</v>
      </c>
      <c r="M682" s="19">
        <f t="shared" si="12"/>
        <v>191.6433333</v>
      </c>
      <c r="N682" s="19">
        <f t="shared" si="13"/>
        <v>182.8433333</v>
      </c>
    </row>
    <row r="683" ht="24.75" customHeight="1">
      <c r="A683" s="21" t="s">
        <v>646</v>
      </c>
      <c r="B683" s="13">
        <f>IFERROR(__xludf.DUMMYFUNCTION("GOOGLEFINANCE(A683,""PRICE"")"),142.11)</f>
        <v>142.11</v>
      </c>
      <c r="C683" s="14">
        <f>IFERROR(__xludf.DUMMYFUNCTION("GOOGLEFINANCE(A683,""PRICEOPEN"")"),142.15)</f>
        <v>142.15</v>
      </c>
      <c r="D683" s="14">
        <f>IFERROR(__xludf.DUMMYFUNCTION("GOOGLEFINANCE(A683,""HIGH"")"),143.4)</f>
        <v>143.4</v>
      </c>
      <c r="E683" s="14">
        <f>IFERROR(__xludf.DUMMYFUNCTION("GOOGLEFINANCE(A683,""LOW"")"),140.1)</f>
        <v>140.1</v>
      </c>
      <c r="F683" s="15" t="str">
        <f t="shared" si="8"/>
        <v/>
      </c>
      <c r="G683" s="16">
        <f>IFERROR(__xludf.DUMMYFUNCTION("GOOGLEFINANCE(A683,""CLOSEYEST"")"),142.15)</f>
        <v>142.15</v>
      </c>
      <c r="H683" s="17" t="str">
        <f t="shared" si="14"/>
        <v/>
      </c>
      <c r="I683" s="18">
        <f t="shared" si="9"/>
        <v>141.8833333</v>
      </c>
      <c r="J683" s="19">
        <f t="shared" si="10"/>
        <v>143.6666667</v>
      </c>
      <c r="K683" s="19"/>
      <c r="L683" s="19">
        <f t="shared" si="11"/>
        <v>140.3666667</v>
      </c>
      <c r="M683" s="19">
        <f t="shared" si="12"/>
        <v>145.1833333</v>
      </c>
      <c r="N683" s="19">
        <f t="shared" si="13"/>
        <v>138.5833333</v>
      </c>
    </row>
    <row r="684" ht="24.75" customHeight="1">
      <c r="A684" s="21" t="s">
        <v>647</v>
      </c>
      <c r="B684" s="13">
        <f>IFERROR(__xludf.DUMMYFUNCTION("GOOGLEFINANCE(A684,""PRICE"")"),1003.25)</f>
        <v>1003.25</v>
      </c>
      <c r="C684" s="14">
        <f>IFERROR(__xludf.DUMMYFUNCTION("GOOGLEFINANCE(A684,""PRICEOPEN"")"),980.3)</f>
        <v>980.3</v>
      </c>
      <c r="D684" s="14">
        <f>IFERROR(__xludf.DUMMYFUNCTION("GOOGLEFINANCE(A684,""HIGH"")"),1005.85)</f>
        <v>1005.85</v>
      </c>
      <c r="E684" s="14">
        <f>IFERROR(__xludf.DUMMYFUNCTION("GOOGLEFINANCE(A684,""LOW"")"),971.0)</f>
        <v>971</v>
      </c>
      <c r="F684" s="15" t="str">
        <f t="shared" si="8"/>
        <v/>
      </c>
      <c r="G684" s="16">
        <f>IFERROR(__xludf.DUMMYFUNCTION("GOOGLEFINANCE(A684,""CLOSEYEST"")"),980.3)</f>
        <v>980.3</v>
      </c>
      <c r="H684" s="17" t="str">
        <f t="shared" si="14"/>
        <v/>
      </c>
      <c r="I684" s="18">
        <f t="shared" si="9"/>
        <v>985.7166667</v>
      </c>
      <c r="J684" s="19">
        <f t="shared" si="10"/>
        <v>1000.433333</v>
      </c>
      <c r="K684" s="19"/>
      <c r="L684" s="19">
        <f t="shared" si="11"/>
        <v>965.5833333</v>
      </c>
      <c r="M684" s="19">
        <f t="shared" si="12"/>
        <v>1020.566667</v>
      </c>
      <c r="N684" s="19">
        <f t="shared" si="13"/>
        <v>950.8666667</v>
      </c>
    </row>
    <row r="685" ht="24.75" customHeight="1">
      <c r="A685" s="21" t="s">
        <v>648</v>
      </c>
      <c r="B685" s="13" t="str">
        <f>IFERROR(__xludf.DUMMYFUNCTION("GOOGLEFINANCE(A685,""PRICE"")"),"#N/A")</f>
        <v>#N/A</v>
      </c>
      <c r="C685" s="14" t="str">
        <f>IFERROR(__xludf.DUMMYFUNCTION("GOOGLEFINANCE(A685,""PRICEOPEN"")"),"#N/A")</f>
        <v>#N/A</v>
      </c>
      <c r="D685" s="14" t="str">
        <f>IFERROR(__xludf.DUMMYFUNCTION("GOOGLEFINANCE(A685,""HIGH"")"),"#N/A")</f>
        <v>#N/A</v>
      </c>
      <c r="E685" s="14" t="str">
        <f>IFERROR(__xludf.DUMMYFUNCTION("GOOGLEFINANCE(A685,""LOW"")"),"#N/A")</f>
        <v>#N/A</v>
      </c>
      <c r="F685" s="15" t="str">
        <f t="shared" si="8"/>
        <v>#N/A</v>
      </c>
      <c r="G685" s="16" t="str">
        <f>IFERROR(__xludf.DUMMYFUNCTION("GOOGLEFINANCE(A685,""CLOSEYEST"")"),"#N/A")</f>
        <v>#N/A</v>
      </c>
      <c r="H685" s="17" t="str">
        <f t="shared" si="14"/>
        <v>#N/A</v>
      </c>
      <c r="I685" s="18" t="str">
        <f t="shared" si="9"/>
        <v>#N/A</v>
      </c>
      <c r="J685" s="19" t="str">
        <f t="shared" si="10"/>
        <v>#N/A</v>
      </c>
      <c r="K685" s="19"/>
      <c r="L685" s="19" t="str">
        <f t="shared" si="11"/>
        <v>#N/A</v>
      </c>
      <c r="M685" s="19" t="str">
        <f t="shared" si="12"/>
        <v>#N/A</v>
      </c>
      <c r="N685" s="19" t="str">
        <f t="shared" si="13"/>
        <v>#N/A</v>
      </c>
    </row>
    <row r="686" ht="24.75" customHeight="1">
      <c r="A686" s="21" t="s">
        <v>649</v>
      </c>
      <c r="B686" s="13">
        <f>IFERROR(__xludf.DUMMYFUNCTION("GOOGLEFINANCE(A686,""PRICE"")"),2719.0)</f>
        <v>2719</v>
      </c>
      <c r="C686" s="14">
        <f>IFERROR(__xludf.DUMMYFUNCTION("GOOGLEFINANCE(A686,""PRICEOPEN"")"),2655.0)</f>
        <v>2655</v>
      </c>
      <c r="D686" s="14">
        <f>IFERROR(__xludf.DUMMYFUNCTION("GOOGLEFINANCE(A686,""HIGH"")"),2733.8)</f>
        <v>2733.8</v>
      </c>
      <c r="E686" s="14">
        <f>IFERROR(__xludf.DUMMYFUNCTION("GOOGLEFINANCE(A686,""LOW"")"),2632.2)</f>
        <v>2632.2</v>
      </c>
      <c r="F686" s="15" t="str">
        <f t="shared" si="8"/>
        <v/>
      </c>
      <c r="G686" s="16">
        <f>IFERROR(__xludf.DUMMYFUNCTION("GOOGLEFINANCE(A686,""CLOSEYEST"")"),2644.2)</f>
        <v>2644.2</v>
      </c>
      <c r="H686" s="17" t="str">
        <f t="shared" si="14"/>
        <v/>
      </c>
      <c r="I686" s="18">
        <f t="shared" si="9"/>
        <v>2670.066667</v>
      </c>
      <c r="J686" s="19">
        <f t="shared" si="10"/>
        <v>2707.933333</v>
      </c>
      <c r="K686" s="19"/>
      <c r="L686" s="19">
        <f t="shared" si="11"/>
        <v>2606.333333</v>
      </c>
      <c r="M686" s="19">
        <f t="shared" si="12"/>
        <v>2771.666667</v>
      </c>
      <c r="N686" s="19">
        <f t="shared" si="13"/>
        <v>2568.466667</v>
      </c>
    </row>
    <row r="687" ht="24.75" customHeight="1">
      <c r="A687" s="21" t="s">
        <v>650</v>
      </c>
      <c r="B687" s="13">
        <f>IFERROR(__xludf.DUMMYFUNCTION("GOOGLEFINANCE(A687,""PRICE"")"),1378.0)</f>
        <v>1378</v>
      </c>
      <c r="C687" s="14">
        <f>IFERROR(__xludf.DUMMYFUNCTION("GOOGLEFINANCE(A687,""PRICEOPEN"")"),1340.0)</f>
        <v>1340</v>
      </c>
      <c r="D687" s="14">
        <f>IFERROR(__xludf.DUMMYFUNCTION("GOOGLEFINANCE(A687,""HIGH"")"),1383.7)</f>
        <v>1383.7</v>
      </c>
      <c r="E687" s="14">
        <f>IFERROR(__xludf.DUMMYFUNCTION("GOOGLEFINANCE(A687,""LOW"")"),1329.7)</f>
        <v>1329.7</v>
      </c>
      <c r="F687" s="15" t="str">
        <f t="shared" si="8"/>
        <v/>
      </c>
      <c r="G687" s="16">
        <f>IFERROR(__xludf.DUMMYFUNCTION("GOOGLEFINANCE(A687,""CLOSEYEST"")"),1338.5)</f>
        <v>1338.5</v>
      </c>
      <c r="H687" s="17" t="str">
        <f t="shared" si="14"/>
        <v/>
      </c>
      <c r="I687" s="18">
        <f t="shared" si="9"/>
        <v>1350.633333</v>
      </c>
      <c r="J687" s="19">
        <f t="shared" si="10"/>
        <v>1371.566667</v>
      </c>
      <c r="K687" s="19"/>
      <c r="L687" s="19">
        <f t="shared" si="11"/>
        <v>1317.566667</v>
      </c>
      <c r="M687" s="19">
        <f t="shared" si="12"/>
        <v>1404.633333</v>
      </c>
      <c r="N687" s="19">
        <f t="shared" si="13"/>
        <v>1296.633333</v>
      </c>
    </row>
    <row r="688" ht="24.75" customHeight="1">
      <c r="A688" s="21" t="s">
        <v>651</v>
      </c>
      <c r="B688" s="13" t="str">
        <f>IFERROR(__xludf.DUMMYFUNCTION("GOOGLEFINANCE(A688,""PRICE"")"),"#N/A")</f>
        <v>#N/A</v>
      </c>
      <c r="C688" s="14" t="str">
        <f>IFERROR(__xludf.DUMMYFUNCTION("GOOGLEFINANCE(A688,""PRICEOPEN"")"),"#N/A")</f>
        <v>#N/A</v>
      </c>
      <c r="D688" s="14" t="str">
        <f>IFERROR(__xludf.DUMMYFUNCTION("GOOGLEFINANCE(A688,""HIGH"")"),"#N/A")</f>
        <v>#N/A</v>
      </c>
      <c r="E688" s="14" t="str">
        <f>IFERROR(__xludf.DUMMYFUNCTION("GOOGLEFINANCE(A688,""LOW"")"),"#N/A")</f>
        <v>#N/A</v>
      </c>
      <c r="F688" s="15" t="str">
        <f t="shared" si="8"/>
        <v>#N/A</v>
      </c>
      <c r="G688" s="16" t="str">
        <f>IFERROR(__xludf.DUMMYFUNCTION("GOOGLEFINANCE(A688,""CLOSEYEST"")"),"#N/A")</f>
        <v>#N/A</v>
      </c>
      <c r="H688" s="17" t="str">
        <f t="shared" si="14"/>
        <v>#N/A</v>
      </c>
      <c r="I688" s="18" t="str">
        <f t="shared" si="9"/>
        <v>#N/A</v>
      </c>
      <c r="J688" s="19" t="str">
        <f t="shared" si="10"/>
        <v>#N/A</v>
      </c>
      <c r="K688" s="19"/>
      <c r="L688" s="19" t="str">
        <f t="shared" si="11"/>
        <v>#N/A</v>
      </c>
      <c r="M688" s="19" t="str">
        <f t="shared" si="12"/>
        <v>#N/A</v>
      </c>
      <c r="N688" s="19" t="str">
        <f t="shared" si="13"/>
        <v>#N/A</v>
      </c>
    </row>
    <row r="689" ht="24.75" customHeight="1">
      <c r="A689" s="21" t="s">
        <v>652</v>
      </c>
      <c r="B689" s="13">
        <f>IFERROR(__xludf.DUMMYFUNCTION("GOOGLEFINANCE(A689,""PRICE"")"),577.5)</f>
        <v>577.5</v>
      </c>
      <c r="C689" s="14">
        <f>IFERROR(__xludf.DUMMYFUNCTION("GOOGLEFINANCE(A689,""PRICEOPEN"")"),552.9)</f>
        <v>552.9</v>
      </c>
      <c r="D689" s="14">
        <f>IFERROR(__xludf.DUMMYFUNCTION("GOOGLEFINANCE(A689,""HIGH"")"),579.35)</f>
        <v>579.35</v>
      </c>
      <c r="E689" s="14">
        <f>IFERROR(__xludf.DUMMYFUNCTION("GOOGLEFINANCE(A689,""LOW"")"),550.0)</f>
        <v>550</v>
      </c>
      <c r="F689" s="15" t="str">
        <f t="shared" si="8"/>
        <v/>
      </c>
      <c r="G689" s="16">
        <f>IFERROR(__xludf.DUMMYFUNCTION("GOOGLEFINANCE(A689,""CLOSEYEST"")"),550.75)</f>
        <v>550.75</v>
      </c>
      <c r="H689" s="17" t="str">
        <f t="shared" si="14"/>
        <v/>
      </c>
      <c r="I689" s="18">
        <f t="shared" si="9"/>
        <v>560.0333333</v>
      </c>
      <c r="J689" s="19">
        <f t="shared" si="10"/>
        <v>570.0666667</v>
      </c>
      <c r="K689" s="19"/>
      <c r="L689" s="19">
        <f t="shared" si="11"/>
        <v>540.7166667</v>
      </c>
      <c r="M689" s="19">
        <f t="shared" si="12"/>
        <v>589.3833333</v>
      </c>
      <c r="N689" s="19">
        <f t="shared" si="13"/>
        <v>530.6833333</v>
      </c>
    </row>
    <row r="690" ht="24.75" customHeight="1">
      <c r="A690" s="21" t="s">
        <v>653</v>
      </c>
      <c r="B690" s="13">
        <f>IFERROR(__xludf.DUMMYFUNCTION("GOOGLEFINANCE(A690,""PRICE"")"),103.2)</f>
        <v>103.2</v>
      </c>
      <c r="C690" s="14">
        <f>IFERROR(__xludf.DUMMYFUNCTION("GOOGLEFINANCE(A690,""PRICEOPEN"")"),103.0)</f>
        <v>103</v>
      </c>
      <c r="D690" s="14">
        <f>IFERROR(__xludf.DUMMYFUNCTION("GOOGLEFINANCE(A690,""HIGH"")"),103.66)</f>
        <v>103.66</v>
      </c>
      <c r="E690" s="14">
        <f>IFERROR(__xludf.DUMMYFUNCTION("GOOGLEFINANCE(A690,""LOW"")"),102.56)</f>
        <v>102.56</v>
      </c>
      <c r="F690" s="15" t="str">
        <f t="shared" si="8"/>
        <v/>
      </c>
      <c r="G690" s="16">
        <f>IFERROR(__xludf.DUMMYFUNCTION("GOOGLEFINANCE(A690,""CLOSEYEST"")"),103.45)</f>
        <v>103.45</v>
      </c>
      <c r="H690" s="17" t="str">
        <f t="shared" si="14"/>
        <v/>
      </c>
      <c r="I690" s="18">
        <f t="shared" si="9"/>
        <v>103.2233333</v>
      </c>
      <c r="J690" s="19">
        <f t="shared" si="10"/>
        <v>103.8866667</v>
      </c>
      <c r="K690" s="19"/>
      <c r="L690" s="19">
        <f t="shared" si="11"/>
        <v>102.7866667</v>
      </c>
      <c r="M690" s="19">
        <f t="shared" si="12"/>
        <v>104.3233333</v>
      </c>
      <c r="N690" s="19">
        <f t="shared" si="13"/>
        <v>102.1233333</v>
      </c>
    </row>
    <row r="691" ht="24.75" customHeight="1">
      <c r="A691" s="21" t="s">
        <v>654</v>
      </c>
      <c r="B691" s="13">
        <f>IFERROR(__xludf.DUMMYFUNCTION("GOOGLEFINANCE(A691,""PRICE"")"),0.19)</f>
        <v>0.19</v>
      </c>
      <c r="C691" s="14">
        <f>IFERROR(__xludf.DUMMYFUNCTION("GOOGLEFINANCE(A691,""PRICEOPEN"")"),0.18)</f>
        <v>0.18</v>
      </c>
      <c r="D691" s="14">
        <f>IFERROR(__xludf.DUMMYFUNCTION("GOOGLEFINANCE(A691,""HIGH"")"),0.2)</f>
        <v>0.2</v>
      </c>
      <c r="E691" s="14">
        <f>IFERROR(__xludf.DUMMYFUNCTION("GOOGLEFINANCE(A691,""LOW"")"),0.18)</f>
        <v>0.18</v>
      </c>
      <c r="F691" s="15" t="str">
        <f t="shared" si="8"/>
        <v>BUY</v>
      </c>
      <c r="G691" s="16">
        <f>IFERROR(__xludf.DUMMYFUNCTION("GOOGLEFINANCE(A691,""CLOSEYEST"")"),0.18)</f>
        <v>0.18</v>
      </c>
      <c r="H691" s="17" t="str">
        <f t="shared" si="14"/>
        <v/>
      </c>
      <c r="I691" s="18">
        <f t="shared" si="9"/>
        <v>0.1866666667</v>
      </c>
      <c r="J691" s="19">
        <f t="shared" si="10"/>
        <v>0.1933333333</v>
      </c>
      <c r="K691" s="19"/>
      <c r="L691" s="19">
        <f t="shared" si="11"/>
        <v>0.1733333333</v>
      </c>
      <c r="M691" s="19">
        <f t="shared" si="12"/>
        <v>0.2066666667</v>
      </c>
      <c r="N691" s="19">
        <f t="shared" si="13"/>
        <v>0.1666666667</v>
      </c>
    </row>
    <row r="692" ht="24.75" customHeight="1">
      <c r="A692" s="21" t="s">
        <v>655</v>
      </c>
      <c r="B692" s="13">
        <f>IFERROR(__xludf.DUMMYFUNCTION("GOOGLEFINANCE(A692,""PRICE"")"),854.0)</f>
        <v>854</v>
      </c>
      <c r="C692" s="14">
        <f>IFERROR(__xludf.DUMMYFUNCTION("GOOGLEFINANCE(A692,""PRICEOPEN"")"),847.0)</f>
        <v>847</v>
      </c>
      <c r="D692" s="14">
        <f>IFERROR(__xludf.DUMMYFUNCTION("GOOGLEFINANCE(A692,""HIGH"")"),869.0)</f>
        <v>869</v>
      </c>
      <c r="E692" s="14">
        <f>IFERROR(__xludf.DUMMYFUNCTION("GOOGLEFINANCE(A692,""LOW"")"),832.8)</f>
        <v>832.8</v>
      </c>
      <c r="F692" s="15" t="str">
        <f t="shared" si="8"/>
        <v/>
      </c>
      <c r="G692" s="16">
        <f>IFERROR(__xludf.DUMMYFUNCTION("GOOGLEFINANCE(A692,""CLOSEYEST"")"),827.95)</f>
        <v>827.95</v>
      </c>
      <c r="H692" s="17" t="str">
        <f t="shared" si="14"/>
        <v>GAP UP</v>
      </c>
      <c r="I692" s="18">
        <f t="shared" si="9"/>
        <v>843.25</v>
      </c>
      <c r="J692" s="19">
        <f t="shared" si="10"/>
        <v>853.7</v>
      </c>
      <c r="K692" s="19"/>
      <c r="L692" s="19">
        <f t="shared" si="11"/>
        <v>817.5</v>
      </c>
      <c r="M692" s="19">
        <f t="shared" si="12"/>
        <v>879.45</v>
      </c>
      <c r="N692" s="19">
        <f t="shared" si="13"/>
        <v>807.05</v>
      </c>
    </row>
    <row r="693" ht="24.75" customHeight="1">
      <c r="A693" s="21" t="s">
        <v>656</v>
      </c>
      <c r="B693" s="13" t="str">
        <f>IFERROR(__xludf.DUMMYFUNCTION("GOOGLEFINANCE(A693,""PRICE"")"),"#N/A")</f>
        <v>#N/A</v>
      </c>
      <c r="C693" s="14" t="str">
        <f>IFERROR(__xludf.DUMMYFUNCTION("GOOGLEFINANCE(A693,""PRICEOPEN"")"),"#N/A")</f>
        <v>#N/A</v>
      </c>
      <c r="D693" s="14" t="str">
        <f>IFERROR(__xludf.DUMMYFUNCTION("GOOGLEFINANCE(A693,""HIGH"")"),"#N/A")</f>
        <v>#N/A</v>
      </c>
      <c r="E693" s="14" t="str">
        <f>IFERROR(__xludf.DUMMYFUNCTION("GOOGLEFINANCE(A693,""LOW"")"),"#N/A")</f>
        <v>#N/A</v>
      </c>
      <c r="F693" s="15" t="str">
        <f t="shared" si="8"/>
        <v>#N/A</v>
      </c>
      <c r="G693" s="16" t="str">
        <f>IFERROR(__xludf.DUMMYFUNCTION("GOOGLEFINANCE(A693,""CLOSEYEST"")"),"#N/A")</f>
        <v>#N/A</v>
      </c>
      <c r="H693" s="17" t="str">
        <f t="shared" si="14"/>
        <v>#N/A</v>
      </c>
      <c r="I693" s="18" t="str">
        <f t="shared" si="9"/>
        <v>#N/A</v>
      </c>
      <c r="J693" s="19" t="str">
        <f t="shared" si="10"/>
        <v>#N/A</v>
      </c>
      <c r="K693" s="19"/>
      <c r="L693" s="19" t="str">
        <f t="shared" si="11"/>
        <v>#N/A</v>
      </c>
      <c r="M693" s="19" t="str">
        <f t="shared" si="12"/>
        <v>#N/A</v>
      </c>
      <c r="N693" s="19" t="str">
        <f t="shared" si="13"/>
        <v>#N/A</v>
      </c>
    </row>
    <row r="694" ht="24.75" customHeight="1">
      <c r="A694" s="21" t="s">
        <v>657</v>
      </c>
      <c r="B694" s="13">
        <f>IFERROR(__xludf.DUMMYFUNCTION("GOOGLEFINANCE(A694,""PRICE"")"),722.0)</f>
        <v>722</v>
      </c>
      <c r="C694" s="14">
        <f>IFERROR(__xludf.DUMMYFUNCTION("GOOGLEFINANCE(A694,""PRICEOPEN"")"),714.5)</f>
        <v>714.5</v>
      </c>
      <c r="D694" s="14">
        <f>IFERROR(__xludf.DUMMYFUNCTION("GOOGLEFINANCE(A694,""HIGH"")"),726.45)</f>
        <v>726.45</v>
      </c>
      <c r="E694" s="14">
        <f>IFERROR(__xludf.DUMMYFUNCTION("GOOGLEFINANCE(A694,""LOW"")"),714.5)</f>
        <v>714.5</v>
      </c>
      <c r="F694" s="15" t="str">
        <f t="shared" si="8"/>
        <v>BUY</v>
      </c>
      <c r="G694" s="16">
        <f>IFERROR(__xludf.DUMMYFUNCTION("GOOGLEFINANCE(A694,""CLOSEYEST"")"),714.25)</f>
        <v>714.25</v>
      </c>
      <c r="H694" s="17" t="str">
        <f t="shared" si="14"/>
        <v/>
      </c>
      <c r="I694" s="18">
        <f t="shared" si="9"/>
        <v>718.4</v>
      </c>
      <c r="J694" s="19">
        <f t="shared" si="10"/>
        <v>722.3</v>
      </c>
      <c r="K694" s="19"/>
      <c r="L694" s="19">
        <f t="shared" si="11"/>
        <v>710.35</v>
      </c>
      <c r="M694" s="19">
        <f t="shared" si="12"/>
        <v>730.35</v>
      </c>
      <c r="N694" s="19">
        <f t="shared" si="13"/>
        <v>706.45</v>
      </c>
    </row>
    <row r="695" ht="24.75" customHeight="1">
      <c r="A695" s="21" t="s">
        <v>658</v>
      </c>
      <c r="B695" s="13">
        <f>IFERROR(__xludf.DUMMYFUNCTION("GOOGLEFINANCE(A695,""PRICE"")"),613.0)</f>
        <v>613</v>
      </c>
      <c r="C695" s="14">
        <f>IFERROR(__xludf.DUMMYFUNCTION("GOOGLEFINANCE(A695,""PRICEOPEN"")"),621.95)</f>
        <v>621.95</v>
      </c>
      <c r="D695" s="14">
        <f>IFERROR(__xludf.DUMMYFUNCTION("GOOGLEFINANCE(A695,""HIGH"")"),639.0)</f>
        <v>639</v>
      </c>
      <c r="E695" s="14">
        <f>IFERROR(__xludf.DUMMYFUNCTION("GOOGLEFINANCE(A695,""LOW"")"),599.05)</f>
        <v>599.05</v>
      </c>
      <c r="F695" s="15" t="str">
        <f t="shared" si="8"/>
        <v/>
      </c>
      <c r="G695" s="16">
        <f>IFERROR(__xludf.DUMMYFUNCTION("GOOGLEFINANCE(A695,""CLOSEYEST"")"),620.6)</f>
        <v>620.6</v>
      </c>
      <c r="H695" s="17" t="str">
        <f t="shared" si="14"/>
        <v/>
      </c>
      <c r="I695" s="18">
        <f t="shared" si="9"/>
        <v>619.55</v>
      </c>
      <c r="J695" s="19">
        <f t="shared" si="10"/>
        <v>640.05</v>
      </c>
      <c r="K695" s="19"/>
      <c r="L695" s="19">
        <f t="shared" si="11"/>
        <v>600.1</v>
      </c>
      <c r="M695" s="19">
        <f t="shared" si="12"/>
        <v>659.5</v>
      </c>
      <c r="N695" s="19">
        <f t="shared" si="13"/>
        <v>579.6</v>
      </c>
    </row>
    <row r="696" ht="24.75" customHeight="1">
      <c r="A696" s="21" t="s">
        <v>659</v>
      </c>
      <c r="B696" s="13">
        <f>IFERROR(__xludf.DUMMYFUNCTION("GOOGLEFINANCE(A696,""PRICE"")"),105.9)</f>
        <v>105.9</v>
      </c>
      <c r="C696" s="14">
        <f>IFERROR(__xludf.DUMMYFUNCTION("GOOGLEFINANCE(A696,""PRICEOPEN"")"),106.4)</f>
        <v>106.4</v>
      </c>
      <c r="D696" s="14">
        <f>IFERROR(__xludf.DUMMYFUNCTION("GOOGLEFINANCE(A696,""HIGH"")"),107.85)</f>
        <v>107.85</v>
      </c>
      <c r="E696" s="14">
        <f>IFERROR(__xludf.DUMMYFUNCTION("GOOGLEFINANCE(A696,""LOW"")"),104.81)</f>
        <v>104.81</v>
      </c>
      <c r="F696" s="15" t="str">
        <f t="shared" si="8"/>
        <v/>
      </c>
      <c r="G696" s="16">
        <f>IFERROR(__xludf.DUMMYFUNCTION("GOOGLEFINANCE(A696,""CLOSEYEST"")"),106.99)</f>
        <v>106.99</v>
      </c>
      <c r="H696" s="17" t="str">
        <f t="shared" si="14"/>
        <v/>
      </c>
      <c r="I696" s="18">
        <f t="shared" si="9"/>
        <v>106.55</v>
      </c>
      <c r="J696" s="19">
        <f t="shared" si="10"/>
        <v>108.29</v>
      </c>
      <c r="K696" s="19"/>
      <c r="L696" s="19">
        <f t="shared" si="11"/>
        <v>105.25</v>
      </c>
      <c r="M696" s="19">
        <f t="shared" si="12"/>
        <v>109.59</v>
      </c>
      <c r="N696" s="19">
        <f t="shared" si="13"/>
        <v>103.51</v>
      </c>
    </row>
    <row r="697" ht="24.75" customHeight="1">
      <c r="A697" s="21" t="s">
        <v>660</v>
      </c>
      <c r="B697" s="13">
        <f>IFERROR(__xludf.DUMMYFUNCTION("GOOGLEFINANCE(A697,""PRICE"")"),299.15)</f>
        <v>299.15</v>
      </c>
      <c r="C697" s="14">
        <f>IFERROR(__xludf.DUMMYFUNCTION("GOOGLEFINANCE(A697,""PRICEOPEN"")"),296.95)</f>
        <v>296.95</v>
      </c>
      <c r="D697" s="14">
        <f>IFERROR(__xludf.DUMMYFUNCTION("GOOGLEFINANCE(A697,""HIGH"")"),301.0)</f>
        <v>301</v>
      </c>
      <c r="E697" s="14">
        <f>IFERROR(__xludf.DUMMYFUNCTION("GOOGLEFINANCE(A697,""LOW"")"),296.95)</f>
        <v>296.95</v>
      </c>
      <c r="F697" s="15" t="str">
        <f t="shared" si="8"/>
        <v>BUY</v>
      </c>
      <c r="G697" s="16">
        <f>IFERROR(__xludf.DUMMYFUNCTION("GOOGLEFINANCE(A697,""CLOSEYEST"")"),296.8)</f>
        <v>296.8</v>
      </c>
      <c r="H697" s="17" t="str">
        <f t="shared" si="14"/>
        <v/>
      </c>
      <c r="I697" s="18">
        <f t="shared" si="9"/>
        <v>298.25</v>
      </c>
      <c r="J697" s="19">
        <f t="shared" si="10"/>
        <v>299.55</v>
      </c>
      <c r="K697" s="19"/>
      <c r="L697" s="19">
        <f t="shared" si="11"/>
        <v>295.5</v>
      </c>
      <c r="M697" s="19">
        <f t="shared" si="12"/>
        <v>302.3</v>
      </c>
      <c r="N697" s="19">
        <f t="shared" si="13"/>
        <v>294.2</v>
      </c>
    </row>
    <row r="698" ht="24.75" customHeight="1">
      <c r="A698" s="21" t="s">
        <v>661</v>
      </c>
      <c r="B698" s="13">
        <f>IFERROR(__xludf.DUMMYFUNCTION("GOOGLEFINANCE(A698,""PRICE"")"),51.87)</f>
        <v>51.87</v>
      </c>
      <c r="C698" s="14">
        <f>IFERROR(__xludf.DUMMYFUNCTION("GOOGLEFINANCE(A698,""PRICEOPEN"")"),52.0)</f>
        <v>52</v>
      </c>
      <c r="D698" s="14">
        <f>IFERROR(__xludf.DUMMYFUNCTION("GOOGLEFINANCE(A698,""HIGH"")"),52.32)</f>
        <v>52.32</v>
      </c>
      <c r="E698" s="14">
        <f>IFERROR(__xludf.DUMMYFUNCTION("GOOGLEFINANCE(A698,""LOW"")"),51.38)</f>
        <v>51.38</v>
      </c>
      <c r="F698" s="15" t="str">
        <f t="shared" si="8"/>
        <v/>
      </c>
      <c r="G698" s="16">
        <f>IFERROR(__xludf.DUMMYFUNCTION("GOOGLEFINANCE(A698,""CLOSEYEST"")"),51.5)</f>
        <v>51.5</v>
      </c>
      <c r="H698" s="17" t="str">
        <f t="shared" si="14"/>
        <v/>
      </c>
      <c r="I698" s="18">
        <f t="shared" si="9"/>
        <v>51.73333333</v>
      </c>
      <c r="J698" s="19">
        <f t="shared" si="10"/>
        <v>52.08666667</v>
      </c>
      <c r="K698" s="19"/>
      <c r="L698" s="19">
        <f t="shared" si="11"/>
        <v>51.14666667</v>
      </c>
      <c r="M698" s="19">
        <f t="shared" si="12"/>
        <v>52.67333333</v>
      </c>
      <c r="N698" s="19">
        <f t="shared" si="13"/>
        <v>50.79333333</v>
      </c>
    </row>
    <row r="699" ht="24.75" customHeight="1">
      <c r="A699" s="21" t="s">
        <v>662</v>
      </c>
      <c r="B699" s="13">
        <f>IFERROR(__xludf.DUMMYFUNCTION("GOOGLEFINANCE(A699,""PRICE"")"),1.35)</f>
        <v>1.35</v>
      </c>
      <c r="C699" s="14">
        <f>IFERROR(__xludf.DUMMYFUNCTION("GOOGLEFINANCE(A699,""PRICEOPEN"")"),1.3)</f>
        <v>1.3</v>
      </c>
      <c r="D699" s="14">
        <f>IFERROR(__xludf.DUMMYFUNCTION("GOOGLEFINANCE(A699,""HIGH"")"),1.35)</f>
        <v>1.35</v>
      </c>
      <c r="E699" s="14">
        <f>IFERROR(__xludf.DUMMYFUNCTION("GOOGLEFINANCE(A699,""LOW"")"),1.3)</f>
        <v>1.3</v>
      </c>
      <c r="F699" s="15" t="str">
        <f t="shared" si="8"/>
        <v>BUY</v>
      </c>
      <c r="G699" s="16">
        <f>IFERROR(__xludf.DUMMYFUNCTION("GOOGLEFINANCE(A699,""CLOSEYEST"")"),1.3)</f>
        <v>1.3</v>
      </c>
      <c r="H699" s="17" t="str">
        <f t="shared" si="14"/>
        <v/>
      </c>
      <c r="I699" s="18">
        <f t="shared" si="9"/>
        <v>1.316666667</v>
      </c>
      <c r="J699" s="19">
        <f t="shared" si="10"/>
        <v>1.333333333</v>
      </c>
      <c r="K699" s="19"/>
      <c r="L699" s="19">
        <f t="shared" si="11"/>
        <v>1.283333333</v>
      </c>
      <c r="M699" s="19">
        <f t="shared" si="12"/>
        <v>1.366666667</v>
      </c>
      <c r="N699" s="19">
        <f t="shared" si="13"/>
        <v>1.266666667</v>
      </c>
    </row>
    <row r="700" ht="24.75" customHeight="1">
      <c r="A700" s="21" t="s">
        <v>663</v>
      </c>
      <c r="B700" s="13">
        <f>IFERROR(__xludf.DUMMYFUNCTION("GOOGLEFINANCE(A700,""PRICE"")"),328.0)</f>
        <v>328</v>
      </c>
      <c r="C700" s="14">
        <f>IFERROR(__xludf.DUMMYFUNCTION("GOOGLEFINANCE(A700,""PRICEOPEN"")"),331.25)</f>
        <v>331.25</v>
      </c>
      <c r="D700" s="14">
        <f>IFERROR(__xludf.DUMMYFUNCTION("GOOGLEFINANCE(A700,""HIGH"")"),333.35)</f>
        <v>333.35</v>
      </c>
      <c r="E700" s="14">
        <f>IFERROR(__xludf.DUMMYFUNCTION("GOOGLEFINANCE(A700,""LOW"")"),326.0)</f>
        <v>326</v>
      </c>
      <c r="F700" s="15" t="str">
        <f t="shared" si="8"/>
        <v/>
      </c>
      <c r="G700" s="16">
        <f>IFERROR(__xludf.DUMMYFUNCTION("GOOGLEFINANCE(A700,""CLOSEYEST"")"),329.2)</f>
        <v>329.2</v>
      </c>
      <c r="H700" s="17" t="str">
        <f t="shared" si="14"/>
        <v/>
      </c>
      <c r="I700" s="18">
        <f t="shared" si="9"/>
        <v>329.5166667</v>
      </c>
      <c r="J700" s="19">
        <f t="shared" si="10"/>
        <v>333.0333333</v>
      </c>
      <c r="K700" s="19"/>
      <c r="L700" s="19">
        <f t="shared" si="11"/>
        <v>325.6833333</v>
      </c>
      <c r="M700" s="19">
        <f t="shared" si="12"/>
        <v>336.8666667</v>
      </c>
      <c r="N700" s="19">
        <f t="shared" si="13"/>
        <v>322.1666667</v>
      </c>
    </row>
    <row r="701" ht="24.75" customHeight="1">
      <c r="A701" s="21" t="s">
        <v>664</v>
      </c>
      <c r="B701" s="13">
        <f>IFERROR(__xludf.DUMMYFUNCTION("GOOGLEFINANCE(A701,""PRICE"")"),902.4)</f>
        <v>902.4</v>
      </c>
      <c r="C701" s="14">
        <f>IFERROR(__xludf.DUMMYFUNCTION("GOOGLEFINANCE(A701,""PRICEOPEN"")"),928.0)</f>
        <v>928</v>
      </c>
      <c r="D701" s="14">
        <f>IFERROR(__xludf.DUMMYFUNCTION("GOOGLEFINANCE(A701,""HIGH"")"),928.5)</f>
        <v>928.5</v>
      </c>
      <c r="E701" s="14">
        <f>IFERROR(__xludf.DUMMYFUNCTION("GOOGLEFINANCE(A701,""LOW"")"),893.15)</f>
        <v>893.15</v>
      </c>
      <c r="F701" s="15" t="str">
        <f t="shared" si="8"/>
        <v/>
      </c>
      <c r="G701" s="16">
        <f>IFERROR(__xludf.DUMMYFUNCTION("GOOGLEFINANCE(A701,""CLOSEYEST"")"),925.95)</f>
        <v>925.95</v>
      </c>
      <c r="H701" s="17" t="str">
        <f t="shared" si="14"/>
        <v/>
      </c>
      <c r="I701" s="18">
        <f t="shared" si="9"/>
        <v>915.8666667</v>
      </c>
      <c r="J701" s="19">
        <f t="shared" si="10"/>
        <v>938.5833333</v>
      </c>
      <c r="K701" s="19"/>
      <c r="L701" s="19">
        <f t="shared" si="11"/>
        <v>903.2333333</v>
      </c>
      <c r="M701" s="19">
        <f t="shared" si="12"/>
        <v>951.2166667</v>
      </c>
      <c r="N701" s="19">
        <f t="shared" si="13"/>
        <v>880.5166667</v>
      </c>
    </row>
    <row r="702" ht="24.75" customHeight="1">
      <c r="A702" s="21" t="s">
        <v>665</v>
      </c>
      <c r="B702" s="13">
        <f>IFERROR(__xludf.DUMMYFUNCTION("GOOGLEFINANCE(A702,""PRICE"")"),131.8)</f>
        <v>131.8</v>
      </c>
      <c r="C702" s="14">
        <f>IFERROR(__xludf.DUMMYFUNCTION("GOOGLEFINANCE(A702,""PRICEOPEN"")"),128.59)</f>
        <v>128.59</v>
      </c>
      <c r="D702" s="14">
        <f>IFERROR(__xludf.DUMMYFUNCTION("GOOGLEFINANCE(A702,""HIGH"")"),132.0)</f>
        <v>132</v>
      </c>
      <c r="E702" s="14">
        <f>IFERROR(__xludf.DUMMYFUNCTION("GOOGLEFINANCE(A702,""LOW"")"),128.55)</f>
        <v>128.55</v>
      </c>
      <c r="F702" s="15" t="str">
        <f t="shared" si="8"/>
        <v/>
      </c>
      <c r="G702" s="16">
        <f>IFERROR(__xludf.DUMMYFUNCTION("GOOGLEFINANCE(A702,""CLOSEYEST"")"),128.59)</f>
        <v>128.59</v>
      </c>
      <c r="H702" s="17" t="str">
        <f t="shared" si="14"/>
        <v/>
      </c>
      <c r="I702" s="18">
        <f t="shared" si="9"/>
        <v>129.7133333</v>
      </c>
      <c r="J702" s="19">
        <f t="shared" si="10"/>
        <v>130.8766667</v>
      </c>
      <c r="K702" s="19"/>
      <c r="L702" s="19">
        <f t="shared" si="11"/>
        <v>127.4266667</v>
      </c>
      <c r="M702" s="19">
        <f t="shared" si="12"/>
        <v>133.1633333</v>
      </c>
      <c r="N702" s="19">
        <f t="shared" si="13"/>
        <v>126.2633333</v>
      </c>
    </row>
    <row r="703" ht="24.75" customHeight="1">
      <c r="A703" s="21" t="s">
        <v>666</v>
      </c>
      <c r="B703" s="13" t="str">
        <f>IFERROR(__xludf.DUMMYFUNCTION("GOOGLEFINANCE(A703,""PRICE"")"),"#N/A")</f>
        <v>#N/A</v>
      </c>
      <c r="C703" s="14" t="str">
        <f>IFERROR(__xludf.DUMMYFUNCTION("GOOGLEFINANCE(A703,""PRICEOPEN"")"),"#N/A")</f>
        <v>#N/A</v>
      </c>
      <c r="D703" s="14" t="str">
        <f>IFERROR(__xludf.DUMMYFUNCTION("GOOGLEFINANCE(A703,""HIGH"")"),"#N/A")</f>
        <v>#N/A</v>
      </c>
      <c r="E703" s="14" t="str">
        <f>IFERROR(__xludf.DUMMYFUNCTION("GOOGLEFINANCE(A703,""LOW"")"),"#N/A")</f>
        <v>#N/A</v>
      </c>
      <c r="F703" s="15" t="str">
        <f t="shared" si="8"/>
        <v>#N/A</v>
      </c>
      <c r="G703" s="16" t="str">
        <f>IFERROR(__xludf.DUMMYFUNCTION("GOOGLEFINANCE(A703,""CLOSEYEST"")"),"#N/A")</f>
        <v>#N/A</v>
      </c>
      <c r="H703" s="17" t="str">
        <f t="shared" si="14"/>
        <v>#N/A</v>
      </c>
      <c r="I703" s="18" t="str">
        <f t="shared" si="9"/>
        <v>#N/A</v>
      </c>
      <c r="J703" s="19" t="str">
        <f t="shared" si="10"/>
        <v>#N/A</v>
      </c>
      <c r="K703" s="19"/>
      <c r="L703" s="19" t="str">
        <f t="shared" si="11"/>
        <v>#N/A</v>
      </c>
      <c r="M703" s="19" t="str">
        <f t="shared" si="12"/>
        <v>#N/A</v>
      </c>
      <c r="N703" s="19" t="str">
        <f t="shared" si="13"/>
        <v>#N/A</v>
      </c>
    </row>
    <row r="704" ht="24.75" customHeight="1">
      <c r="A704" s="21" t="s">
        <v>667</v>
      </c>
      <c r="B704" s="13">
        <f>IFERROR(__xludf.DUMMYFUNCTION("GOOGLEFINANCE(A704,""PRICE"")"),284.3)</f>
        <v>284.3</v>
      </c>
      <c r="C704" s="14">
        <f>IFERROR(__xludf.DUMMYFUNCTION("GOOGLEFINANCE(A704,""PRICEOPEN"")"),285.75)</f>
        <v>285.75</v>
      </c>
      <c r="D704" s="14">
        <f>IFERROR(__xludf.DUMMYFUNCTION("GOOGLEFINANCE(A704,""HIGH"")"),288.05)</f>
        <v>288.05</v>
      </c>
      <c r="E704" s="14">
        <f>IFERROR(__xludf.DUMMYFUNCTION("GOOGLEFINANCE(A704,""LOW"")"),282.35)</f>
        <v>282.35</v>
      </c>
      <c r="F704" s="15" t="str">
        <f t="shared" si="8"/>
        <v/>
      </c>
      <c r="G704" s="16">
        <f>IFERROR(__xludf.DUMMYFUNCTION("GOOGLEFINANCE(A704,""CLOSEYEST"")"),287.2)</f>
        <v>287.2</v>
      </c>
      <c r="H704" s="17" t="str">
        <f t="shared" si="14"/>
        <v/>
      </c>
      <c r="I704" s="18">
        <f t="shared" si="9"/>
        <v>285.8666667</v>
      </c>
      <c r="J704" s="19">
        <f t="shared" si="10"/>
        <v>289.3833333</v>
      </c>
      <c r="K704" s="19"/>
      <c r="L704" s="19">
        <f t="shared" si="11"/>
        <v>283.6833333</v>
      </c>
      <c r="M704" s="19">
        <f t="shared" si="12"/>
        <v>291.5666667</v>
      </c>
      <c r="N704" s="19">
        <f t="shared" si="13"/>
        <v>280.1666667</v>
      </c>
    </row>
    <row r="705" ht="24.75" customHeight="1">
      <c r="A705" s="21" t="s">
        <v>668</v>
      </c>
      <c r="B705" s="13">
        <f>IFERROR(__xludf.DUMMYFUNCTION("GOOGLEFINANCE(A705,""PRICE"")"),119.27)</f>
        <v>119.27</v>
      </c>
      <c r="C705" s="14">
        <f>IFERROR(__xludf.DUMMYFUNCTION("GOOGLEFINANCE(A705,""PRICEOPEN"")"),119.25)</f>
        <v>119.25</v>
      </c>
      <c r="D705" s="14">
        <f>IFERROR(__xludf.DUMMYFUNCTION("GOOGLEFINANCE(A705,""HIGH"")"),121.97)</f>
        <v>121.97</v>
      </c>
      <c r="E705" s="14">
        <f>IFERROR(__xludf.DUMMYFUNCTION("GOOGLEFINANCE(A705,""LOW"")"),117.55)</f>
        <v>117.55</v>
      </c>
      <c r="F705" s="15" t="str">
        <f t="shared" si="8"/>
        <v/>
      </c>
      <c r="G705" s="16">
        <f>IFERROR(__xludf.DUMMYFUNCTION("GOOGLEFINANCE(A705,""CLOSEYEST"")"),119.9)</f>
        <v>119.9</v>
      </c>
      <c r="H705" s="17" t="str">
        <f t="shared" si="14"/>
        <v/>
      </c>
      <c r="I705" s="18">
        <f t="shared" si="9"/>
        <v>119.8066667</v>
      </c>
      <c r="J705" s="19">
        <f t="shared" si="10"/>
        <v>122.0633333</v>
      </c>
      <c r="K705" s="19"/>
      <c r="L705" s="19">
        <f t="shared" si="11"/>
        <v>117.6433333</v>
      </c>
      <c r="M705" s="19">
        <f t="shared" si="12"/>
        <v>124.2266667</v>
      </c>
      <c r="N705" s="19">
        <f t="shared" si="13"/>
        <v>115.3866667</v>
      </c>
    </row>
    <row r="706" ht="24.75" customHeight="1">
      <c r="A706" s="21" t="s">
        <v>669</v>
      </c>
      <c r="B706" s="13">
        <f>IFERROR(__xludf.DUMMYFUNCTION("GOOGLEFINANCE(A706,""PRICE"")"),72.0)</f>
        <v>72</v>
      </c>
      <c r="C706" s="14">
        <f>IFERROR(__xludf.DUMMYFUNCTION("GOOGLEFINANCE(A706,""PRICEOPEN"")"),69.18)</f>
        <v>69.18</v>
      </c>
      <c r="D706" s="14">
        <f>IFERROR(__xludf.DUMMYFUNCTION("GOOGLEFINANCE(A706,""HIGH"")"),73.77)</f>
        <v>73.77</v>
      </c>
      <c r="E706" s="14">
        <f>IFERROR(__xludf.DUMMYFUNCTION("GOOGLEFINANCE(A706,""LOW"")"),69.0)</f>
        <v>69</v>
      </c>
      <c r="F706" s="15" t="str">
        <f t="shared" si="8"/>
        <v/>
      </c>
      <c r="G706" s="16">
        <f>IFERROR(__xludf.DUMMYFUNCTION("GOOGLEFINANCE(A706,""CLOSEYEST"")"),69.18)</f>
        <v>69.18</v>
      </c>
      <c r="H706" s="17" t="str">
        <f t="shared" si="14"/>
        <v/>
      </c>
      <c r="I706" s="18">
        <f t="shared" si="9"/>
        <v>70.65</v>
      </c>
      <c r="J706" s="19">
        <f t="shared" si="10"/>
        <v>72.3</v>
      </c>
      <c r="K706" s="19"/>
      <c r="L706" s="19">
        <f t="shared" si="11"/>
        <v>67.53</v>
      </c>
      <c r="M706" s="19">
        <f t="shared" si="12"/>
        <v>75.42</v>
      </c>
      <c r="N706" s="19">
        <f t="shared" si="13"/>
        <v>65.88</v>
      </c>
    </row>
    <row r="707" ht="24.75" customHeight="1">
      <c r="A707" s="21" t="s">
        <v>670</v>
      </c>
      <c r="B707" s="13">
        <f>IFERROR(__xludf.DUMMYFUNCTION("GOOGLEFINANCE(A707,""PRICE"")"),166.9)</f>
        <v>166.9</v>
      </c>
      <c r="C707" s="14">
        <f>IFERROR(__xludf.DUMMYFUNCTION("GOOGLEFINANCE(A707,""PRICEOPEN"")"),167.3)</f>
        <v>167.3</v>
      </c>
      <c r="D707" s="14">
        <f>IFERROR(__xludf.DUMMYFUNCTION("GOOGLEFINANCE(A707,""HIGH"")"),168.34)</f>
        <v>168.34</v>
      </c>
      <c r="E707" s="14">
        <f>IFERROR(__xludf.DUMMYFUNCTION("GOOGLEFINANCE(A707,""LOW"")"),165.45)</f>
        <v>165.45</v>
      </c>
      <c r="F707" s="15" t="str">
        <f t="shared" si="8"/>
        <v/>
      </c>
      <c r="G707" s="16">
        <f>IFERROR(__xludf.DUMMYFUNCTION("GOOGLEFINANCE(A707,""CLOSEYEST"")"),166.67)</f>
        <v>166.67</v>
      </c>
      <c r="H707" s="17" t="str">
        <f t="shared" si="14"/>
        <v/>
      </c>
      <c r="I707" s="18">
        <f t="shared" si="9"/>
        <v>166.82</v>
      </c>
      <c r="J707" s="19">
        <f t="shared" si="10"/>
        <v>168.19</v>
      </c>
      <c r="K707" s="19"/>
      <c r="L707" s="19">
        <f t="shared" si="11"/>
        <v>165.3</v>
      </c>
      <c r="M707" s="19">
        <f t="shared" si="12"/>
        <v>169.71</v>
      </c>
      <c r="N707" s="19">
        <f t="shared" si="13"/>
        <v>163.93</v>
      </c>
    </row>
    <row r="708" ht="24.75" customHeight="1">
      <c r="A708" s="21" t="s">
        <v>671</v>
      </c>
      <c r="B708" s="13">
        <f>IFERROR(__xludf.DUMMYFUNCTION("GOOGLEFINANCE(A708,""PRICE"")"),682.0)</f>
        <v>682</v>
      </c>
      <c r="C708" s="14">
        <f>IFERROR(__xludf.DUMMYFUNCTION("GOOGLEFINANCE(A708,""PRICEOPEN"")"),680.0)</f>
        <v>680</v>
      </c>
      <c r="D708" s="14">
        <f>IFERROR(__xludf.DUMMYFUNCTION("GOOGLEFINANCE(A708,""HIGH"")"),684.0)</f>
        <v>684</v>
      </c>
      <c r="E708" s="14">
        <f>IFERROR(__xludf.DUMMYFUNCTION("GOOGLEFINANCE(A708,""LOW"")"),667.0)</f>
        <v>667</v>
      </c>
      <c r="F708" s="15" t="str">
        <f t="shared" si="8"/>
        <v/>
      </c>
      <c r="G708" s="16">
        <f>IFERROR(__xludf.DUMMYFUNCTION("GOOGLEFINANCE(A708,""CLOSEYEST"")"),674.8)</f>
        <v>674.8</v>
      </c>
      <c r="H708" s="17" t="str">
        <f t="shared" si="14"/>
        <v/>
      </c>
      <c r="I708" s="18">
        <f t="shared" si="9"/>
        <v>675.2666667</v>
      </c>
      <c r="J708" s="19">
        <f t="shared" si="10"/>
        <v>683.5333333</v>
      </c>
      <c r="K708" s="19"/>
      <c r="L708" s="19">
        <f t="shared" si="11"/>
        <v>666.5333333</v>
      </c>
      <c r="M708" s="19">
        <f t="shared" si="12"/>
        <v>692.2666667</v>
      </c>
      <c r="N708" s="19">
        <f t="shared" si="13"/>
        <v>658.2666667</v>
      </c>
    </row>
    <row r="709" ht="24.75" customHeight="1">
      <c r="A709" s="21" t="s">
        <v>672</v>
      </c>
      <c r="B709" s="13">
        <f>IFERROR(__xludf.DUMMYFUNCTION("GOOGLEFINANCE(A709,""PRICE"")"),1085.0)</f>
        <v>1085</v>
      </c>
      <c r="C709" s="14">
        <f>IFERROR(__xludf.DUMMYFUNCTION("GOOGLEFINANCE(A709,""PRICEOPEN"")"),1057.5)</f>
        <v>1057.5</v>
      </c>
      <c r="D709" s="14">
        <f>IFERROR(__xludf.DUMMYFUNCTION("GOOGLEFINANCE(A709,""HIGH"")"),1090.6)</f>
        <v>1090.6</v>
      </c>
      <c r="E709" s="14">
        <f>IFERROR(__xludf.DUMMYFUNCTION("GOOGLEFINANCE(A709,""LOW"")"),1056.4)</f>
        <v>1056.4</v>
      </c>
      <c r="F709" s="15" t="str">
        <f t="shared" si="8"/>
        <v/>
      </c>
      <c r="G709" s="16">
        <f>IFERROR(__xludf.DUMMYFUNCTION("GOOGLEFINANCE(A709,""CLOSEYEST"")"),1057.5)</f>
        <v>1057.5</v>
      </c>
      <c r="H709" s="17" t="str">
        <f t="shared" si="14"/>
        <v/>
      </c>
      <c r="I709" s="18">
        <f t="shared" si="9"/>
        <v>1068.166667</v>
      </c>
      <c r="J709" s="19">
        <f t="shared" si="10"/>
        <v>1079.933333</v>
      </c>
      <c r="K709" s="19"/>
      <c r="L709" s="19">
        <f t="shared" si="11"/>
        <v>1045.733333</v>
      </c>
      <c r="M709" s="19">
        <f t="shared" si="12"/>
        <v>1102.366667</v>
      </c>
      <c r="N709" s="19">
        <f t="shared" si="13"/>
        <v>1033.966667</v>
      </c>
    </row>
    <row r="710" ht="24.75" customHeight="1">
      <c r="A710" s="21" t="s">
        <v>673</v>
      </c>
      <c r="B710" s="13" t="str">
        <f>IFERROR(__xludf.DUMMYFUNCTION("GOOGLEFINANCE(A710,""PRICE"")"),"#N/A")</f>
        <v>#N/A</v>
      </c>
      <c r="C710" s="14" t="str">
        <f>IFERROR(__xludf.DUMMYFUNCTION("GOOGLEFINANCE(A710,""PRICEOPEN"")"),"#N/A")</f>
        <v>#N/A</v>
      </c>
      <c r="D710" s="14" t="str">
        <f>IFERROR(__xludf.DUMMYFUNCTION("GOOGLEFINANCE(A710,""HIGH"")"),"#N/A")</f>
        <v>#N/A</v>
      </c>
      <c r="E710" s="14" t="str">
        <f>IFERROR(__xludf.DUMMYFUNCTION("GOOGLEFINANCE(A710,""LOW"")"),"#N/A")</f>
        <v>#N/A</v>
      </c>
      <c r="F710" s="15" t="str">
        <f t="shared" si="8"/>
        <v>#N/A</v>
      </c>
      <c r="G710" s="16" t="str">
        <f>IFERROR(__xludf.DUMMYFUNCTION("GOOGLEFINANCE(A710,""CLOSEYEST"")"),"#N/A")</f>
        <v>#N/A</v>
      </c>
      <c r="H710" s="17" t="str">
        <f t="shared" si="14"/>
        <v>#N/A</v>
      </c>
      <c r="I710" s="18" t="str">
        <f t="shared" si="9"/>
        <v>#N/A</v>
      </c>
      <c r="J710" s="19" t="str">
        <f t="shared" si="10"/>
        <v>#N/A</v>
      </c>
      <c r="K710" s="19"/>
      <c r="L710" s="19" t="str">
        <f t="shared" si="11"/>
        <v>#N/A</v>
      </c>
      <c r="M710" s="19" t="str">
        <f t="shared" si="12"/>
        <v>#N/A</v>
      </c>
      <c r="N710" s="19" t="str">
        <f t="shared" si="13"/>
        <v>#N/A</v>
      </c>
    </row>
    <row r="711" ht="24.75" customHeight="1">
      <c r="A711" s="21" t="s">
        <v>674</v>
      </c>
      <c r="B711" s="13">
        <f>IFERROR(__xludf.DUMMYFUNCTION("GOOGLEFINANCE(A711,""PRICE"")"),229.38)</f>
        <v>229.38</v>
      </c>
      <c r="C711" s="14">
        <f>IFERROR(__xludf.DUMMYFUNCTION("GOOGLEFINANCE(A711,""PRICEOPEN"")"),230.77)</f>
        <v>230.77</v>
      </c>
      <c r="D711" s="14">
        <f>IFERROR(__xludf.DUMMYFUNCTION("GOOGLEFINANCE(A711,""HIGH"")"),230.77)</f>
        <v>230.77</v>
      </c>
      <c r="E711" s="14">
        <f>IFERROR(__xludf.DUMMYFUNCTION("GOOGLEFINANCE(A711,""LOW"")"),227.12)</f>
        <v>227.12</v>
      </c>
      <c r="F711" s="15" t="str">
        <f t="shared" si="8"/>
        <v>SELL</v>
      </c>
      <c r="G711" s="16">
        <f>IFERROR(__xludf.DUMMYFUNCTION("GOOGLEFINANCE(A711,""CLOSEYEST"")"),228.94)</f>
        <v>228.94</v>
      </c>
      <c r="H711" s="17" t="str">
        <f t="shared" si="14"/>
        <v/>
      </c>
      <c r="I711" s="18">
        <f t="shared" si="9"/>
        <v>228.9433333</v>
      </c>
      <c r="J711" s="19">
        <f t="shared" si="10"/>
        <v>230.7666667</v>
      </c>
      <c r="K711" s="19"/>
      <c r="L711" s="19">
        <f t="shared" si="11"/>
        <v>227.1166667</v>
      </c>
      <c r="M711" s="19">
        <f t="shared" si="12"/>
        <v>232.5933333</v>
      </c>
      <c r="N711" s="19">
        <f t="shared" si="13"/>
        <v>225.2933333</v>
      </c>
    </row>
    <row r="712" ht="24.75" customHeight="1">
      <c r="A712" s="21" t="s">
        <v>675</v>
      </c>
      <c r="B712" s="13" t="str">
        <f>IFERROR(__xludf.DUMMYFUNCTION("GOOGLEFINANCE(A712,""PRICE"")"),"#N/A")</f>
        <v>#N/A</v>
      </c>
      <c r="C712" s="14" t="str">
        <f>IFERROR(__xludf.DUMMYFUNCTION("GOOGLEFINANCE(A712,""PRICEOPEN"")"),"#N/A")</f>
        <v>#N/A</v>
      </c>
      <c r="D712" s="14" t="str">
        <f>IFERROR(__xludf.DUMMYFUNCTION("GOOGLEFINANCE(A712,""HIGH"")"),"#N/A")</f>
        <v>#N/A</v>
      </c>
      <c r="E712" s="14" t="str">
        <f>IFERROR(__xludf.DUMMYFUNCTION("GOOGLEFINANCE(A712,""LOW"")"),"#N/A")</f>
        <v>#N/A</v>
      </c>
      <c r="F712" s="15" t="str">
        <f t="shared" si="8"/>
        <v>#N/A</v>
      </c>
      <c r="G712" s="16" t="str">
        <f>IFERROR(__xludf.DUMMYFUNCTION("GOOGLEFINANCE(A712,""CLOSEYEST"")"),"#N/A")</f>
        <v>#N/A</v>
      </c>
      <c r="H712" s="17" t="str">
        <f t="shared" si="14"/>
        <v>#N/A</v>
      </c>
      <c r="I712" s="18" t="str">
        <f t="shared" si="9"/>
        <v>#N/A</v>
      </c>
      <c r="J712" s="19" t="str">
        <f t="shared" si="10"/>
        <v>#N/A</v>
      </c>
      <c r="K712" s="19"/>
      <c r="L712" s="19" t="str">
        <f t="shared" si="11"/>
        <v>#N/A</v>
      </c>
      <c r="M712" s="19" t="str">
        <f t="shared" si="12"/>
        <v>#N/A</v>
      </c>
      <c r="N712" s="19" t="str">
        <f t="shared" si="13"/>
        <v>#N/A</v>
      </c>
    </row>
    <row r="713" ht="24.75" customHeight="1">
      <c r="A713" s="21" t="s">
        <v>676</v>
      </c>
      <c r="B713" s="13">
        <f>IFERROR(__xludf.DUMMYFUNCTION("GOOGLEFINANCE(A713,""PRICE"")"),249.4)</f>
        <v>249.4</v>
      </c>
      <c r="C713" s="14">
        <f>IFERROR(__xludf.DUMMYFUNCTION("GOOGLEFINANCE(A713,""PRICEOPEN"")"),245.0)</f>
        <v>245</v>
      </c>
      <c r="D713" s="14">
        <f>IFERROR(__xludf.DUMMYFUNCTION("GOOGLEFINANCE(A713,""HIGH"")"),255.79)</f>
        <v>255.79</v>
      </c>
      <c r="E713" s="14">
        <f>IFERROR(__xludf.DUMMYFUNCTION("GOOGLEFINANCE(A713,""LOW"")"),243.0)</f>
        <v>243</v>
      </c>
      <c r="F713" s="15" t="str">
        <f t="shared" si="8"/>
        <v/>
      </c>
      <c r="G713" s="16">
        <f>IFERROR(__xludf.DUMMYFUNCTION("GOOGLEFINANCE(A713,""CLOSEYEST"")"),243.61)</f>
        <v>243.61</v>
      </c>
      <c r="H713" s="17" t="str">
        <f t="shared" si="14"/>
        <v/>
      </c>
      <c r="I713" s="18">
        <f t="shared" si="9"/>
        <v>247.4666667</v>
      </c>
      <c r="J713" s="19">
        <f t="shared" si="10"/>
        <v>251.9333333</v>
      </c>
      <c r="K713" s="19"/>
      <c r="L713" s="19">
        <f t="shared" si="11"/>
        <v>239.1433333</v>
      </c>
      <c r="M713" s="19">
        <f t="shared" si="12"/>
        <v>260.2566667</v>
      </c>
      <c r="N713" s="19">
        <f t="shared" si="13"/>
        <v>234.6766667</v>
      </c>
    </row>
    <row r="714" ht="24.75" customHeight="1">
      <c r="A714" s="21" t="s">
        <v>677</v>
      </c>
      <c r="B714" s="13">
        <f>IFERROR(__xludf.DUMMYFUNCTION("GOOGLEFINANCE(A714,""PRICE"")"),524.65)</f>
        <v>524.65</v>
      </c>
      <c r="C714" s="14">
        <f>IFERROR(__xludf.DUMMYFUNCTION("GOOGLEFINANCE(A714,""PRICEOPEN"")"),493.3)</f>
        <v>493.3</v>
      </c>
      <c r="D714" s="14">
        <f>IFERROR(__xludf.DUMMYFUNCTION("GOOGLEFINANCE(A714,""HIGH"")"),528.0)</f>
        <v>528</v>
      </c>
      <c r="E714" s="14">
        <f>IFERROR(__xludf.DUMMYFUNCTION("GOOGLEFINANCE(A714,""LOW"")"),489.5)</f>
        <v>489.5</v>
      </c>
      <c r="F714" s="15" t="str">
        <f t="shared" si="8"/>
        <v/>
      </c>
      <c r="G714" s="16">
        <f>IFERROR(__xludf.DUMMYFUNCTION("GOOGLEFINANCE(A714,""CLOSEYEST"")"),492.3)</f>
        <v>492.3</v>
      </c>
      <c r="H714" s="17" t="str">
        <f t="shared" si="14"/>
        <v/>
      </c>
      <c r="I714" s="18">
        <f t="shared" si="9"/>
        <v>503.2666667</v>
      </c>
      <c r="J714" s="19">
        <f t="shared" si="10"/>
        <v>517.0333333</v>
      </c>
      <c r="K714" s="19"/>
      <c r="L714" s="19">
        <f t="shared" si="11"/>
        <v>478.5333333</v>
      </c>
      <c r="M714" s="19">
        <f t="shared" si="12"/>
        <v>541.7666667</v>
      </c>
      <c r="N714" s="19">
        <f t="shared" si="13"/>
        <v>464.7666667</v>
      </c>
    </row>
    <row r="715" ht="24.75" customHeight="1">
      <c r="A715" s="21" t="s">
        <v>678</v>
      </c>
      <c r="B715" s="13">
        <f>IFERROR(__xludf.DUMMYFUNCTION("GOOGLEFINANCE(A715,""PRICE"")"),433.05)</f>
        <v>433.05</v>
      </c>
      <c r="C715" s="14">
        <f>IFERROR(__xludf.DUMMYFUNCTION("GOOGLEFINANCE(A715,""PRICEOPEN"")"),431.5)</f>
        <v>431.5</v>
      </c>
      <c r="D715" s="14">
        <f>IFERROR(__xludf.DUMMYFUNCTION("GOOGLEFINANCE(A715,""HIGH"")"),436.0)</f>
        <v>436</v>
      </c>
      <c r="E715" s="14">
        <f>IFERROR(__xludf.DUMMYFUNCTION("GOOGLEFINANCE(A715,""LOW"")"),428.0)</f>
        <v>428</v>
      </c>
      <c r="F715" s="15" t="str">
        <f t="shared" si="8"/>
        <v/>
      </c>
      <c r="G715" s="16">
        <f>IFERROR(__xludf.DUMMYFUNCTION("GOOGLEFINANCE(A715,""CLOSEYEST"")"),430.7)</f>
        <v>430.7</v>
      </c>
      <c r="H715" s="17" t="str">
        <f t="shared" si="14"/>
        <v/>
      </c>
      <c r="I715" s="18">
        <f t="shared" si="9"/>
        <v>431.5666667</v>
      </c>
      <c r="J715" s="19">
        <f t="shared" si="10"/>
        <v>435.1333333</v>
      </c>
      <c r="K715" s="19"/>
      <c r="L715" s="19">
        <f t="shared" si="11"/>
        <v>427.1333333</v>
      </c>
      <c r="M715" s="19">
        <f t="shared" si="12"/>
        <v>439.5666667</v>
      </c>
      <c r="N715" s="19">
        <f t="shared" si="13"/>
        <v>423.5666667</v>
      </c>
    </row>
    <row r="716" ht="24.75" customHeight="1">
      <c r="A716" s="21" t="s">
        <v>679</v>
      </c>
      <c r="B716" s="13">
        <f>IFERROR(__xludf.DUMMYFUNCTION("GOOGLEFINANCE(A716,""PRICE"")"),262.0)</f>
        <v>262</v>
      </c>
      <c r="C716" s="14">
        <f>IFERROR(__xludf.DUMMYFUNCTION("GOOGLEFINANCE(A716,""PRICEOPEN"")"),252.0)</f>
        <v>252</v>
      </c>
      <c r="D716" s="14">
        <f>IFERROR(__xludf.DUMMYFUNCTION("GOOGLEFINANCE(A716,""HIGH"")"),269.0)</f>
        <v>269</v>
      </c>
      <c r="E716" s="14">
        <f>IFERROR(__xludf.DUMMYFUNCTION("GOOGLEFINANCE(A716,""LOW"")"),252.0)</f>
        <v>252</v>
      </c>
      <c r="F716" s="15" t="str">
        <f t="shared" si="8"/>
        <v>BUY</v>
      </c>
      <c r="G716" s="16">
        <f>IFERROR(__xludf.DUMMYFUNCTION("GOOGLEFINANCE(A716,""CLOSEYEST"")"),253.65)</f>
        <v>253.65</v>
      </c>
      <c r="H716" s="17" t="str">
        <f t="shared" si="14"/>
        <v/>
      </c>
      <c r="I716" s="18">
        <f t="shared" si="9"/>
        <v>258.2166667</v>
      </c>
      <c r="J716" s="19">
        <f t="shared" si="10"/>
        <v>264.4333333</v>
      </c>
      <c r="K716" s="19"/>
      <c r="L716" s="19">
        <f t="shared" si="11"/>
        <v>247.4333333</v>
      </c>
      <c r="M716" s="19">
        <f t="shared" si="12"/>
        <v>275.2166667</v>
      </c>
      <c r="N716" s="19">
        <f t="shared" si="13"/>
        <v>241.2166667</v>
      </c>
    </row>
    <row r="717" ht="24.75" customHeight="1">
      <c r="A717" s="21" t="s">
        <v>680</v>
      </c>
      <c r="B717" s="13">
        <f>IFERROR(__xludf.DUMMYFUNCTION("GOOGLEFINANCE(A717,""PRICE"")"),1.52)</f>
        <v>1.52</v>
      </c>
      <c r="C717" s="14">
        <f>IFERROR(__xludf.DUMMYFUNCTION("GOOGLEFINANCE(A717,""PRICEOPEN"")"),1.51)</f>
        <v>1.51</v>
      </c>
      <c r="D717" s="14">
        <f>IFERROR(__xludf.DUMMYFUNCTION("GOOGLEFINANCE(A717,""HIGH"")"),1.53)</f>
        <v>1.53</v>
      </c>
      <c r="E717" s="14">
        <f>IFERROR(__xludf.DUMMYFUNCTION("GOOGLEFINANCE(A717,""LOW"")"),1.5)</f>
        <v>1.5</v>
      </c>
      <c r="F717" s="15" t="str">
        <f t="shared" si="8"/>
        <v/>
      </c>
      <c r="G717" s="16">
        <f>IFERROR(__xludf.DUMMYFUNCTION("GOOGLEFINANCE(A717,""CLOSEYEST"")"),1.51)</f>
        <v>1.51</v>
      </c>
      <c r="H717" s="17" t="str">
        <f t="shared" si="14"/>
        <v/>
      </c>
      <c r="I717" s="18">
        <f t="shared" si="9"/>
        <v>1.513333333</v>
      </c>
      <c r="J717" s="19">
        <f t="shared" si="10"/>
        <v>1.526666667</v>
      </c>
      <c r="K717" s="19"/>
      <c r="L717" s="19">
        <f t="shared" si="11"/>
        <v>1.496666667</v>
      </c>
      <c r="M717" s="19">
        <f t="shared" si="12"/>
        <v>1.543333333</v>
      </c>
      <c r="N717" s="19">
        <f t="shared" si="13"/>
        <v>1.483333333</v>
      </c>
    </row>
    <row r="718" ht="24.75" customHeight="1">
      <c r="A718" s="21" t="s">
        <v>681</v>
      </c>
      <c r="B718" s="13">
        <f>IFERROR(__xludf.DUMMYFUNCTION("GOOGLEFINANCE(A718,""PRICE"")"),355.65)</f>
        <v>355.65</v>
      </c>
      <c r="C718" s="14">
        <f>IFERROR(__xludf.DUMMYFUNCTION("GOOGLEFINANCE(A718,""PRICEOPEN"")"),351.0)</f>
        <v>351</v>
      </c>
      <c r="D718" s="14">
        <f>IFERROR(__xludf.DUMMYFUNCTION("GOOGLEFINANCE(A718,""HIGH"")"),361.0)</f>
        <v>361</v>
      </c>
      <c r="E718" s="14">
        <f>IFERROR(__xludf.DUMMYFUNCTION("GOOGLEFINANCE(A718,""LOW"")"),350.55)</f>
        <v>350.55</v>
      </c>
      <c r="F718" s="15" t="str">
        <f t="shared" si="8"/>
        <v/>
      </c>
      <c r="G718" s="16">
        <f>IFERROR(__xludf.DUMMYFUNCTION("GOOGLEFINANCE(A718,""CLOSEYEST"")"),351.15)</f>
        <v>351.15</v>
      </c>
      <c r="H718" s="17" t="str">
        <f t="shared" si="14"/>
        <v/>
      </c>
      <c r="I718" s="18">
        <f t="shared" si="9"/>
        <v>354.2333333</v>
      </c>
      <c r="J718" s="19">
        <f t="shared" si="10"/>
        <v>357.9166667</v>
      </c>
      <c r="K718" s="19"/>
      <c r="L718" s="19">
        <f t="shared" si="11"/>
        <v>347.4666667</v>
      </c>
      <c r="M718" s="19">
        <f t="shared" si="12"/>
        <v>364.6833333</v>
      </c>
      <c r="N718" s="19">
        <f t="shared" si="13"/>
        <v>343.7833333</v>
      </c>
    </row>
    <row r="719" ht="24.75" customHeight="1">
      <c r="A719" s="21" t="s">
        <v>682</v>
      </c>
      <c r="B719" s="13">
        <f>IFERROR(__xludf.DUMMYFUNCTION("GOOGLEFINANCE(A719,""PRICE"")"),49.4)</f>
        <v>49.4</v>
      </c>
      <c r="C719" s="14">
        <f>IFERROR(__xludf.DUMMYFUNCTION("GOOGLEFINANCE(A719,""PRICEOPEN"")"),49.0)</f>
        <v>49</v>
      </c>
      <c r="D719" s="14">
        <f>IFERROR(__xludf.DUMMYFUNCTION("GOOGLEFINANCE(A719,""HIGH"")"),49.43)</f>
        <v>49.43</v>
      </c>
      <c r="E719" s="14">
        <f>IFERROR(__xludf.DUMMYFUNCTION("GOOGLEFINANCE(A719,""LOW"")"),48.22)</f>
        <v>48.22</v>
      </c>
      <c r="F719" s="15" t="str">
        <f t="shared" si="8"/>
        <v/>
      </c>
      <c r="G719" s="16">
        <f>IFERROR(__xludf.DUMMYFUNCTION("GOOGLEFINANCE(A719,""CLOSEYEST"")"),48.81)</f>
        <v>48.81</v>
      </c>
      <c r="H719" s="17" t="str">
        <f t="shared" si="14"/>
        <v/>
      </c>
      <c r="I719" s="18">
        <f t="shared" si="9"/>
        <v>48.82</v>
      </c>
      <c r="J719" s="19">
        <f t="shared" si="10"/>
        <v>49.42</v>
      </c>
      <c r="K719" s="19"/>
      <c r="L719" s="19">
        <f t="shared" si="11"/>
        <v>48.21</v>
      </c>
      <c r="M719" s="19">
        <f t="shared" si="12"/>
        <v>50.03</v>
      </c>
      <c r="N719" s="19">
        <f t="shared" si="13"/>
        <v>47.61</v>
      </c>
    </row>
    <row r="720" ht="24.75" customHeight="1">
      <c r="A720" s="21" t="s">
        <v>683</v>
      </c>
      <c r="B720" s="13">
        <f>IFERROR(__xludf.DUMMYFUNCTION("GOOGLEFINANCE(A720,""PRICE"")"),783.0)</f>
        <v>783</v>
      </c>
      <c r="C720" s="14">
        <f>IFERROR(__xludf.DUMMYFUNCTION("GOOGLEFINANCE(A720,""PRICEOPEN"")"),779.75)</f>
        <v>779.75</v>
      </c>
      <c r="D720" s="14">
        <f>IFERROR(__xludf.DUMMYFUNCTION("GOOGLEFINANCE(A720,""HIGH"")"),783.0)</f>
        <v>783</v>
      </c>
      <c r="E720" s="14">
        <f>IFERROR(__xludf.DUMMYFUNCTION("GOOGLEFINANCE(A720,""LOW"")"),771.8)</f>
        <v>771.8</v>
      </c>
      <c r="F720" s="15" t="str">
        <f t="shared" si="8"/>
        <v/>
      </c>
      <c r="G720" s="16">
        <f>IFERROR(__xludf.DUMMYFUNCTION("GOOGLEFINANCE(A720,""CLOSEYEST"")"),779.75)</f>
        <v>779.75</v>
      </c>
      <c r="H720" s="17" t="str">
        <f t="shared" si="14"/>
        <v/>
      </c>
      <c r="I720" s="18">
        <f t="shared" si="9"/>
        <v>778.1833333</v>
      </c>
      <c r="J720" s="19">
        <f t="shared" si="10"/>
        <v>784.5666667</v>
      </c>
      <c r="K720" s="19"/>
      <c r="L720" s="19">
        <f t="shared" si="11"/>
        <v>773.3666667</v>
      </c>
      <c r="M720" s="19">
        <f t="shared" si="12"/>
        <v>789.3833333</v>
      </c>
      <c r="N720" s="19">
        <f t="shared" si="13"/>
        <v>766.9833333</v>
      </c>
    </row>
    <row r="721" ht="24.75" customHeight="1">
      <c r="A721" s="21" t="s">
        <v>684</v>
      </c>
      <c r="B721" s="13" t="str">
        <f>IFERROR(__xludf.DUMMYFUNCTION("GOOGLEFINANCE(A721,""PRICE"")"),"#N/A")</f>
        <v>#N/A</v>
      </c>
      <c r="C721" s="14" t="str">
        <f>IFERROR(__xludf.DUMMYFUNCTION("GOOGLEFINANCE(A721,""PRICEOPEN"")"),"#N/A")</f>
        <v>#N/A</v>
      </c>
      <c r="D721" s="14" t="str">
        <f>IFERROR(__xludf.DUMMYFUNCTION("GOOGLEFINANCE(A721,""HIGH"")"),"#N/A")</f>
        <v>#N/A</v>
      </c>
      <c r="E721" s="14" t="str">
        <f>IFERROR(__xludf.DUMMYFUNCTION("GOOGLEFINANCE(A721,""LOW"")"),"#N/A")</f>
        <v>#N/A</v>
      </c>
      <c r="F721" s="15" t="str">
        <f t="shared" si="8"/>
        <v>#N/A</v>
      </c>
      <c r="G721" s="16" t="str">
        <f>IFERROR(__xludf.DUMMYFUNCTION("GOOGLEFINANCE(A721,""CLOSEYEST"")"),"#N/A")</f>
        <v>#N/A</v>
      </c>
      <c r="H721" s="17" t="str">
        <f t="shared" si="14"/>
        <v>#N/A</v>
      </c>
      <c r="I721" s="18" t="str">
        <f t="shared" si="9"/>
        <v>#N/A</v>
      </c>
      <c r="J721" s="19" t="str">
        <f t="shared" si="10"/>
        <v>#N/A</v>
      </c>
      <c r="K721" s="19"/>
      <c r="L721" s="19" t="str">
        <f t="shared" si="11"/>
        <v>#N/A</v>
      </c>
      <c r="M721" s="19" t="str">
        <f t="shared" si="12"/>
        <v>#N/A</v>
      </c>
      <c r="N721" s="19" t="str">
        <f t="shared" si="13"/>
        <v>#N/A</v>
      </c>
    </row>
    <row r="722" ht="24.75" customHeight="1">
      <c r="A722" s="21" t="s">
        <v>685</v>
      </c>
      <c r="B722" s="13" t="str">
        <f>IFERROR(__xludf.DUMMYFUNCTION("GOOGLEFINANCE(A722,""PRICE"")"),"#N/A")</f>
        <v>#N/A</v>
      </c>
      <c r="C722" s="14" t="str">
        <f>IFERROR(__xludf.DUMMYFUNCTION("GOOGLEFINANCE(A722,""PRICEOPEN"")"),"#N/A")</f>
        <v>#N/A</v>
      </c>
      <c r="D722" s="14" t="str">
        <f>IFERROR(__xludf.DUMMYFUNCTION("GOOGLEFINANCE(A722,""HIGH"")"),"#N/A")</f>
        <v>#N/A</v>
      </c>
      <c r="E722" s="14" t="str">
        <f>IFERROR(__xludf.DUMMYFUNCTION("GOOGLEFINANCE(A722,""LOW"")"),"#N/A")</f>
        <v>#N/A</v>
      </c>
      <c r="F722" s="15" t="str">
        <f t="shared" si="8"/>
        <v>#N/A</v>
      </c>
      <c r="G722" s="16" t="str">
        <f>IFERROR(__xludf.DUMMYFUNCTION("GOOGLEFINANCE(A722,""CLOSEYEST"")"),"#N/A")</f>
        <v>#N/A</v>
      </c>
      <c r="H722" s="17" t="str">
        <f t="shared" si="14"/>
        <v>#N/A</v>
      </c>
      <c r="I722" s="18" t="str">
        <f t="shared" si="9"/>
        <v>#N/A</v>
      </c>
      <c r="J722" s="19" t="str">
        <f t="shared" si="10"/>
        <v>#N/A</v>
      </c>
      <c r="K722" s="19"/>
      <c r="L722" s="19" t="str">
        <f t="shared" si="11"/>
        <v>#N/A</v>
      </c>
      <c r="M722" s="19" t="str">
        <f t="shared" si="12"/>
        <v>#N/A</v>
      </c>
      <c r="N722" s="19" t="str">
        <f t="shared" si="13"/>
        <v>#N/A</v>
      </c>
    </row>
    <row r="723" ht="24.75" customHeight="1">
      <c r="A723" s="21" t="s">
        <v>686</v>
      </c>
      <c r="B723" s="13">
        <f>IFERROR(__xludf.DUMMYFUNCTION("GOOGLEFINANCE(A723,""PRICE"")"),33.91)</f>
        <v>33.91</v>
      </c>
      <c r="C723" s="14">
        <f>IFERROR(__xludf.DUMMYFUNCTION("GOOGLEFINANCE(A723,""PRICEOPEN"")"),33.52)</f>
        <v>33.52</v>
      </c>
      <c r="D723" s="14">
        <f>IFERROR(__xludf.DUMMYFUNCTION("GOOGLEFINANCE(A723,""HIGH"")"),34.23)</f>
        <v>34.23</v>
      </c>
      <c r="E723" s="14">
        <f>IFERROR(__xludf.DUMMYFUNCTION("GOOGLEFINANCE(A723,""LOW"")"),32.61)</f>
        <v>32.61</v>
      </c>
      <c r="F723" s="15" t="str">
        <f t="shared" si="8"/>
        <v/>
      </c>
      <c r="G723" s="16">
        <f>IFERROR(__xludf.DUMMYFUNCTION("GOOGLEFINANCE(A723,""CLOSEYEST"")"),33.52)</f>
        <v>33.52</v>
      </c>
      <c r="H723" s="17" t="str">
        <f t="shared" si="14"/>
        <v/>
      </c>
      <c r="I723" s="18">
        <f t="shared" si="9"/>
        <v>33.45333333</v>
      </c>
      <c r="J723" s="19">
        <f t="shared" si="10"/>
        <v>34.29666667</v>
      </c>
      <c r="K723" s="19"/>
      <c r="L723" s="19">
        <f t="shared" si="11"/>
        <v>32.67666667</v>
      </c>
      <c r="M723" s="19">
        <f t="shared" si="12"/>
        <v>35.07333333</v>
      </c>
      <c r="N723" s="19">
        <f t="shared" si="13"/>
        <v>31.83333333</v>
      </c>
    </row>
    <row r="724" ht="24.75" customHeight="1">
      <c r="A724" s="21" t="s">
        <v>687</v>
      </c>
      <c r="B724" s="13">
        <f>IFERROR(__xludf.DUMMYFUNCTION("GOOGLEFINANCE(A724,""PRICE"")"),149.9)</f>
        <v>149.9</v>
      </c>
      <c r="C724" s="14">
        <f>IFERROR(__xludf.DUMMYFUNCTION("GOOGLEFINANCE(A724,""PRICEOPEN"")"),148.07)</f>
        <v>148.07</v>
      </c>
      <c r="D724" s="14">
        <f>IFERROR(__xludf.DUMMYFUNCTION("GOOGLEFINANCE(A724,""HIGH"")"),149.9)</f>
        <v>149.9</v>
      </c>
      <c r="E724" s="14">
        <f>IFERROR(__xludf.DUMMYFUNCTION("GOOGLEFINANCE(A724,""LOW"")"),148.0)</f>
        <v>148</v>
      </c>
      <c r="F724" s="15" t="str">
        <f t="shared" si="8"/>
        <v/>
      </c>
      <c r="G724" s="16">
        <f>IFERROR(__xludf.DUMMYFUNCTION("GOOGLEFINANCE(A724,""CLOSEYEST"")"),149.39)</f>
        <v>149.39</v>
      </c>
      <c r="H724" s="17" t="str">
        <f t="shared" si="14"/>
        <v/>
      </c>
      <c r="I724" s="18">
        <f t="shared" si="9"/>
        <v>149.0966667</v>
      </c>
      <c r="J724" s="19">
        <f t="shared" si="10"/>
        <v>150.1933333</v>
      </c>
      <c r="K724" s="19"/>
      <c r="L724" s="19">
        <f t="shared" si="11"/>
        <v>148.2933333</v>
      </c>
      <c r="M724" s="19">
        <f t="shared" si="12"/>
        <v>150.9966667</v>
      </c>
      <c r="N724" s="19">
        <f t="shared" si="13"/>
        <v>147.1966667</v>
      </c>
    </row>
    <row r="725" ht="24.75" customHeight="1">
      <c r="A725" s="21" t="s">
        <v>688</v>
      </c>
      <c r="B725" s="13">
        <f>IFERROR(__xludf.DUMMYFUNCTION("GOOGLEFINANCE(A725,""PRICE"")"),751.0)</f>
        <v>751</v>
      </c>
      <c r="C725" s="14">
        <f>IFERROR(__xludf.DUMMYFUNCTION("GOOGLEFINANCE(A725,""PRICEOPEN"")"),754.2)</f>
        <v>754.2</v>
      </c>
      <c r="D725" s="14">
        <f>IFERROR(__xludf.DUMMYFUNCTION("GOOGLEFINANCE(A725,""HIGH"")"),757.5)</f>
        <v>757.5</v>
      </c>
      <c r="E725" s="14">
        <f>IFERROR(__xludf.DUMMYFUNCTION("GOOGLEFINANCE(A725,""LOW"")"),736.0)</f>
        <v>736</v>
      </c>
      <c r="F725" s="15" t="str">
        <f t="shared" si="8"/>
        <v/>
      </c>
      <c r="G725" s="16">
        <f>IFERROR(__xludf.DUMMYFUNCTION("GOOGLEFINANCE(A725,""CLOSEYEST"")"),754.2)</f>
        <v>754.2</v>
      </c>
      <c r="H725" s="17" t="str">
        <f t="shared" si="14"/>
        <v/>
      </c>
      <c r="I725" s="18">
        <f t="shared" si="9"/>
        <v>749.2333333</v>
      </c>
      <c r="J725" s="19">
        <f t="shared" si="10"/>
        <v>762.4666667</v>
      </c>
      <c r="K725" s="19"/>
      <c r="L725" s="19">
        <f t="shared" si="11"/>
        <v>740.9666667</v>
      </c>
      <c r="M725" s="19">
        <f t="shared" si="12"/>
        <v>770.7333333</v>
      </c>
      <c r="N725" s="19">
        <f t="shared" si="13"/>
        <v>727.7333333</v>
      </c>
    </row>
    <row r="726" ht="24.75" customHeight="1">
      <c r="A726" s="21" t="s">
        <v>689</v>
      </c>
      <c r="B726" s="13">
        <f>IFERROR(__xludf.DUMMYFUNCTION("GOOGLEFINANCE(A726,""PRICE"")"),5480.0)</f>
        <v>5480</v>
      </c>
      <c r="C726" s="14">
        <f>IFERROR(__xludf.DUMMYFUNCTION("GOOGLEFINANCE(A726,""PRICEOPEN"")"),5259.0)</f>
        <v>5259</v>
      </c>
      <c r="D726" s="14">
        <f>IFERROR(__xludf.DUMMYFUNCTION("GOOGLEFINANCE(A726,""HIGH"")"),5510.5)</f>
        <v>5510.5</v>
      </c>
      <c r="E726" s="14">
        <f>IFERROR(__xludf.DUMMYFUNCTION("GOOGLEFINANCE(A726,""LOW"")"),5226.0)</f>
        <v>5226</v>
      </c>
      <c r="F726" s="15" t="str">
        <f t="shared" si="8"/>
        <v/>
      </c>
      <c r="G726" s="16">
        <f>IFERROR(__xludf.DUMMYFUNCTION("GOOGLEFINANCE(A726,""CLOSEYEST"")"),5259.0)</f>
        <v>5259</v>
      </c>
      <c r="H726" s="17" t="str">
        <f t="shared" si="14"/>
        <v/>
      </c>
      <c r="I726" s="18">
        <f t="shared" si="9"/>
        <v>5331.833333</v>
      </c>
      <c r="J726" s="19">
        <f t="shared" si="10"/>
        <v>5437.666667</v>
      </c>
      <c r="K726" s="19"/>
      <c r="L726" s="19">
        <f t="shared" si="11"/>
        <v>5153.166667</v>
      </c>
      <c r="M726" s="19">
        <f t="shared" si="12"/>
        <v>5616.333333</v>
      </c>
      <c r="N726" s="19">
        <f t="shared" si="13"/>
        <v>5047.333333</v>
      </c>
    </row>
    <row r="727" ht="24.75" customHeight="1">
      <c r="A727" s="21" t="s">
        <v>690</v>
      </c>
      <c r="B727" s="13">
        <f>IFERROR(__xludf.DUMMYFUNCTION("GOOGLEFINANCE(A727,""PRICE"")"),765.0)</f>
        <v>765</v>
      </c>
      <c r="C727" s="14">
        <f>IFERROR(__xludf.DUMMYFUNCTION("GOOGLEFINANCE(A727,""PRICEOPEN"")"),783.0)</f>
        <v>783</v>
      </c>
      <c r="D727" s="14">
        <f>IFERROR(__xludf.DUMMYFUNCTION("GOOGLEFINANCE(A727,""HIGH"")"),783.0)</f>
        <v>783</v>
      </c>
      <c r="E727" s="14">
        <f>IFERROR(__xludf.DUMMYFUNCTION("GOOGLEFINANCE(A727,""LOW"")"),755.0)</f>
        <v>755</v>
      </c>
      <c r="F727" s="15" t="str">
        <f t="shared" si="8"/>
        <v>SELL</v>
      </c>
      <c r="G727" s="16">
        <f>IFERROR(__xludf.DUMMYFUNCTION("GOOGLEFINANCE(A727,""CLOSEYEST"")"),772.55)</f>
        <v>772.55</v>
      </c>
      <c r="H727" s="17" t="str">
        <f t="shared" si="14"/>
        <v>GAP UP</v>
      </c>
      <c r="I727" s="18">
        <f t="shared" si="9"/>
        <v>770.1833333</v>
      </c>
      <c r="J727" s="19">
        <f t="shared" si="10"/>
        <v>785.3666667</v>
      </c>
      <c r="K727" s="19"/>
      <c r="L727" s="19">
        <f t="shared" si="11"/>
        <v>757.3666667</v>
      </c>
      <c r="M727" s="19">
        <f t="shared" si="12"/>
        <v>798.1833333</v>
      </c>
      <c r="N727" s="19">
        <f t="shared" si="13"/>
        <v>742.1833333</v>
      </c>
    </row>
    <row r="728" ht="24.75" customHeight="1">
      <c r="A728" s="21" t="s">
        <v>691</v>
      </c>
      <c r="B728" s="13">
        <f>IFERROR(__xludf.DUMMYFUNCTION("GOOGLEFINANCE(A728,""PRICE"")"),1068.5)</f>
        <v>1068.5</v>
      </c>
      <c r="C728" s="14">
        <f>IFERROR(__xludf.DUMMYFUNCTION("GOOGLEFINANCE(A728,""PRICEOPEN"")"),1095.0)</f>
        <v>1095</v>
      </c>
      <c r="D728" s="14">
        <f>IFERROR(__xludf.DUMMYFUNCTION("GOOGLEFINANCE(A728,""HIGH"")"),1100.0)</f>
        <v>1100</v>
      </c>
      <c r="E728" s="14">
        <f>IFERROR(__xludf.DUMMYFUNCTION("GOOGLEFINANCE(A728,""LOW"")"),1041.6)</f>
        <v>1041.6</v>
      </c>
      <c r="F728" s="15" t="str">
        <f t="shared" si="8"/>
        <v/>
      </c>
      <c r="G728" s="16">
        <f>IFERROR(__xludf.DUMMYFUNCTION("GOOGLEFINANCE(A728,""CLOSEYEST"")"),1090.7)</f>
        <v>1090.7</v>
      </c>
      <c r="H728" s="17" t="str">
        <f t="shared" si="14"/>
        <v/>
      </c>
      <c r="I728" s="18">
        <f t="shared" si="9"/>
        <v>1077.433333</v>
      </c>
      <c r="J728" s="19">
        <f t="shared" si="10"/>
        <v>1113.266667</v>
      </c>
      <c r="K728" s="19"/>
      <c r="L728" s="19">
        <f t="shared" si="11"/>
        <v>1054.866667</v>
      </c>
      <c r="M728" s="19">
        <f t="shared" si="12"/>
        <v>1135.833333</v>
      </c>
      <c r="N728" s="19">
        <f t="shared" si="13"/>
        <v>1019.033333</v>
      </c>
    </row>
    <row r="729" ht="24.75" customHeight="1">
      <c r="A729" s="21" t="s">
        <v>692</v>
      </c>
      <c r="B729" s="13">
        <f>IFERROR(__xludf.DUMMYFUNCTION("GOOGLEFINANCE(A729,""PRICE"")"),1766.0)</f>
        <v>1766</v>
      </c>
      <c r="C729" s="14">
        <f>IFERROR(__xludf.DUMMYFUNCTION("GOOGLEFINANCE(A729,""PRICEOPEN"")"),1762.4)</f>
        <v>1762.4</v>
      </c>
      <c r="D729" s="14">
        <f>IFERROR(__xludf.DUMMYFUNCTION("GOOGLEFINANCE(A729,""HIGH"")"),1781.9)</f>
        <v>1781.9</v>
      </c>
      <c r="E729" s="14">
        <f>IFERROR(__xludf.DUMMYFUNCTION("GOOGLEFINANCE(A729,""LOW"")"),1746.3)</f>
        <v>1746.3</v>
      </c>
      <c r="F729" s="15" t="str">
        <f t="shared" si="8"/>
        <v/>
      </c>
      <c r="G729" s="16">
        <f>IFERROR(__xludf.DUMMYFUNCTION("GOOGLEFINANCE(A729,""CLOSEYEST"")"),1753.4)</f>
        <v>1753.4</v>
      </c>
      <c r="H729" s="17" t="str">
        <f t="shared" si="14"/>
        <v/>
      </c>
      <c r="I729" s="18">
        <f t="shared" si="9"/>
        <v>1760.533333</v>
      </c>
      <c r="J729" s="19">
        <f t="shared" si="10"/>
        <v>1774.766667</v>
      </c>
      <c r="K729" s="19"/>
      <c r="L729" s="19">
        <f t="shared" si="11"/>
        <v>1739.166667</v>
      </c>
      <c r="M729" s="19">
        <f t="shared" si="12"/>
        <v>1796.133333</v>
      </c>
      <c r="N729" s="19">
        <f t="shared" si="13"/>
        <v>1724.933333</v>
      </c>
    </row>
    <row r="730" ht="24.75" customHeight="1">
      <c r="A730" s="21" t="s">
        <v>693</v>
      </c>
      <c r="B730" s="13">
        <f>IFERROR(__xludf.DUMMYFUNCTION("GOOGLEFINANCE(A730,""PRICE"")"),64.17)</f>
        <v>64.17</v>
      </c>
      <c r="C730" s="14">
        <f>IFERROR(__xludf.DUMMYFUNCTION("GOOGLEFINANCE(A730,""PRICEOPEN"")"),65.11)</f>
        <v>65.11</v>
      </c>
      <c r="D730" s="14">
        <f>IFERROR(__xludf.DUMMYFUNCTION("GOOGLEFINANCE(A730,""HIGH"")"),65.97)</f>
        <v>65.97</v>
      </c>
      <c r="E730" s="14">
        <f>IFERROR(__xludf.DUMMYFUNCTION("GOOGLEFINANCE(A730,""LOW"")"),63.31)</f>
        <v>63.31</v>
      </c>
      <c r="F730" s="15" t="str">
        <f t="shared" si="8"/>
        <v/>
      </c>
      <c r="G730" s="16">
        <f>IFERROR(__xludf.DUMMYFUNCTION("GOOGLEFINANCE(A730,""CLOSEYEST"")"),64.61)</f>
        <v>64.61</v>
      </c>
      <c r="H730" s="17" t="str">
        <f t="shared" si="14"/>
        <v/>
      </c>
      <c r="I730" s="18">
        <f t="shared" si="9"/>
        <v>64.63</v>
      </c>
      <c r="J730" s="19">
        <f t="shared" si="10"/>
        <v>65.95</v>
      </c>
      <c r="K730" s="19"/>
      <c r="L730" s="19">
        <f t="shared" si="11"/>
        <v>63.29</v>
      </c>
      <c r="M730" s="19">
        <f t="shared" si="12"/>
        <v>67.29</v>
      </c>
      <c r="N730" s="19">
        <f t="shared" si="13"/>
        <v>61.97</v>
      </c>
    </row>
    <row r="731" ht="24.75" customHeight="1">
      <c r="A731" s="21" t="s">
        <v>694</v>
      </c>
      <c r="B731" s="13">
        <f>IFERROR(__xludf.DUMMYFUNCTION("GOOGLEFINANCE(A731,""PRICE"")"),147.43)</f>
        <v>147.43</v>
      </c>
      <c r="C731" s="14">
        <f>IFERROR(__xludf.DUMMYFUNCTION("GOOGLEFINANCE(A731,""PRICEOPEN"")"),145.78)</f>
        <v>145.78</v>
      </c>
      <c r="D731" s="14">
        <f>IFERROR(__xludf.DUMMYFUNCTION("GOOGLEFINANCE(A731,""HIGH"")"),148.39)</f>
        <v>148.39</v>
      </c>
      <c r="E731" s="14">
        <f>IFERROR(__xludf.DUMMYFUNCTION("GOOGLEFINANCE(A731,""LOW"")"),144.38)</f>
        <v>144.38</v>
      </c>
      <c r="F731" s="15" t="str">
        <f t="shared" si="8"/>
        <v/>
      </c>
      <c r="G731" s="16">
        <f>IFERROR(__xludf.DUMMYFUNCTION("GOOGLEFINANCE(A731,""CLOSEYEST"")"),144.97)</f>
        <v>144.97</v>
      </c>
      <c r="H731" s="17" t="str">
        <f t="shared" si="14"/>
        <v/>
      </c>
      <c r="I731" s="18">
        <f t="shared" si="9"/>
        <v>145.9133333</v>
      </c>
      <c r="J731" s="19">
        <f t="shared" si="10"/>
        <v>147.4466667</v>
      </c>
      <c r="K731" s="19"/>
      <c r="L731" s="19">
        <f t="shared" si="11"/>
        <v>143.4366667</v>
      </c>
      <c r="M731" s="19">
        <f t="shared" si="12"/>
        <v>149.9233333</v>
      </c>
      <c r="N731" s="19">
        <f t="shared" si="13"/>
        <v>141.9033333</v>
      </c>
    </row>
    <row r="732" ht="24.75" customHeight="1">
      <c r="A732" s="21" t="s">
        <v>695</v>
      </c>
      <c r="B732" s="13">
        <f>IFERROR(__xludf.DUMMYFUNCTION("GOOGLEFINANCE(A732,""PRICE"")"),374.55)</f>
        <v>374.55</v>
      </c>
      <c r="C732" s="14">
        <f>IFERROR(__xludf.DUMMYFUNCTION("GOOGLEFINANCE(A732,""PRICEOPEN"")"),373.0)</f>
        <v>373</v>
      </c>
      <c r="D732" s="14">
        <f>IFERROR(__xludf.DUMMYFUNCTION("GOOGLEFINANCE(A732,""HIGH"")"),378.3)</f>
        <v>378.3</v>
      </c>
      <c r="E732" s="14">
        <f>IFERROR(__xludf.DUMMYFUNCTION("GOOGLEFINANCE(A732,""LOW"")"),367.0)</f>
        <v>367</v>
      </c>
      <c r="F732" s="15" t="str">
        <f t="shared" si="8"/>
        <v/>
      </c>
      <c r="G732" s="16">
        <f>IFERROR(__xludf.DUMMYFUNCTION("GOOGLEFINANCE(A732,""CLOSEYEST"")"),367.5)</f>
        <v>367.5</v>
      </c>
      <c r="H732" s="17" t="str">
        <f t="shared" si="14"/>
        <v>GAP UP</v>
      </c>
      <c r="I732" s="18">
        <f t="shared" si="9"/>
        <v>370.9333333</v>
      </c>
      <c r="J732" s="19">
        <f t="shared" si="10"/>
        <v>374.8666667</v>
      </c>
      <c r="K732" s="19"/>
      <c r="L732" s="19">
        <f t="shared" si="11"/>
        <v>363.5666667</v>
      </c>
      <c r="M732" s="19">
        <f t="shared" si="12"/>
        <v>382.2333333</v>
      </c>
      <c r="N732" s="19">
        <f t="shared" si="13"/>
        <v>359.6333333</v>
      </c>
    </row>
    <row r="733" ht="24.75" customHeight="1">
      <c r="A733" s="21" t="s">
        <v>696</v>
      </c>
      <c r="B733" s="13" t="str">
        <f>IFERROR(__xludf.DUMMYFUNCTION("GOOGLEFINANCE(A733,""PRICE"")"),"#N/A")</f>
        <v>#N/A</v>
      </c>
      <c r="C733" s="14" t="str">
        <f>IFERROR(__xludf.DUMMYFUNCTION("GOOGLEFINANCE(A733,""PRICEOPEN"")"),"#N/A")</f>
        <v>#N/A</v>
      </c>
      <c r="D733" s="14" t="str">
        <f>IFERROR(__xludf.DUMMYFUNCTION("GOOGLEFINANCE(A733,""HIGH"")"),"#N/A")</f>
        <v>#N/A</v>
      </c>
      <c r="E733" s="14" t="str">
        <f>IFERROR(__xludf.DUMMYFUNCTION("GOOGLEFINANCE(A733,""LOW"")"),"#N/A")</f>
        <v>#N/A</v>
      </c>
      <c r="F733" s="15" t="str">
        <f t="shared" si="8"/>
        <v>#N/A</v>
      </c>
      <c r="G733" s="16" t="str">
        <f>IFERROR(__xludf.DUMMYFUNCTION("GOOGLEFINANCE(A733,""CLOSEYEST"")"),"#N/A")</f>
        <v>#N/A</v>
      </c>
      <c r="H733" s="17" t="str">
        <f t="shared" si="14"/>
        <v>#N/A</v>
      </c>
      <c r="I733" s="18" t="str">
        <f t="shared" si="9"/>
        <v>#N/A</v>
      </c>
      <c r="J733" s="19" t="str">
        <f t="shared" si="10"/>
        <v>#N/A</v>
      </c>
      <c r="K733" s="19"/>
      <c r="L733" s="19" t="str">
        <f t="shared" si="11"/>
        <v>#N/A</v>
      </c>
      <c r="M733" s="19" t="str">
        <f t="shared" si="12"/>
        <v>#N/A</v>
      </c>
      <c r="N733" s="19" t="str">
        <f t="shared" si="13"/>
        <v>#N/A</v>
      </c>
    </row>
    <row r="734" ht="24.75" customHeight="1">
      <c r="A734" s="21" t="s">
        <v>697</v>
      </c>
      <c r="B734" s="13">
        <f>IFERROR(__xludf.DUMMYFUNCTION("GOOGLEFINANCE(A734,""PRICE"")"),507.9)</f>
        <v>507.9</v>
      </c>
      <c r="C734" s="14">
        <f>IFERROR(__xludf.DUMMYFUNCTION("GOOGLEFINANCE(A734,""PRICEOPEN"")"),505.1)</f>
        <v>505.1</v>
      </c>
      <c r="D734" s="14">
        <f>IFERROR(__xludf.DUMMYFUNCTION("GOOGLEFINANCE(A734,""HIGH"")"),509.9)</f>
        <v>509.9</v>
      </c>
      <c r="E734" s="14">
        <f>IFERROR(__xludf.DUMMYFUNCTION("GOOGLEFINANCE(A734,""LOW"")"),503.25)</f>
        <v>503.25</v>
      </c>
      <c r="F734" s="15" t="str">
        <f t="shared" si="8"/>
        <v/>
      </c>
      <c r="G734" s="16">
        <f>IFERROR(__xludf.DUMMYFUNCTION("GOOGLEFINANCE(A734,""CLOSEYEST"")"),507.2)</f>
        <v>507.2</v>
      </c>
      <c r="H734" s="17" t="str">
        <f t="shared" si="14"/>
        <v/>
      </c>
      <c r="I734" s="18">
        <f t="shared" si="9"/>
        <v>506.7833333</v>
      </c>
      <c r="J734" s="19">
        <f t="shared" si="10"/>
        <v>510.3166667</v>
      </c>
      <c r="K734" s="19"/>
      <c r="L734" s="19">
        <f t="shared" si="11"/>
        <v>503.6666667</v>
      </c>
      <c r="M734" s="19">
        <f t="shared" si="12"/>
        <v>513.4333333</v>
      </c>
      <c r="N734" s="19">
        <f t="shared" si="13"/>
        <v>500.1333333</v>
      </c>
    </row>
    <row r="735" ht="24.75" customHeight="1">
      <c r="A735" s="21" t="s">
        <v>698</v>
      </c>
      <c r="B735" s="13">
        <f>IFERROR(__xludf.DUMMYFUNCTION("GOOGLEFINANCE(A735,""PRICE"")"),177.44)</f>
        <v>177.44</v>
      </c>
      <c r="C735" s="14">
        <f>IFERROR(__xludf.DUMMYFUNCTION("GOOGLEFINANCE(A735,""PRICEOPEN"")"),170.8)</f>
        <v>170.8</v>
      </c>
      <c r="D735" s="14">
        <f>IFERROR(__xludf.DUMMYFUNCTION("GOOGLEFINANCE(A735,""HIGH"")"),178.5)</f>
        <v>178.5</v>
      </c>
      <c r="E735" s="14">
        <f>IFERROR(__xludf.DUMMYFUNCTION("GOOGLEFINANCE(A735,""LOW"")"),169.71)</f>
        <v>169.71</v>
      </c>
      <c r="F735" s="15" t="str">
        <f t="shared" si="8"/>
        <v/>
      </c>
      <c r="G735" s="16">
        <f>IFERROR(__xludf.DUMMYFUNCTION("GOOGLEFINANCE(A735,""CLOSEYEST"")"),170.51)</f>
        <v>170.51</v>
      </c>
      <c r="H735" s="17" t="str">
        <f t="shared" si="14"/>
        <v/>
      </c>
      <c r="I735" s="18">
        <f t="shared" si="9"/>
        <v>172.9066667</v>
      </c>
      <c r="J735" s="19">
        <f t="shared" si="10"/>
        <v>176.1033333</v>
      </c>
      <c r="K735" s="19"/>
      <c r="L735" s="19">
        <f t="shared" si="11"/>
        <v>167.3133333</v>
      </c>
      <c r="M735" s="19">
        <f t="shared" si="12"/>
        <v>181.6966667</v>
      </c>
      <c r="N735" s="19">
        <f t="shared" si="13"/>
        <v>164.1166667</v>
      </c>
    </row>
    <row r="736" ht="24.75" customHeight="1">
      <c r="A736" s="21" t="s">
        <v>699</v>
      </c>
      <c r="B736" s="13">
        <f>IFERROR(__xludf.DUMMYFUNCTION("GOOGLEFINANCE(A736,""PRICE"")"),53.23)</f>
        <v>53.23</v>
      </c>
      <c r="C736" s="14">
        <f>IFERROR(__xludf.DUMMYFUNCTION("GOOGLEFINANCE(A736,""PRICEOPEN"")"),52.24)</f>
        <v>52.24</v>
      </c>
      <c r="D736" s="14">
        <f>IFERROR(__xludf.DUMMYFUNCTION("GOOGLEFINANCE(A736,""HIGH"")"),53.54)</f>
        <v>53.54</v>
      </c>
      <c r="E736" s="14">
        <f>IFERROR(__xludf.DUMMYFUNCTION("GOOGLEFINANCE(A736,""LOW"")"),52.02)</f>
        <v>52.02</v>
      </c>
      <c r="F736" s="15" t="str">
        <f t="shared" si="8"/>
        <v/>
      </c>
      <c r="G736" s="16">
        <f>IFERROR(__xludf.DUMMYFUNCTION("GOOGLEFINANCE(A736,""CLOSEYEST"")"),52.06)</f>
        <v>52.06</v>
      </c>
      <c r="H736" s="17" t="str">
        <f t="shared" si="14"/>
        <v/>
      </c>
      <c r="I736" s="18">
        <f t="shared" si="9"/>
        <v>52.54</v>
      </c>
      <c r="J736" s="19">
        <f t="shared" si="10"/>
        <v>53.06</v>
      </c>
      <c r="K736" s="19"/>
      <c r="L736" s="19">
        <f t="shared" si="11"/>
        <v>51.54</v>
      </c>
      <c r="M736" s="19">
        <f t="shared" si="12"/>
        <v>54.06</v>
      </c>
      <c r="N736" s="19">
        <f t="shared" si="13"/>
        <v>51.02</v>
      </c>
    </row>
    <row r="737" ht="24.75" customHeight="1">
      <c r="A737" s="21" t="s">
        <v>700</v>
      </c>
      <c r="B737" s="13">
        <f>IFERROR(__xludf.DUMMYFUNCTION("GOOGLEFINANCE(A737,""PRICE"")"),347.5)</f>
        <v>347.5</v>
      </c>
      <c r="C737" s="14">
        <f>IFERROR(__xludf.DUMMYFUNCTION("GOOGLEFINANCE(A737,""PRICEOPEN"")"),343.8)</f>
        <v>343.8</v>
      </c>
      <c r="D737" s="14">
        <f>IFERROR(__xludf.DUMMYFUNCTION("GOOGLEFINANCE(A737,""HIGH"")"),349.0)</f>
        <v>349</v>
      </c>
      <c r="E737" s="14">
        <f>IFERROR(__xludf.DUMMYFUNCTION("GOOGLEFINANCE(A737,""LOW"")"),336.55)</f>
        <v>336.55</v>
      </c>
      <c r="F737" s="15" t="str">
        <f t="shared" si="8"/>
        <v/>
      </c>
      <c r="G737" s="16">
        <f>IFERROR(__xludf.DUMMYFUNCTION("GOOGLEFINANCE(A737,""CLOSEYEST"")"),342.9)</f>
        <v>342.9</v>
      </c>
      <c r="H737" s="17" t="str">
        <f t="shared" si="14"/>
        <v/>
      </c>
      <c r="I737" s="18">
        <f t="shared" si="9"/>
        <v>342.8166667</v>
      </c>
      <c r="J737" s="19">
        <f t="shared" si="10"/>
        <v>349.0833333</v>
      </c>
      <c r="K737" s="19"/>
      <c r="L737" s="19">
        <f t="shared" si="11"/>
        <v>336.6333333</v>
      </c>
      <c r="M737" s="19">
        <f t="shared" si="12"/>
        <v>355.2666667</v>
      </c>
      <c r="N737" s="19">
        <f t="shared" si="13"/>
        <v>330.3666667</v>
      </c>
    </row>
    <row r="738" ht="24.75" customHeight="1">
      <c r="A738" s="21" t="s">
        <v>701</v>
      </c>
      <c r="B738" s="13">
        <f>IFERROR(__xludf.DUMMYFUNCTION("GOOGLEFINANCE(A738,""PRICE"")"),719.75)</f>
        <v>719.75</v>
      </c>
      <c r="C738" s="14">
        <f>IFERROR(__xludf.DUMMYFUNCTION("GOOGLEFINANCE(A738,""PRICEOPEN"")"),701.0)</f>
        <v>701</v>
      </c>
      <c r="D738" s="14">
        <f>IFERROR(__xludf.DUMMYFUNCTION("GOOGLEFINANCE(A738,""HIGH"")"),731.7)</f>
        <v>731.7</v>
      </c>
      <c r="E738" s="14">
        <f>IFERROR(__xludf.DUMMYFUNCTION("GOOGLEFINANCE(A738,""LOW"")"),699.25)</f>
        <v>699.25</v>
      </c>
      <c r="F738" s="15" t="str">
        <f t="shared" si="8"/>
        <v/>
      </c>
      <c r="G738" s="16">
        <f>IFERROR(__xludf.DUMMYFUNCTION("GOOGLEFINANCE(A738,""CLOSEYEST"")"),699.05)</f>
        <v>699.05</v>
      </c>
      <c r="H738" s="17" t="str">
        <f t="shared" si="14"/>
        <v/>
      </c>
      <c r="I738" s="18">
        <f t="shared" si="9"/>
        <v>710</v>
      </c>
      <c r="J738" s="19">
        <f t="shared" si="10"/>
        <v>720.75</v>
      </c>
      <c r="K738" s="19"/>
      <c r="L738" s="19">
        <f t="shared" si="11"/>
        <v>688.3</v>
      </c>
      <c r="M738" s="19">
        <f t="shared" si="12"/>
        <v>742.45</v>
      </c>
      <c r="N738" s="19">
        <f t="shared" si="13"/>
        <v>677.55</v>
      </c>
    </row>
    <row r="739" ht="24.75" customHeight="1">
      <c r="A739" s="21" t="s">
        <v>702</v>
      </c>
      <c r="B739" s="13">
        <f>IFERROR(__xludf.DUMMYFUNCTION("GOOGLEFINANCE(A739,""PRICE"")"),350.0)</f>
        <v>350</v>
      </c>
      <c r="C739" s="14">
        <f>IFERROR(__xludf.DUMMYFUNCTION("GOOGLEFINANCE(A739,""PRICEOPEN"")"),345.0)</f>
        <v>345</v>
      </c>
      <c r="D739" s="14">
        <f>IFERROR(__xludf.DUMMYFUNCTION("GOOGLEFINANCE(A739,""HIGH"")"),357.9)</f>
        <v>357.9</v>
      </c>
      <c r="E739" s="14">
        <f>IFERROR(__xludf.DUMMYFUNCTION("GOOGLEFINANCE(A739,""LOW"")"),342.75)</f>
        <v>342.75</v>
      </c>
      <c r="F739" s="15" t="str">
        <f t="shared" si="8"/>
        <v/>
      </c>
      <c r="G739" s="16">
        <f>IFERROR(__xludf.DUMMYFUNCTION("GOOGLEFINANCE(A739,""CLOSEYEST"")"),343.2)</f>
        <v>343.2</v>
      </c>
      <c r="H739" s="17" t="str">
        <f t="shared" si="14"/>
        <v/>
      </c>
      <c r="I739" s="18">
        <f t="shared" si="9"/>
        <v>347.95</v>
      </c>
      <c r="J739" s="19">
        <f t="shared" si="10"/>
        <v>353.15</v>
      </c>
      <c r="K739" s="19"/>
      <c r="L739" s="19">
        <f t="shared" si="11"/>
        <v>338</v>
      </c>
      <c r="M739" s="19">
        <f t="shared" si="12"/>
        <v>363.1</v>
      </c>
      <c r="N739" s="19">
        <f t="shared" si="13"/>
        <v>332.8</v>
      </c>
    </row>
    <row r="740" ht="24.75" customHeight="1">
      <c r="A740" s="21" t="s">
        <v>703</v>
      </c>
      <c r="B740" s="13">
        <f>IFERROR(__xludf.DUMMYFUNCTION("GOOGLEFINANCE(A740,""PRICE"")"),381.0)</f>
        <v>381</v>
      </c>
      <c r="C740" s="14">
        <f>IFERROR(__xludf.DUMMYFUNCTION("GOOGLEFINANCE(A740,""PRICEOPEN"")"),382.0)</f>
        <v>382</v>
      </c>
      <c r="D740" s="14">
        <f>IFERROR(__xludf.DUMMYFUNCTION("GOOGLEFINANCE(A740,""HIGH"")"),387.25)</f>
        <v>387.25</v>
      </c>
      <c r="E740" s="14">
        <f>IFERROR(__xludf.DUMMYFUNCTION("GOOGLEFINANCE(A740,""LOW"")"),376.65)</f>
        <v>376.65</v>
      </c>
      <c r="F740" s="15" t="str">
        <f t="shared" si="8"/>
        <v/>
      </c>
      <c r="G740" s="16">
        <f>IFERROR(__xludf.DUMMYFUNCTION("GOOGLEFINANCE(A740,""CLOSEYEST"")"),381.3)</f>
        <v>381.3</v>
      </c>
      <c r="H740" s="17" t="str">
        <f t="shared" si="14"/>
        <v/>
      </c>
      <c r="I740" s="18">
        <f t="shared" si="9"/>
        <v>381.7333333</v>
      </c>
      <c r="J740" s="19">
        <f t="shared" si="10"/>
        <v>386.8166667</v>
      </c>
      <c r="K740" s="19"/>
      <c r="L740" s="19">
        <f t="shared" si="11"/>
        <v>376.2166667</v>
      </c>
      <c r="M740" s="19">
        <f t="shared" si="12"/>
        <v>392.3333333</v>
      </c>
      <c r="N740" s="19">
        <f t="shared" si="13"/>
        <v>371.1333333</v>
      </c>
    </row>
    <row r="741" ht="24.75" customHeight="1">
      <c r="A741" s="21" t="s">
        <v>704</v>
      </c>
      <c r="B741" s="13">
        <f>IFERROR(__xludf.DUMMYFUNCTION("GOOGLEFINANCE(A741,""PRICE"")"),1225.1)</f>
        <v>1225.1</v>
      </c>
      <c r="C741" s="14">
        <f>IFERROR(__xludf.DUMMYFUNCTION("GOOGLEFINANCE(A741,""PRICEOPEN"")"),1240.0)</f>
        <v>1240</v>
      </c>
      <c r="D741" s="14">
        <f>IFERROR(__xludf.DUMMYFUNCTION("GOOGLEFINANCE(A741,""HIGH"")"),1243.2)</f>
        <v>1243.2</v>
      </c>
      <c r="E741" s="14">
        <f>IFERROR(__xludf.DUMMYFUNCTION("GOOGLEFINANCE(A741,""LOW"")"),1205.0)</f>
        <v>1205</v>
      </c>
      <c r="F741" s="15" t="str">
        <f t="shared" si="8"/>
        <v/>
      </c>
      <c r="G741" s="16">
        <f>IFERROR(__xludf.DUMMYFUNCTION("GOOGLEFINANCE(A741,""CLOSEYEST"")"),1239.9)</f>
        <v>1239.9</v>
      </c>
      <c r="H741" s="17" t="str">
        <f t="shared" si="14"/>
        <v/>
      </c>
      <c r="I741" s="18">
        <f t="shared" si="9"/>
        <v>1229.366667</v>
      </c>
      <c r="J741" s="19">
        <f t="shared" si="10"/>
        <v>1253.733333</v>
      </c>
      <c r="K741" s="19"/>
      <c r="L741" s="19">
        <f t="shared" si="11"/>
        <v>1215.533333</v>
      </c>
      <c r="M741" s="19">
        <f t="shared" si="12"/>
        <v>1267.566667</v>
      </c>
      <c r="N741" s="19">
        <f t="shared" si="13"/>
        <v>1191.166667</v>
      </c>
    </row>
    <row r="742" ht="24.75" customHeight="1">
      <c r="A742" s="21" t="s">
        <v>705</v>
      </c>
      <c r="B742" s="13" t="str">
        <f>IFERROR(__xludf.DUMMYFUNCTION("GOOGLEFINANCE(A742,""PRICE"")"),"#N/A")</f>
        <v>#N/A</v>
      </c>
      <c r="C742" s="14" t="str">
        <f>IFERROR(__xludf.DUMMYFUNCTION("GOOGLEFINANCE(A742,""PRICEOPEN"")"),"#N/A")</f>
        <v>#N/A</v>
      </c>
      <c r="D742" s="14" t="str">
        <f>IFERROR(__xludf.DUMMYFUNCTION("GOOGLEFINANCE(A742,""HIGH"")"),"#N/A")</f>
        <v>#N/A</v>
      </c>
      <c r="E742" s="14" t="str">
        <f>IFERROR(__xludf.DUMMYFUNCTION("GOOGLEFINANCE(A742,""LOW"")"),"#N/A")</f>
        <v>#N/A</v>
      </c>
      <c r="F742" s="15" t="str">
        <f t="shared" si="8"/>
        <v>#N/A</v>
      </c>
      <c r="G742" s="16" t="str">
        <f>IFERROR(__xludf.DUMMYFUNCTION("GOOGLEFINANCE(A742,""CLOSEYEST"")"),"#N/A")</f>
        <v>#N/A</v>
      </c>
      <c r="H742" s="17" t="str">
        <f t="shared" si="14"/>
        <v>#N/A</v>
      </c>
      <c r="I742" s="18" t="str">
        <f t="shared" si="9"/>
        <v>#N/A</v>
      </c>
      <c r="J742" s="19" t="str">
        <f t="shared" si="10"/>
        <v>#N/A</v>
      </c>
      <c r="K742" s="19"/>
      <c r="L742" s="19" t="str">
        <f t="shared" si="11"/>
        <v>#N/A</v>
      </c>
      <c r="M742" s="19" t="str">
        <f t="shared" si="12"/>
        <v>#N/A</v>
      </c>
      <c r="N742" s="19" t="str">
        <f t="shared" si="13"/>
        <v>#N/A</v>
      </c>
    </row>
    <row r="743" ht="24.75" customHeight="1">
      <c r="A743" s="21" t="s">
        <v>706</v>
      </c>
      <c r="B743" s="13">
        <f>IFERROR(__xludf.DUMMYFUNCTION("GOOGLEFINANCE(A743,""PRICE"")"),159.85)</f>
        <v>159.85</v>
      </c>
      <c r="C743" s="14">
        <f>IFERROR(__xludf.DUMMYFUNCTION("GOOGLEFINANCE(A743,""PRICEOPEN"")"),159.07)</f>
        <v>159.07</v>
      </c>
      <c r="D743" s="14">
        <f>IFERROR(__xludf.DUMMYFUNCTION("GOOGLEFINANCE(A743,""HIGH"")"),160.0)</f>
        <v>160</v>
      </c>
      <c r="E743" s="14">
        <f>IFERROR(__xludf.DUMMYFUNCTION("GOOGLEFINANCE(A743,""LOW"")"),156.67)</f>
        <v>156.67</v>
      </c>
      <c r="F743" s="15" t="str">
        <f t="shared" si="8"/>
        <v/>
      </c>
      <c r="G743" s="16">
        <f>IFERROR(__xludf.DUMMYFUNCTION("GOOGLEFINANCE(A743,""CLOSEYEST"")"),158.92)</f>
        <v>158.92</v>
      </c>
      <c r="H743" s="17" t="str">
        <f t="shared" si="14"/>
        <v/>
      </c>
      <c r="I743" s="18">
        <f t="shared" si="9"/>
        <v>158.53</v>
      </c>
      <c r="J743" s="19">
        <f t="shared" si="10"/>
        <v>160.39</v>
      </c>
      <c r="K743" s="19"/>
      <c r="L743" s="19">
        <f t="shared" si="11"/>
        <v>157.06</v>
      </c>
      <c r="M743" s="19">
        <f t="shared" si="12"/>
        <v>161.86</v>
      </c>
      <c r="N743" s="19">
        <f t="shared" si="13"/>
        <v>155.2</v>
      </c>
    </row>
    <row r="744" ht="24.75" customHeight="1">
      <c r="A744" s="21" t="s">
        <v>707</v>
      </c>
      <c r="B744" s="13">
        <f>IFERROR(__xludf.DUMMYFUNCTION("GOOGLEFINANCE(A744,""PRICE"")"),209.4)</f>
        <v>209.4</v>
      </c>
      <c r="C744" s="14">
        <f>IFERROR(__xludf.DUMMYFUNCTION("GOOGLEFINANCE(A744,""PRICEOPEN"")"),210.3)</f>
        <v>210.3</v>
      </c>
      <c r="D744" s="14">
        <f>IFERROR(__xludf.DUMMYFUNCTION("GOOGLEFINANCE(A744,""HIGH"")"),212.3)</f>
        <v>212.3</v>
      </c>
      <c r="E744" s="14">
        <f>IFERROR(__xludf.DUMMYFUNCTION("GOOGLEFINANCE(A744,""LOW"")"),209.4)</f>
        <v>209.4</v>
      </c>
      <c r="F744" s="15" t="str">
        <f t="shared" si="8"/>
        <v/>
      </c>
      <c r="G744" s="16">
        <f>IFERROR(__xludf.DUMMYFUNCTION("GOOGLEFINANCE(A744,""CLOSEYEST"")"),210.3)</f>
        <v>210.3</v>
      </c>
      <c r="H744" s="17" t="str">
        <f t="shared" si="14"/>
        <v/>
      </c>
      <c r="I744" s="18">
        <f t="shared" si="9"/>
        <v>210.6666667</v>
      </c>
      <c r="J744" s="19">
        <f t="shared" si="10"/>
        <v>211.9333333</v>
      </c>
      <c r="K744" s="19"/>
      <c r="L744" s="19">
        <f t="shared" si="11"/>
        <v>209.0333333</v>
      </c>
      <c r="M744" s="19">
        <f t="shared" si="12"/>
        <v>213.5666667</v>
      </c>
      <c r="N744" s="19">
        <f t="shared" si="13"/>
        <v>207.7666667</v>
      </c>
    </row>
    <row r="745" ht="24.75" customHeight="1">
      <c r="A745" s="21" t="s">
        <v>708</v>
      </c>
      <c r="B745" s="13">
        <f>IFERROR(__xludf.DUMMYFUNCTION("GOOGLEFINANCE(A745,""PRICE"")"),164.81)</f>
        <v>164.81</v>
      </c>
      <c r="C745" s="14">
        <f>IFERROR(__xludf.DUMMYFUNCTION("GOOGLEFINANCE(A745,""PRICEOPEN"")"),163.59)</f>
        <v>163.59</v>
      </c>
      <c r="D745" s="14">
        <f>IFERROR(__xludf.DUMMYFUNCTION("GOOGLEFINANCE(A745,""HIGH"")"),165.56)</f>
        <v>165.56</v>
      </c>
      <c r="E745" s="14">
        <f>IFERROR(__xludf.DUMMYFUNCTION("GOOGLEFINANCE(A745,""LOW"")"),158.0)</f>
        <v>158</v>
      </c>
      <c r="F745" s="15" t="str">
        <f t="shared" si="8"/>
        <v/>
      </c>
      <c r="G745" s="16">
        <f>IFERROR(__xludf.DUMMYFUNCTION("GOOGLEFINANCE(A745,""CLOSEYEST"")"),163.12)</f>
        <v>163.12</v>
      </c>
      <c r="H745" s="17" t="str">
        <f t="shared" si="14"/>
        <v/>
      </c>
      <c r="I745" s="18">
        <f t="shared" si="9"/>
        <v>162.2266667</v>
      </c>
      <c r="J745" s="19">
        <f t="shared" si="10"/>
        <v>166.4533333</v>
      </c>
      <c r="K745" s="19"/>
      <c r="L745" s="19">
        <f t="shared" si="11"/>
        <v>158.8933333</v>
      </c>
      <c r="M745" s="19">
        <f t="shared" si="12"/>
        <v>169.7866667</v>
      </c>
      <c r="N745" s="19">
        <f t="shared" si="13"/>
        <v>154.6666667</v>
      </c>
    </row>
    <row r="746" ht="24.75" customHeight="1">
      <c r="A746" s="21" t="s">
        <v>709</v>
      </c>
      <c r="B746" s="13">
        <f>IFERROR(__xludf.DUMMYFUNCTION("GOOGLEFINANCE(A746,""PRICE"")"),698.4)</f>
        <v>698.4</v>
      </c>
      <c r="C746" s="14">
        <f>IFERROR(__xludf.DUMMYFUNCTION("GOOGLEFINANCE(A746,""PRICEOPEN"")"),683.0)</f>
        <v>683</v>
      </c>
      <c r="D746" s="14">
        <f>IFERROR(__xludf.DUMMYFUNCTION("GOOGLEFINANCE(A746,""HIGH"")"),698.7)</f>
        <v>698.7</v>
      </c>
      <c r="E746" s="14">
        <f>IFERROR(__xludf.DUMMYFUNCTION("GOOGLEFINANCE(A746,""LOW"")"),682.4)</f>
        <v>682.4</v>
      </c>
      <c r="F746" s="15" t="str">
        <f t="shared" si="8"/>
        <v/>
      </c>
      <c r="G746" s="16">
        <f>IFERROR(__xludf.DUMMYFUNCTION("GOOGLEFINANCE(A746,""CLOSEYEST"")"),682.05)</f>
        <v>682.05</v>
      </c>
      <c r="H746" s="17" t="str">
        <f t="shared" si="14"/>
        <v/>
      </c>
      <c r="I746" s="18">
        <f t="shared" si="9"/>
        <v>687.7166667</v>
      </c>
      <c r="J746" s="19">
        <f t="shared" si="10"/>
        <v>693.0333333</v>
      </c>
      <c r="K746" s="19"/>
      <c r="L746" s="19">
        <f t="shared" si="11"/>
        <v>676.7333333</v>
      </c>
      <c r="M746" s="19">
        <f t="shared" si="12"/>
        <v>704.0166667</v>
      </c>
      <c r="N746" s="19">
        <f t="shared" si="13"/>
        <v>671.4166667</v>
      </c>
    </row>
    <row r="747" ht="24.75" customHeight="1">
      <c r="A747" s="21" t="s">
        <v>710</v>
      </c>
      <c r="B747" s="13">
        <f>IFERROR(__xludf.DUMMYFUNCTION("GOOGLEFINANCE(A747,""PRICE"")"),210.9)</f>
        <v>210.9</v>
      </c>
      <c r="C747" s="14">
        <f>IFERROR(__xludf.DUMMYFUNCTION("GOOGLEFINANCE(A747,""PRICEOPEN"")"),209.0)</f>
        <v>209</v>
      </c>
      <c r="D747" s="14">
        <f>IFERROR(__xludf.DUMMYFUNCTION("GOOGLEFINANCE(A747,""HIGH"")"),211.78)</f>
        <v>211.78</v>
      </c>
      <c r="E747" s="14">
        <f>IFERROR(__xludf.DUMMYFUNCTION("GOOGLEFINANCE(A747,""LOW"")"),206.0)</f>
        <v>206</v>
      </c>
      <c r="F747" s="15" t="str">
        <f t="shared" si="8"/>
        <v/>
      </c>
      <c r="G747" s="16">
        <f>IFERROR(__xludf.DUMMYFUNCTION("GOOGLEFINANCE(A747,""CLOSEYEST"")"),206.35)</f>
        <v>206.35</v>
      </c>
      <c r="H747" s="17" t="str">
        <f t="shared" si="14"/>
        <v>GAP UP</v>
      </c>
      <c r="I747" s="18">
        <f t="shared" si="9"/>
        <v>208.0433333</v>
      </c>
      <c r="J747" s="19">
        <f t="shared" si="10"/>
        <v>210.0866667</v>
      </c>
      <c r="K747" s="19"/>
      <c r="L747" s="19">
        <f t="shared" si="11"/>
        <v>204.3066667</v>
      </c>
      <c r="M747" s="19">
        <f t="shared" si="12"/>
        <v>213.8233333</v>
      </c>
      <c r="N747" s="19">
        <f t="shared" si="13"/>
        <v>202.2633333</v>
      </c>
    </row>
    <row r="748" ht="24.75" customHeight="1">
      <c r="A748" s="21" t="s">
        <v>711</v>
      </c>
      <c r="B748" s="13">
        <f>IFERROR(__xludf.DUMMYFUNCTION("GOOGLEFINANCE(A748,""PRICE"")"),136.0)</f>
        <v>136</v>
      </c>
      <c r="C748" s="14">
        <f>IFERROR(__xludf.DUMMYFUNCTION("GOOGLEFINANCE(A748,""PRICEOPEN"")"),135.0)</f>
        <v>135</v>
      </c>
      <c r="D748" s="14">
        <f>IFERROR(__xludf.DUMMYFUNCTION("GOOGLEFINANCE(A748,""HIGH"")"),136.25)</f>
        <v>136.25</v>
      </c>
      <c r="E748" s="14">
        <f>IFERROR(__xludf.DUMMYFUNCTION("GOOGLEFINANCE(A748,""LOW"")"),134.31)</f>
        <v>134.31</v>
      </c>
      <c r="F748" s="15" t="str">
        <f t="shared" si="8"/>
        <v/>
      </c>
      <c r="G748" s="16">
        <f>IFERROR(__xludf.DUMMYFUNCTION("GOOGLEFINANCE(A748,""CLOSEYEST"")"),134.37)</f>
        <v>134.37</v>
      </c>
      <c r="H748" s="17" t="str">
        <f t="shared" si="14"/>
        <v/>
      </c>
      <c r="I748" s="18">
        <f t="shared" si="9"/>
        <v>134.9766667</v>
      </c>
      <c r="J748" s="19">
        <f t="shared" si="10"/>
        <v>135.6433333</v>
      </c>
      <c r="K748" s="19"/>
      <c r="L748" s="19">
        <f t="shared" si="11"/>
        <v>133.7033333</v>
      </c>
      <c r="M748" s="19">
        <f t="shared" si="12"/>
        <v>136.9166667</v>
      </c>
      <c r="N748" s="19">
        <f t="shared" si="13"/>
        <v>133.0366667</v>
      </c>
    </row>
    <row r="749" ht="24.75" customHeight="1">
      <c r="A749" s="21" t="s">
        <v>712</v>
      </c>
      <c r="B749" s="13">
        <f>IFERROR(__xludf.DUMMYFUNCTION("GOOGLEFINANCE(A749,""PRICE"")"),503.45)</f>
        <v>503.45</v>
      </c>
      <c r="C749" s="14">
        <f>IFERROR(__xludf.DUMMYFUNCTION("GOOGLEFINANCE(A749,""PRICEOPEN"")"),511.9)</f>
        <v>511.9</v>
      </c>
      <c r="D749" s="14">
        <f>IFERROR(__xludf.DUMMYFUNCTION("GOOGLEFINANCE(A749,""HIGH"")"),513.95)</f>
        <v>513.95</v>
      </c>
      <c r="E749" s="14">
        <f>IFERROR(__xludf.DUMMYFUNCTION("GOOGLEFINANCE(A749,""LOW"")"),496.85)</f>
        <v>496.85</v>
      </c>
      <c r="F749" s="15" t="str">
        <f t="shared" si="8"/>
        <v/>
      </c>
      <c r="G749" s="16">
        <f>IFERROR(__xludf.DUMMYFUNCTION("GOOGLEFINANCE(A749,""CLOSEYEST"")"),508.1)</f>
        <v>508.1</v>
      </c>
      <c r="H749" s="17" t="str">
        <f t="shared" si="14"/>
        <v/>
      </c>
      <c r="I749" s="18">
        <f t="shared" si="9"/>
        <v>506.3</v>
      </c>
      <c r="J749" s="19">
        <f t="shared" si="10"/>
        <v>515.75</v>
      </c>
      <c r="K749" s="19"/>
      <c r="L749" s="19">
        <f t="shared" si="11"/>
        <v>498.65</v>
      </c>
      <c r="M749" s="19">
        <f t="shared" si="12"/>
        <v>523.4</v>
      </c>
      <c r="N749" s="19">
        <f t="shared" si="13"/>
        <v>489.2</v>
      </c>
    </row>
    <row r="750" ht="24.75" customHeight="1">
      <c r="A750" s="21" t="s">
        <v>713</v>
      </c>
      <c r="B750" s="13">
        <f>IFERROR(__xludf.DUMMYFUNCTION("GOOGLEFINANCE(A750,""PRICE"")"),62.34)</f>
        <v>62.34</v>
      </c>
      <c r="C750" s="14">
        <f>IFERROR(__xludf.DUMMYFUNCTION("GOOGLEFINANCE(A750,""PRICEOPEN"")"),59.38)</f>
        <v>59.38</v>
      </c>
      <c r="D750" s="14">
        <f>IFERROR(__xludf.DUMMYFUNCTION("GOOGLEFINANCE(A750,""HIGH"")"),62.34)</f>
        <v>62.34</v>
      </c>
      <c r="E750" s="14">
        <f>IFERROR(__xludf.DUMMYFUNCTION("GOOGLEFINANCE(A750,""LOW"")"),59.34)</f>
        <v>59.34</v>
      </c>
      <c r="F750" s="15" t="str">
        <f t="shared" si="8"/>
        <v/>
      </c>
      <c r="G750" s="16">
        <f>IFERROR(__xludf.DUMMYFUNCTION("GOOGLEFINANCE(A750,""CLOSEYEST"")"),59.38)</f>
        <v>59.38</v>
      </c>
      <c r="H750" s="17" t="str">
        <f t="shared" si="14"/>
        <v/>
      </c>
      <c r="I750" s="18">
        <f t="shared" si="9"/>
        <v>60.35333333</v>
      </c>
      <c r="J750" s="19">
        <f t="shared" si="10"/>
        <v>61.36666667</v>
      </c>
      <c r="K750" s="19"/>
      <c r="L750" s="19">
        <f t="shared" si="11"/>
        <v>58.36666667</v>
      </c>
      <c r="M750" s="19">
        <f t="shared" si="12"/>
        <v>63.35333333</v>
      </c>
      <c r="N750" s="19">
        <f t="shared" si="13"/>
        <v>57.35333333</v>
      </c>
    </row>
    <row r="751" ht="24.75" customHeight="1">
      <c r="A751" s="21" t="s">
        <v>714</v>
      </c>
      <c r="B751" s="13">
        <f>IFERROR(__xludf.DUMMYFUNCTION("GOOGLEFINANCE(A751,""PRICE"")"),427.4)</f>
        <v>427.4</v>
      </c>
      <c r="C751" s="14">
        <f>IFERROR(__xludf.DUMMYFUNCTION("GOOGLEFINANCE(A751,""PRICEOPEN"")"),424.1)</f>
        <v>424.1</v>
      </c>
      <c r="D751" s="14">
        <f>IFERROR(__xludf.DUMMYFUNCTION("GOOGLEFINANCE(A751,""HIGH"")"),430.15)</f>
        <v>430.15</v>
      </c>
      <c r="E751" s="14">
        <f>IFERROR(__xludf.DUMMYFUNCTION("GOOGLEFINANCE(A751,""LOW"")"),423.2)</f>
        <v>423.2</v>
      </c>
      <c r="F751" s="15" t="str">
        <f t="shared" si="8"/>
        <v/>
      </c>
      <c r="G751" s="16">
        <f>IFERROR(__xludf.DUMMYFUNCTION("GOOGLEFINANCE(A751,""CLOSEYEST"")"),424.1)</f>
        <v>424.1</v>
      </c>
      <c r="H751" s="17" t="str">
        <f t="shared" si="14"/>
        <v/>
      </c>
      <c r="I751" s="18">
        <f t="shared" si="9"/>
        <v>425.8166667</v>
      </c>
      <c r="J751" s="19">
        <f t="shared" si="10"/>
        <v>428.4333333</v>
      </c>
      <c r="K751" s="19"/>
      <c r="L751" s="19">
        <f t="shared" si="11"/>
        <v>421.4833333</v>
      </c>
      <c r="M751" s="19">
        <f t="shared" si="12"/>
        <v>432.7666667</v>
      </c>
      <c r="N751" s="19">
        <f t="shared" si="13"/>
        <v>418.8666667</v>
      </c>
    </row>
    <row r="752" ht="24.75" customHeight="1">
      <c r="A752" s="21" t="s">
        <v>715</v>
      </c>
      <c r="B752" s="13">
        <f>IFERROR(__xludf.DUMMYFUNCTION("GOOGLEFINANCE(A752,""PRICE"")"),1165.0)</f>
        <v>1165</v>
      </c>
      <c r="C752" s="14">
        <f>IFERROR(__xludf.DUMMYFUNCTION("GOOGLEFINANCE(A752,""PRICEOPEN"")"),1159.0)</f>
        <v>1159</v>
      </c>
      <c r="D752" s="14">
        <f>IFERROR(__xludf.DUMMYFUNCTION("GOOGLEFINANCE(A752,""HIGH"")"),1183.9)</f>
        <v>1183.9</v>
      </c>
      <c r="E752" s="14">
        <f>IFERROR(__xludf.DUMMYFUNCTION("GOOGLEFINANCE(A752,""LOW"")"),1136.3)</f>
        <v>1136.3</v>
      </c>
      <c r="F752" s="15" t="str">
        <f t="shared" si="8"/>
        <v/>
      </c>
      <c r="G752" s="16">
        <f>IFERROR(__xludf.DUMMYFUNCTION("GOOGLEFINANCE(A752,""CLOSEYEST"")"),1136.3)</f>
        <v>1136.3</v>
      </c>
      <c r="H752" s="17" t="str">
        <f t="shared" si="14"/>
        <v>GAP UP</v>
      </c>
      <c r="I752" s="18">
        <f t="shared" si="9"/>
        <v>1152.166667</v>
      </c>
      <c r="J752" s="19">
        <f t="shared" si="10"/>
        <v>1168.033333</v>
      </c>
      <c r="K752" s="19"/>
      <c r="L752" s="19">
        <f t="shared" si="11"/>
        <v>1120.433333</v>
      </c>
      <c r="M752" s="19">
        <f t="shared" si="12"/>
        <v>1199.766667</v>
      </c>
      <c r="N752" s="19">
        <f t="shared" si="13"/>
        <v>1104.566667</v>
      </c>
    </row>
    <row r="753" ht="24.75" customHeight="1">
      <c r="A753" s="21" t="s">
        <v>716</v>
      </c>
      <c r="B753" s="13">
        <f>IFERROR(__xludf.DUMMYFUNCTION("GOOGLEFINANCE(A753,""PRICE"")"),243.0)</f>
        <v>243</v>
      </c>
      <c r="C753" s="14">
        <f>IFERROR(__xludf.DUMMYFUNCTION("GOOGLEFINANCE(A753,""PRICEOPEN"")"),236.5)</f>
        <v>236.5</v>
      </c>
      <c r="D753" s="14">
        <f>IFERROR(__xludf.DUMMYFUNCTION("GOOGLEFINANCE(A753,""HIGH"")"),243.0)</f>
        <v>243</v>
      </c>
      <c r="E753" s="14">
        <f>IFERROR(__xludf.DUMMYFUNCTION("GOOGLEFINANCE(A753,""LOW"")"),232.4)</f>
        <v>232.4</v>
      </c>
      <c r="F753" s="15" t="str">
        <f t="shared" si="8"/>
        <v/>
      </c>
      <c r="G753" s="16">
        <f>IFERROR(__xludf.DUMMYFUNCTION("GOOGLEFINANCE(A753,""CLOSEYEST"")"),236.4)</f>
        <v>236.4</v>
      </c>
      <c r="H753" s="17" t="str">
        <f t="shared" si="14"/>
        <v/>
      </c>
      <c r="I753" s="18">
        <f t="shared" si="9"/>
        <v>237.2666667</v>
      </c>
      <c r="J753" s="19">
        <f t="shared" si="10"/>
        <v>242.1333333</v>
      </c>
      <c r="K753" s="19"/>
      <c r="L753" s="19">
        <f t="shared" si="11"/>
        <v>231.5333333</v>
      </c>
      <c r="M753" s="19">
        <f t="shared" si="12"/>
        <v>247.8666667</v>
      </c>
      <c r="N753" s="19">
        <f t="shared" si="13"/>
        <v>226.6666667</v>
      </c>
    </row>
    <row r="754" ht="24.75" customHeight="1">
      <c r="A754" s="21" t="s">
        <v>717</v>
      </c>
      <c r="B754" s="13" t="str">
        <f>IFERROR(__xludf.DUMMYFUNCTION("GOOGLEFINANCE(A754,""PRICE"")"),"#N/A")</f>
        <v>#N/A</v>
      </c>
      <c r="C754" s="14" t="str">
        <f>IFERROR(__xludf.DUMMYFUNCTION("GOOGLEFINANCE(A754,""PRICEOPEN"")"),"#N/A")</f>
        <v>#N/A</v>
      </c>
      <c r="D754" s="14" t="str">
        <f>IFERROR(__xludf.DUMMYFUNCTION("GOOGLEFINANCE(A754,""HIGH"")"),"#N/A")</f>
        <v>#N/A</v>
      </c>
      <c r="E754" s="14" t="str">
        <f>IFERROR(__xludf.DUMMYFUNCTION("GOOGLEFINANCE(A754,""LOW"")"),"#N/A")</f>
        <v>#N/A</v>
      </c>
      <c r="F754" s="15" t="str">
        <f t="shared" si="8"/>
        <v>#N/A</v>
      </c>
      <c r="G754" s="16" t="str">
        <f>IFERROR(__xludf.DUMMYFUNCTION("GOOGLEFINANCE(A754,""CLOSEYEST"")"),"#N/A")</f>
        <v>#N/A</v>
      </c>
      <c r="H754" s="17" t="str">
        <f t="shared" si="14"/>
        <v>#N/A</v>
      </c>
      <c r="I754" s="18" t="str">
        <f t="shared" si="9"/>
        <v>#N/A</v>
      </c>
      <c r="J754" s="19" t="str">
        <f t="shared" si="10"/>
        <v>#N/A</v>
      </c>
      <c r="K754" s="19"/>
      <c r="L754" s="19" t="str">
        <f t="shared" si="11"/>
        <v>#N/A</v>
      </c>
      <c r="M754" s="19" t="str">
        <f t="shared" si="12"/>
        <v>#N/A</v>
      </c>
      <c r="N754" s="19" t="str">
        <f t="shared" si="13"/>
        <v>#N/A</v>
      </c>
    </row>
    <row r="755" ht="24.75" customHeight="1">
      <c r="A755" s="21" t="s">
        <v>718</v>
      </c>
      <c r="B755" s="13">
        <f>IFERROR(__xludf.DUMMYFUNCTION("GOOGLEFINANCE(A755,""PRICE"")"),1224.4)</f>
        <v>1224.4</v>
      </c>
      <c r="C755" s="14">
        <f>IFERROR(__xludf.DUMMYFUNCTION("GOOGLEFINANCE(A755,""PRICEOPEN"")"),1230.1)</f>
        <v>1230.1</v>
      </c>
      <c r="D755" s="14">
        <f>IFERROR(__xludf.DUMMYFUNCTION("GOOGLEFINANCE(A755,""HIGH"")"),1237.7)</f>
        <v>1237.7</v>
      </c>
      <c r="E755" s="14">
        <f>IFERROR(__xludf.DUMMYFUNCTION("GOOGLEFINANCE(A755,""LOW"")"),1211.5)</f>
        <v>1211.5</v>
      </c>
      <c r="F755" s="15" t="str">
        <f t="shared" si="8"/>
        <v/>
      </c>
      <c r="G755" s="16">
        <f>IFERROR(__xludf.DUMMYFUNCTION("GOOGLEFINANCE(A755,""CLOSEYEST"")"),1244.0)</f>
        <v>1244</v>
      </c>
      <c r="H755" s="17" t="str">
        <f t="shared" si="14"/>
        <v>GAP DOWN</v>
      </c>
      <c r="I755" s="18">
        <f t="shared" si="9"/>
        <v>1231.066667</v>
      </c>
      <c r="J755" s="19">
        <f t="shared" si="10"/>
        <v>1250.633333</v>
      </c>
      <c r="K755" s="19"/>
      <c r="L755" s="19">
        <f t="shared" si="11"/>
        <v>1224.433333</v>
      </c>
      <c r="M755" s="19">
        <f t="shared" si="12"/>
        <v>1257.266667</v>
      </c>
      <c r="N755" s="19">
        <f t="shared" si="13"/>
        <v>1204.866667</v>
      </c>
    </row>
    <row r="756" ht="24.75" customHeight="1">
      <c r="A756" s="21" t="s">
        <v>719</v>
      </c>
      <c r="B756" s="13">
        <f>IFERROR(__xludf.DUMMYFUNCTION("GOOGLEFINANCE(A756,""PRICE"")"),1575.4)</f>
        <v>1575.4</v>
      </c>
      <c r="C756" s="14">
        <f>IFERROR(__xludf.DUMMYFUNCTION("GOOGLEFINANCE(A756,""PRICEOPEN"")"),1562.5)</f>
        <v>1562.5</v>
      </c>
      <c r="D756" s="14">
        <f>IFERROR(__xludf.DUMMYFUNCTION("GOOGLEFINANCE(A756,""HIGH"")"),1629.4)</f>
        <v>1629.4</v>
      </c>
      <c r="E756" s="14">
        <f>IFERROR(__xludf.DUMMYFUNCTION("GOOGLEFINANCE(A756,""LOW"")"),1562.1)</f>
        <v>1562.1</v>
      </c>
      <c r="F756" s="15" t="str">
        <f t="shared" si="8"/>
        <v/>
      </c>
      <c r="G756" s="16">
        <f>IFERROR(__xludf.DUMMYFUNCTION("GOOGLEFINANCE(A756,""CLOSEYEST"")"),1558.9)</f>
        <v>1558.9</v>
      </c>
      <c r="H756" s="17" t="str">
        <f t="shared" si="14"/>
        <v/>
      </c>
      <c r="I756" s="18">
        <f t="shared" si="9"/>
        <v>1583.466667</v>
      </c>
      <c r="J756" s="19">
        <f t="shared" si="10"/>
        <v>1604.833333</v>
      </c>
      <c r="K756" s="19"/>
      <c r="L756" s="19">
        <f t="shared" si="11"/>
        <v>1537.533333</v>
      </c>
      <c r="M756" s="19">
        <f t="shared" si="12"/>
        <v>1650.766667</v>
      </c>
      <c r="N756" s="19">
        <f t="shared" si="13"/>
        <v>1516.166667</v>
      </c>
    </row>
    <row r="757" ht="24.75" customHeight="1">
      <c r="A757" s="21" t="s">
        <v>720</v>
      </c>
      <c r="B757" s="13">
        <f>IFERROR(__xludf.DUMMYFUNCTION("GOOGLEFINANCE(A757,""PRICE"")"),778.65)</f>
        <v>778.65</v>
      </c>
      <c r="C757" s="14">
        <f>IFERROR(__xludf.DUMMYFUNCTION("GOOGLEFINANCE(A757,""PRICEOPEN"")"),778.0)</f>
        <v>778</v>
      </c>
      <c r="D757" s="14">
        <f>IFERROR(__xludf.DUMMYFUNCTION("GOOGLEFINANCE(A757,""HIGH"")"),794.0)</f>
        <v>794</v>
      </c>
      <c r="E757" s="14">
        <f>IFERROR(__xludf.DUMMYFUNCTION("GOOGLEFINANCE(A757,""LOW"")"),777.9)</f>
        <v>777.9</v>
      </c>
      <c r="F757" s="15" t="str">
        <f t="shared" si="8"/>
        <v/>
      </c>
      <c r="G757" s="16">
        <f>IFERROR(__xludf.DUMMYFUNCTION("GOOGLEFINANCE(A757,""CLOSEYEST"")"),778.7)</f>
        <v>778.7</v>
      </c>
      <c r="H757" s="17" t="str">
        <f t="shared" si="14"/>
        <v/>
      </c>
      <c r="I757" s="18">
        <f t="shared" si="9"/>
        <v>783.5333333</v>
      </c>
      <c r="J757" s="19">
        <f t="shared" si="10"/>
        <v>789.1666667</v>
      </c>
      <c r="K757" s="19"/>
      <c r="L757" s="19">
        <f t="shared" si="11"/>
        <v>773.0666667</v>
      </c>
      <c r="M757" s="19">
        <f t="shared" si="12"/>
        <v>799.6333333</v>
      </c>
      <c r="N757" s="19">
        <f t="shared" si="13"/>
        <v>767.4333333</v>
      </c>
    </row>
    <row r="758" ht="24.75" customHeight="1">
      <c r="A758" s="21" t="s">
        <v>721</v>
      </c>
      <c r="B758" s="13">
        <f>IFERROR(__xludf.DUMMYFUNCTION("GOOGLEFINANCE(A758,""PRICE"")"),586.0)</f>
        <v>586</v>
      </c>
      <c r="C758" s="14">
        <f>IFERROR(__xludf.DUMMYFUNCTION("GOOGLEFINANCE(A758,""PRICEOPEN"")"),586.85)</f>
        <v>586.85</v>
      </c>
      <c r="D758" s="14">
        <f>IFERROR(__xludf.DUMMYFUNCTION("GOOGLEFINANCE(A758,""HIGH"")"),591.6)</f>
        <v>591.6</v>
      </c>
      <c r="E758" s="14">
        <f>IFERROR(__xludf.DUMMYFUNCTION("GOOGLEFINANCE(A758,""LOW"")"),578.0)</f>
        <v>578</v>
      </c>
      <c r="F758" s="15" t="str">
        <f t="shared" si="8"/>
        <v/>
      </c>
      <c r="G758" s="16">
        <f>IFERROR(__xludf.DUMMYFUNCTION("GOOGLEFINANCE(A758,""CLOSEYEST"")"),586.85)</f>
        <v>586.85</v>
      </c>
      <c r="H758" s="17" t="str">
        <f t="shared" si="14"/>
        <v/>
      </c>
      <c r="I758" s="18">
        <f t="shared" si="9"/>
        <v>585.4833333</v>
      </c>
      <c r="J758" s="19">
        <f t="shared" si="10"/>
        <v>592.9666667</v>
      </c>
      <c r="K758" s="19"/>
      <c r="L758" s="19">
        <f t="shared" si="11"/>
        <v>579.3666667</v>
      </c>
      <c r="M758" s="19">
        <f t="shared" si="12"/>
        <v>599.0833333</v>
      </c>
      <c r="N758" s="19">
        <f t="shared" si="13"/>
        <v>571.8833333</v>
      </c>
    </row>
    <row r="759" ht="24.75" customHeight="1">
      <c r="A759" s="21" t="s">
        <v>722</v>
      </c>
      <c r="B759" s="13">
        <f>IFERROR(__xludf.DUMMYFUNCTION("GOOGLEFINANCE(A759,""PRICE"")"),330.55)</f>
        <v>330.55</v>
      </c>
      <c r="C759" s="14">
        <f>IFERROR(__xludf.DUMMYFUNCTION("GOOGLEFINANCE(A759,""PRICEOPEN"")"),333.15)</f>
        <v>333.15</v>
      </c>
      <c r="D759" s="14">
        <f>IFERROR(__xludf.DUMMYFUNCTION("GOOGLEFINANCE(A759,""HIGH"")"),334.25)</f>
        <v>334.25</v>
      </c>
      <c r="E759" s="14">
        <f>IFERROR(__xludf.DUMMYFUNCTION("GOOGLEFINANCE(A759,""LOW"")"),328.5)</f>
        <v>328.5</v>
      </c>
      <c r="F759" s="15" t="str">
        <f t="shared" si="8"/>
        <v/>
      </c>
      <c r="G759" s="16">
        <f>IFERROR(__xludf.DUMMYFUNCTION("GOOGLEFINANCE(A759,""CLOSEYEST"")"),331.15)</f>
        <v>331.15</v>
      </c>
      <c r="H759" s="17" t="str">
        <f t="shared" si="14"/>
        <v/>
      </c>
      <c r="I759" s="18">
        <f t="shared" si="9"/>
        <v>331.3</v>
      </c>
      <c r="J759" s="19">
        <f t="shared" si="10"/>
        <v>334.1</v>
      </c>
      <c r="K759" s="19"/>
      <c r="L759" s="19">
        <f t="shared" si="11"/>
        <v>328.35</v>
      </c>
      <c r="M759" s="19">
        <f t="shared" si="12"/>
        <v>337.05</v>
      </c>
      <c r="N759" s="19">
        <f t="shared" si="13"/>
        <v>325.55</v>
      </c>
    </row>
    <row r="760" ht="24.75" customHeight="1">
      <c r="A760" s="21" t="s">
        <v>723</v>
      </c>
      <c r="B760" s="13">
        <f>IFERROR(__xludf.DUMMYFUNCTION("GOOGLEFINANCE(A760,""PRICE"")"),1828.6)</f>
        <v>1828.6</v>
      </c>
      <c r="C760" s="14">
        <f>IFERROR(__xludf.DUMMYFUNCTION("GOOGLEFINANCE(A760,""PRICEOPEN"")"),1900.0)</f>
        <v>1900</v>
      </c>
      <c r="D760" s="14">
        <f>IFERROR(__xludf.DUMMYFUNCTION("GOOGLEFINANCE(A760,""HIGH"")"),1900.0)</f>
        <v>1900</v>
      </c>
      <c r="E760" s="14">
        <f>IFERROR(__xludf.DUMMYFUNCTION("GOOGLEFINANCE(A760,""LOW"")"),1820.0)</f>
        <v>1820</v>
      </c>
      <c r="F760" s="15" t="str">
        <f t="shared" si="8"/>
        <v>SELL</v>
      </c>
      <c r="G760" s="16">
        <f>IFERROR(__xludf.DUMMYFUNCTION("GOOGLEFINANCE(A760,""CLOSEYEST"")"),1875.1)</f>
        <v>1875.1</v>
      </c>
      <c r="H760" s="17" t="str">
        <f t="shared" si="14"/>
        <v>GAP UP</v>
      </c>
      <c r="I760" s="18">
        <f t="shared" si="9"/>
        <v>1865.033333</v>
      </c>
      <c r="J760" s="19">
        <f t="shared" si="10"/>
        <v>1910.066667</v>
      </c>
      <c r="K760" s="19"/>
      <c r="L760" s="19">
        <f t="shared" si="11"/>
        <v>1830.066667</v>
      </c>
      <c r="M760" s="19">
        <f t="shared" si="12"/>
        <v>1945.033333</v>
      </c>
      <c r="N760" s="19">
        <f t="shared" si="13"/>
        <v>1785.033333</v>
      </c>
    </row>
    <row r="761" ht="24.75" customHeight="1">
      <c r="A761" s="21" t="s">
        <v>724</v>
      </c>
      <c r="B761" s="13">
        <f>IFERROR(__xludf.DUMMYFUNCTION("GOOGLEFINANCE(A761,""PRICE"")"),195.0)</f>
        <v>195</v>
      </c>
      <c r="C761" s="14">
        <f>IFERROR(__xludf.DUMMYFUNCTION("GOOGLEFINANCE(A761,""PRICEOPEN"")"),192.49)</f>
        <v>192.49</v>
      </c>
      <c r="D761" s="14">
        <f>IFERROR(__xludf.DUMMYFUNCTION("GOOGLEFINANCE(A761,""HIGH"")"),196.27)</f>
        <v>196.27</v>
      </c>
      <c r="E761" s="14">
        <f>IFERROR(__xludf.DUMMYFUNCTION("GOOGLEFINANCE(A761,""LOW"")"),187.76)</f>
        <v>187.76</v>
      </c>
      <c r="F761" s="15" t="str">
        <f t="shared" si="8"/>
        <v/>
      </c>
      <c r="G761" s="16">
        <f>IFERROR(__xludf.DUMMYFUNCTION("GOOGLEFINANCE(A761,""CLOSEYEST"")"),190.38)</f>
        <v>190.38</v>
      </c>
      <c r="H761" s="17" t="str">
        <f t="shared" si="14"/>
        <v>GAP UP</v>
      </c>
      <c r="I761" s="18">
        <f t="shared" si="9"/>
        <v>191.47</v>
      </c>
      <c r="J761" s="19">
        <f t="shared" si="10"/>
        <v>195.18</v>
      </c>
      <c r="K761" s="19"/>
      <c r="L761" s="19">
        <f t="shared" si="11"/>
        <v>186.67</v>
      </c>
      <c r="M761" s="19">
        <f t="shared" si="12"/>
        <v>199.98</v>
      </c>
      <c r="N761" s="19">
        <f t="shared" si="13"/>
        <v>182.96</v>
      </c>
    </row>
    <row r="762" ht="24.75" customHeight="1">
      <c r="A762" s="21" t="s">
        <v>725</v>
      </c>
      <c r="B762" s="13">
        <f>IFERROR(__xludf.DUMMYFUNCTION("GOOGLEFINANCE(A762,""PRICE"")"),13.32)</f>
        <v>13.32</v>
      </c>
      <c r="C762" s="14">
        <f>IFERROR(__xludf.DUMMYFUNCTION("GOOGLEFINANCE(A762,""PRICEOPEN"")"),13.1)</f>
        <v>13.1</v>
      </c>
      <c r="D762" s="14">
        <f>IFERROR(__xludf.DUMMYFUNCTION("GOOGLEFINANCE(A762,""HIGH"")"),13.35)</f>
        <v>13.35</v>
      </c>
      <c r="E762" s="14">
        <f>IFERROR(__xludf.DUMMYFUNCTION("GOOGLEFINANCE(A762,""LOW"")"),13.05)</f>
        <v>13.05</v>
      </c>
      <c r="F762" s="15" t="str">
        <f t="shared" si="8"/>
        <v/>
      </c>
      <c r="G762" s="16">
        <f>IFERROR(__xludf.DUMMYFUNCTION("GOOGLEFINANCE(A762,""CLOSEYEST"")"),13.18)</f>
        <v>13.18</v>
      </c>
      <c r="H762" s="17" t="str">
        <f t="shared" si="14"/>
        <v/>
      </c>
      <c r="I762" s="18">
        <f t="shared" si="9"/>
        <v>13.19333333</v>
      </c>
      <c r="J762" s="19">
        <f t="shared" si="10"/>
        <v>13.33666667</v>
      </c>
      <c r="K762" s="19"/>
      <c r="L762" s="19">
        <f t="shared" si="11"/>
        <v>13.03666667</v>
      </c>
      <c r="M762" s="19">
        <f t="shared" si="12"/>
        <v>13.49333333</v>
      </c>
      <c r="N762" s="19">
        <f t="shared" si="13"/>
        <v>12.89333333</v>
      </c>
    </row>
    <row r="763" ht="24.75" customHeight="1">
      <c r="A763" s="21" t="s">
        <v>726</v>
      </c>
      <c r="B763" s="13">
        <f>IFERROR(__xludf.DUMMYFUNCTION("GOOGLEFINANCE(A763,""PRICE"")"),692.95)</f>
        <v>692.95</v>
      </c>
      <c r="C763" s="14">
        <f>IFERROR(__xludf.DUMMYFUNCTION("GOOGLEFINANCE(A763,""PRICEOPEN"")"),650.8)</f>
        <v>650.8</v>
      </c>
      <c r="D763" s="14">
        <f>IFERROR(__xludf.DUMMYFUNCTION("GOOGLEFINANCE(A763,""HIGH"")"),699.6)</f>
        <v>699.6</v>
      </c>
      <c r="E763" s="14">
        <f>IFERROR(__xludf.DUMMYFUNCTION("GOOGLEFINANCE(A763,""LOW"")"),650.8)</f>
        <v>650.8</v>
      </c>
      <c r="F763" s="15" t="str">
        <f t="shared" si="8"/>
        <v>BUY</v>
      </c>
      <c r="G763" s="16">
        <f>IFERROR(__xludf.DUMMYFUNCTION("GOOGLEFINANCE(A763,""CLOSEYEST"")"),651.45)</f>
        <v>651.45</v>
      </c>
      <c r="H763" s="17" t="str">
        <f t="shared" si="14"/>
        <v/>
      </c>
      <c r="I763" s="18">
        <f t="shared" si="9"/>
        <v>667.2833333</v>
      </c>
      <c r="J763" s="19">
        <f t="shared" si="10"/>
        <v>683.7666667</v>
      </c>
      <c r="K763" s="19"/>
      <c r="L763" s="19">
        <f t="shared" si="11"/>
        <v>634.9666667</v>
      </c>
      <c r="M763" s="19">
        <f t="shared" si="12"/>
        <v>716.0833333</v>
      </c>
      <c r="N763" s="19">
        <f t="shared" si="13"/>
        <v>618.4833333</v>
      </c>
    </row>
    <row r="764" ht="24.75" customHeight="1">
      <c r="A764" s="21" t="s">
        <v>727</v>
      </c>
      <c r="B764" s="13">
        <f>IFERROR(__xludf.DUMMYFUNCTION("GOOGLEFINANCE(A764,""PRICE"")"),5610.0)</f>
        <v>5610</v>
      </c>
      <c r="C764" s="14">
        <f>IFERROR(__xludf.DUMMYFUNCTION("GOOGLEFINANCE(A764,""PRICEOPEN"")"),5405.0)</f>
        <v>5405</v>
      </c>
      <c r="D764" s="14">
        <f>IFERROR(__xludf.DUMMYFUNCTION("GOOGLEFINANCE(A764,""HIGH"")"),5666.0)</f>
        <v>5666</v>
      </c>
      <c r="E764" s="14">
        <f>IFERROR(__xludf.DUMMYFUNCTION("GOOGLEFINANCE(A764,""LOW"")"),5381.0)</f>
        <v>5381</v>
      </c>
      <c r="F764" s="15" t="str">
        <f t="shared" si="8"/>
        <v/>
      </c>
      <c r="G764" s="16">
        <f>IFERROR(__xludf.DUMMYFUNCTION("GOOGLEFINANCE(A764,""CLOSEYEST"")"),5405.0)</f>
        <v>5405</v>
      </c>
      <c r="H764" s="17" t="str">
        <f t="shared" si="14"/>
        <v/>
      </c>
      <c r="I764" s="18">
        <f t="shared" si="9"/>
        <v>5484</v>
      </c>
      <c r="J764" s="19">
        <f t="shared" si="10"/>
        <v>5587</v>
      </c>
      <c r="K764" s="19"/>
      <c r="L764" s="19">
        <f t="shared" si="11"/>
        <v>5302</v>
      </c>
      <c r="M764" s="19">
        <f t="shared" si="12"/>
        <v>5769</v>
      </c>
      <c r="N764" s="19">
        <f t="shared" si="13"/>
        <v>5199</v>
      </c>
    </row>
    <row r="765" ht="24.75" customHeight="1">
      <c r="A765" s="21" t="s">
        <v>728</v>
      </c>
      <c r="B765" s="13">
        <f>IFERROR(__xludf.DUMMYFUNCTION("GOOGLEFINANCE(A765,""PRICE"")"),745.0)</f>
        <v>745</v>
      </c>
      <c r="C765" s="14">
        <f>IFERROR(__xludf.DUMMYFUNCTION("GOOGLEFINANCE(A765,""PRICEOPEN"")"),718.8)</f>
        <v>718.8</v>
      </c>
      <c r="D765" s="14">
        <f>IFERROR(__xludf.DUMMYFUNCTION("GOOGLEFINANCE(A765,""HIGH"")"),748.95)</f>
        <v>748.95</v>
      </c>
      <c r="E765" s="14">
        <f>IFERROR(__xludf.DUMMYFUNCTION("GOOGLEFINANCE(A765,""LOW"")"),716.1)</f>
        <v>716.1</v>
      </c>
      <c r="F765" s="15" t="str">
        <f t="shared" si="8"/>
        <v/>
      </c>
      <c r="G765" s="16">
        <f>IFERROR(__xludf.DUMMYFUNCTION("GOOGLEFINANCE(A765,""CLOSEYEST"")"),712.45)</f>
        <v>712.45</v>
      </c>
      <c r="H765" s="17" t="str">
        <f t="shared" si="14"/>
        <v/>
      </c>
      <c r="I765" s="18">
        <f t="shared" si="9"/>
        <v>725.8333333</v>
      </c>
      <c r="J765" s="19">
        <f t="shared" si="10"/>
        <v>735.5666667</v>
      </c>
      <c r="K765" s="19"/>
      <c r="L765" s="19">
        <f t="shared" si="11"/>
        <v>702.7166667</v>
      </c>
      <c r="M765" s="19">
        <f t="shared" si="12"/>
        <v>758.6833333</v>
      </c>
      <c r="N765" s="19">
        <f t="shared" si="13"/>
        <v>692.9833333</v>
      </c>
    </row>
    <row r="766" ht="24.75" customHeight="1">
      <c r="A766" s="21" t="s">
        <v>729</v>
      </c>
      <c r="B766" s="13">
        <f>IFERROR(__xludf.DUMMYFUNCTION("GOOGLEFINANCE(A766,""PRICE"")"),43.53)</f>
        <v>43.53</v>
      </c>
      <c r="C766" s="14">
        <f>IFERROR(__xludf.DUMMYFUNCTION("GOOGLEFINANCE(A766,""PRICEOPEN"")"),43.25)</f>
        <v>43.25</v>
      </c>
      <c r="D766" s="14">
        <f>IFERROR(__xludf.DUMMYFUNCTION("GOOGLEFINANCE(A766,""HIGH"")"),43.7)</f>
        <v>43.7</v>
      </c>
      <c r="E766" s="14">
        <f>IFERROR(__xludf.DUMMYFUNCTION("GOOGLEFINANCE(A766,""LOW"")"),43.21)</f>
        <v>43.21</v>
      </c>
      <c r="F766" s="15" t="str">
        <f t="shared" si="8"/>
        <v/>
      </c>
      <c r="G766" s="16">
        <f>IFERROR(__xludf.DUMMYFUNCTION("GOOGLEFINANCE(A766,""CLOSEYEST"")"),43.08)</f>
        <v>43.08</v>
      </c>
      <c r="H766" s="17" t="str">
        <f t="shared" si="14"/>
        <v/>
      </c>
      <c r="I766" s="18">
        <f t="shared" si="9"/>
        <v>43.33</v>
      </c>
      <c r="J766" s="19">
        <f t="shared" si="10"/>
        <v>43.45</v>
      </c>
      <c r="K766" s="19"/>
      <c r="L766" s="19">
        <f t="shared" si="11"/>
        <v>42.96</v>
      </c>
      <c r="M766" s="19">
        <f t="shared" si="12"/>
        <v>43.82</v>
      </c>
      <c r="N766" s="19">
        <f t="shared" si="13"/>
        <v>42.84</v>
      </c>
    </row>
    <row r="767" ht="24.75" customHeight="1">
      <c r="A767" s="21" t="s">
        <v>730</v>
      </c>
      <c r="B767" s="13">
        <f>IFERROR(__xludf.DUMMYFUNCTION("GOOGLEFINANCE(A767,""PRICE"")"),1414.9)</f>
        <v>1414.9</v>
      </c>
      <c r="C767" s="14">
        <f>IFERROR(__xludf.DUMMYFUNCTION("GOOGLEFINANCE(A767,""PRICEOPEN"")"),1397.0)</f>
        <v>1397</v>
      </c>
      <c r="D767" s="14">
        <f>IFERROR(__xludf.DUMMYFUNCTION("GOOGLEFINANCE(A767,""HIGH"")"),1416.8)</f>
        <v>1416.8</v>
      </c>
      <c r="E767" s="14">
        <f>IFERROR(__xludf.DUMMYFUNCTION("GOOGLEFINANCE(A767,""LOW"")"),1382.3)</f>
        <v>1382.3</v>
      </c>
      <c r="F767" s="15" t="str">
        <f t="shared" si="8"/>
        <v/>
      </c>
      <c r="G767" s="16">
        <f>IFERROR(__xludf.DUMMYFUNCTION("GOOGLEFINANCE(A767,""CLOSEYEST"")"),1380.3)</f>
        <v>1380.3</v>
      </c>
      <c r="H767" s="17" t="str">
        <f t="shared" si="14"/>
        <v>GAP UP</v>
      </c>
      <c r="I767" s="18">
        <f t="shared" si="9"/>
        <v>1393.133333</v>
      </c>
      <c r="J767" s="19">
        <f t="shared" si="10"/>
        <v>1403.966667</v>
      </c>
      <c r="K767" s="19"/>
      <c r="L767" s="19">
        <f t="shared" si="11"/>
        <v>1369.466667</v>
      </c>
      <c r="M767" s="19">
        <f t="shared" si="12"/>
        <v>1427.633333</v>
      </c>
      <c r="N767" s="19">
        <f t="shared" si="13"/>
        <v>1358.633333</v>
      </c>
    </row>
    <row r="768" ht="24.75" customHeight="1">
      <c r="A768" s="21" t="s">
        <v>731</v>
      </c>
      <c r="B768" s="13">
        <f>IFERROR(__xludf.DUMMYFUNCTION("GOOGLEFINANCE(A768,""PRICE"")"),65.9)</f>
        <v>65.9</v>
      </c>
      <c r="C768" s="14">
        <f>IFERROR(__xludf.DUMMYFUNCTION("GOOGLEFINANCE(A768,""PRICEOPEN"")"),66.23)</f>
        <v>66.23</v>
      </c>
      <c r="D768" s="14">
        <f>IFERROR(__xludf.DUMMYFUNCTION("GOOGLEFINANCE(A768,""HIGH"")"),66.36)</f>
        <v>66.36</v>
      </c>
      <c r="E768" s="14">
        <f>IFERROR(__xludf.DUMMYFUNCTION("GOOGLEFINANCE(A768,""LOW"")"),64.83)</f>
        <v>64.83</v>
      </c>
      <c r="F768" s="15" t="str">
        <f t="shared" si="8"/>
        <v/>
      </c>
      <c r="G768" s="16">
        <f>IFERROR(__xludf.DUMMYFUNCTION("GOOGLEFINANCE(A768,""CLOSEYEST"")"),64.94)</f>
        <v>64.94</v>
      </c>
      <c r="H768" s="17" t="str">
        <f t="shared" si="14"/>
        <v>GAP UP</v>
      </c>
      <c r="I768" s="18">
        <f t="shared" si="9"/>
        <v>65.37666667</v>
      </c>
      <c r="J768" s="19">
        <f t="shared" si="10"/>
        <v>65.92333333</v>
      </c>
      <c r="K768" s="19"/>
      <c r="L768" s="19">
        <f t="shared" si="11"/>
        <v>64.39333333</v>
      </c>
      <c r="M768" s="19">
        <f t="shared" si="12"/>
        <v>66.90666667</v>
      </c>
      <c r="N768" s="19">
        <f t="shared" si="13"/>
        <v>63.84666667</v>
      </c>
    </row>
    <row r="769" ht="24.75" customHeight="1">
      <c r="A769" s="21" t="s">
        <v>732</v>
      </c>
      <c r="B769" s="13">
        <f>IFERROR(__xludf.DUMMYFUNCTION("GOOGLEFINANCE(A769,""PRICE"")"),45.9)</f>
        <v>45.9</v>
      </c>
      <c r="C769" s="14">
        <f>IFERROR(__xludf.DUMMYFUNCTION("GOOGLEFINANCE(A769,""PRICEOPEN"")"),45.9)</f>
        <v>45.9</v>
      </c>
      <c r="D769" s="14">
        <f>IFERROR(__xludf.DUMMYFUNCTION("GOOGLEFINANCE(A769,""HIGH"")"),46.1)</f>
        <v>46.1</v>
      </c>
      <c r="E769" s="14">
        <f>IFERROR(__xludf.DUMMYFUNCTION("GOOGLEFINANCE(A769,""LOW"")"),45.58)</f>
        <v>45.58</v>
      </c>
      <c r="F769" s="15" t="str">
        <f t="shared" si="8"/>
        <v/>
      </c>
      <c r="G769" s="16">
        <f>IFERROR(__xludf.DUMMYFUNCTION("GOOGLEFINANCE(A769,""CLOSEYEST"")"),45.68)</f>
        <v>45.68</v>
      </c>
      <c r="H769" s="17" t="str">
        <f t="shared" si="14"/>
        <v/>
      </c>
      <c r="I769" s="18">
        <f t="shared" si="9"/>
        <v>45.78666667</v>
      </c>
      <c r="J769" s="19">
        <f t="shared" si="10"/>
        <v>45.99333333</v>
      </c>
      <c r="K769" s="19"/>
      <c r="L769" s="19">
        <f t="shared" si="11"/>
        <v>45.47333333</v>
      </c>
      <c r="M769" s="19">
        <f t="shared" si="12"/>
        <v>46.30666667</v>
      </c>
      <c r="N769" s="19">
        <f t="shared" si="13"/>
        <v>45.26666667</v>
      </c>
    </row>
    <row r="770" ht="24.75" customHeight="1">
      <c r="A770" s="21" t="s">
        <v>733</v>
      </c>
      <c r="B770" s="13">
        <f>IFERROR(__xludf.DUMMYFUNCTION("GOOGLEFINANCE(A770,""PRICE"")"),889.8)</f>
        <v>889.8</v>
      </c>
      <c r="C770" s="14">
        <f>IFERROR(__xludf.DUMMYFUNCTION("GOOGLEFINANCE(A770,""PRICEOPEN"")"),854.45)</f>
        <v>854.45</v>
      </c>
      <c r="D770" s="14">
        <f>IFERROR(__xludf.DUMMYFUNCTION("GOOGLEFINANCE(A770,""HIGH"")"),892.35)</f>
        <v>892.35</v>
      </c>
      <c r="E770" s="14">
        <f>IFERROR(__xludf.DUMMYFUNCTION("GOOGLEFINANCE(A770,""LOW"")"),850.95)</f>
        <v>850.95</v>
      </c>
      <c r="F770" s="15" t="str">
        <f t="shared" si="8"/>
        <v/>
      </c>
      <c r="G770" s="16">
        <f>IFERROR(__xludf.DUMMYFUNCTION("GOOGLEFINANCE(A770,""CLOSEYEST"")"),854.45)</f>
        <v>854.45</v>
      </c>
      <c r="H770" s="17" t="str">
        <f t="shared" si="14"/>
        <v/>
      </c>
      <c r="I770" s="18">
        <f t="shared" si="9"/>
        <v>865.9166667</v>
      </c>
      <c r="J770" s="19">
        <f t="shared" si="10"/>
        <v>880.8833333</v>
      </c>
      <c r="K770" s="19"/>
      <c r="L770" s="19">
        <f t="shared" si="11"/>
        <v>839.4833333</v>
      </c>
      <c r="M770" s="19">
        <f t="shared" si="12"/>
        <v>907.3166667</v>
      </c>
      <c r="N770" s="19">
        <f t="shared" si="13"/>
        <v>824.5166667</v>
      </c>
    </row>
    <row r="771" ht="24.75" customHeight="1">
      <c r="A771" s="21" t="s">
        <v>734</v>
      </c>
      <c r="B771" s="13">
        <f>IFERROR(__xludf.DUMMYFUNCTION("GOOGLEFINANCE(A771,""PRICE"")"),10.41)</f>
        <v>10.41</v>
      </c>
      <c r="C771" s="14">
        <f>IFERROR(__xludf.DUMMYFUNCTION("GOOGLEFINANCE(A771,""PRICEOPEN"")"),10.2)</f>
        <v>10.2</v>
      </c>
      <c r="D771" s="14">
        <f>IFERROR(__xludf.DUMMYFUNCTION("GOOGLEFINANCE(A771,""HIGH"")"),10.54)</f>
        <v>10.54</v>
      </c>
      <c r="E771" s="14">
        <f>IFERROR(__xludf.DUMMYFUNCTION("GOOGLEFINANCE(A771,""LOW"")"),10.15)</f>
        <v>10.15</v>
      </c>
      <c r="F771" s="15" t="str">
        <f t="shared" si="8"/>
        <v/>
      </c>
      <c r="G771" s="16">
        <f>IFERROR(__xludf.DUMMYFUNCTION("GOOGLEFINANCE(A771,""CLOSEYEST"")"),10.27)</f>
        <v>10.27</v>
      </c>
      <c r="H771" s="17" t="str">
        <f t="shared" si="14"/>
        <v/>
      </c>
      <c r="I771" s="18">
        <f t="shared" si="9"/>
        <v>10.32</v>
      </c>
      <c r="J771" s="19">
        <f t="shared" si="10"/>
        <v>10.49</v>
      </c>
      <c r="K771" s="19"/>
      <c r="L771" s="19">
        <f t="shared" si="11"/>
        <v>10.1</v>
      </c>
      <c r="M771" s="19">
        <f t="shared" si="12"/>
        <v>10.71</v>
      </c>
      <c r="N771" s="19">
        <f t="shared" si="13"/>
        <v>9.93</v>
      </c>
    </row>
    <row r="772" ht="24.75" customHeight="1">
      <c r="A772" s="21" t="s">
        <v>735</v>
      </c>
      <c r="B772" s="13">
        <f>IFERROR(__xludf.DUMMYFUNCTION("GOOGLEFINANCE(A772,""PRICE"")"),17.5)</f>
        <v>17.5</v>
      </c>
      <c r="C772" s="14">
        <f>IFERROR(__xludf.DUMMYFUNCTION("GOOGLEFINANCE(A772,""PRICEOPEN"")"),17.5)</f>
        <v>17.5</v>
      </c>
      <c r="D772" s="14">
        <f>IFERROR(__xludf.DUMMYFUNCTION("GOOGLEFINANCE(A772,""HIGH"")"),17.5)</f>
        <v>17.5</v>
      </c>
      <c r="E772" s="14">
        <f>IFERROR(__xludf.DUMMYFUNCTION("GOOGLEFINANCE(A772,""LOW"")"),17.5)</f>
        <v>17.5</v>
      </c>
      <c r="F772" s="15" t="str">
        <f t="shared" si="8"/>
        <v>SELL</v>
      </c>
      <c r="G772" s="16">
        <f>IFERROR(__xludf.DUMMYFUNCTION("GOOGLEFINANCE(A772,""CLOSEYEST"")"),17.7)</f>
        <v>17.7</v>
      </c>
      <c r="H772" s="17" t="str">
        <f t="shared" si="14"/>
        <v>GAP DOWN</v>
      </c>
      <c r="I772" s="18">
        <f t="shared" si="9"/>
        <v>17.56666667</v>
      </c>
      <c r="J772" s="19">
        <f t="shared" si="10"/>
        <v>17.63333333</v>
      </c>
      <c r="K772" s="19"/>
      <c r="L772" s="19">
        <f t="shared" si="11"/>
        <v>17.63333333</v>
      </c>
      <c r="M772" s="19">
        <f t="shared" si="12"/>
        <v>17.56666667</v>
      </c>
      <c r="N772" s="19">
        <f t="shared" si="13"/>
        <v>17.56666667</v>
      </c>
    </row>
    <row r="773" ht="24.75" customHeight="1">
      <c r="A773" s="21" t="s">
        <v>736</v>
      </c>
      <c r="B773" s="13">
        <f>IFERROR(__xludf.DUMMYFUNCTION("GOOGLEFINANCE(A773,""PRICE"")"),20.69)</f>
        <v>20.69</v>
      </c>
      <c r="C773" s="14">
        <f>IFERROR(__xludf.DUMMYFUNCTION("GOOGLEFINANCE(A773,""PRICEOPEN"")"),20.26)</f>
        <v>20.26</v>
      </c>
      <c r="D773" s="14">
        <f>IFERROR(__xludf.DUMMYFUNCTION("GOOGLEFINANCE(A773,""HIGH"")"),20.79)</f>
        <v>20.79</v>
      </c>
      <c r="E773" s="14">
        <f>IFERROR(__xludf.DUMMYFUNCTION("GOOGLEFINANCE(A773,""LOW"")"),20.26)</f>
        <v>20.26</v>
      </c>
      <c r="F773" s="15" t="str">
        <f t="shared" si="8"/>
        <v>BUY</v>
      </c>
      <c r="G773" s="16">
        <f>IFERROR(__xludf.DUMMYFUNCTION("GOOGLEFINANCE(A773,""CLOSEYEST"")"),20.23)</f>
        <v>20.23</v>
      </c>
      <c r="H773" s="17" t="str">
        <f t="shared" si="14"/>
        <v/>
      </c>
      <c r="I773" s="18">
        <f t="shared" si="9"/>
        <v>20.42666667</v>
      </c>
      <c r="J773" s="19">
        <f t="shared" si="10"/>
        <v>20.59333333</v>
      </c>
      <c r="K773" s="19"/>
      <c r="L773" s="19">
        <f t="shared" si="11"/>
        <v>20.06333333</v>
      </c>
      <c r="M773" s="19">
        <f t="shared" si="12"/>
        <v>20.95666667</v>
      </c>
      <c r="N773" s="19">
        <f t="shared" si="13"/>
        <v>19.89666667</v>
      </c>
    </row>
    <row r="774" ht="24.75" customHeight="1">
      <c r="A774" s="21" t="s">
        <v>737</v>
      </c>
      <c r="B774" s="13">
        <f>IFERROR(__xludf.DUMMYFUNCTION("GOOGLEFINANCE(A774,""PRICE"")"),2168.4)</f>
        <v>2168.4</v>
      </c>
      <c r="C774" s="14">
        <f>IFERROR(__xludf.DUMMYFUNCTION("GOOGLEFINANCE(A774,""PRICEOPEN"")"),2210.0)</f>
        <v>2210</v>
      </c>
      <c r="D774" s="14">
        <f>IFERROR(__xludf.DUMMYFUNCTION("GOOGLEFINANCE(A774,""HIGH"")"),2210.0)</f>
        <v>2210</v>
      </c>
      <c r="E774" s="14">
        <f>IFERROR(__xludf.DUMMYFUNCTION("GOOGLEFINANCE(A774,""LOW"")"),2158.0)</f>
        <v>2158</v>
      </c>
      <c r="F774" s="15" t="str">
        <f t="shared" si="8"/>
        <v>SELL</v>
      </c>
      <c r="G774" s="16">
        <f>IFERROR(__xludf.DUMMYFUNCTION("GOOGLEFINANCE(A774,""CLOSEYEST"")"),2183.2)</f>
        <v>2183.2</v>
      </c>
      <c r="H774" s="17" t="str">
        <f t="shared" si="14"/>
        <v>GAP UP</v>
      </c>
      <c r="I774" s="18">
        <f t="shared" si="9"/>
        <v>2183.733333</v>
      </c>
      <c r="J774" s="19">
        <f t="shared" si="10"/>
        <v>2209.466667</v>
      </c>
      <c r="K774" s="19"/>
      <c r="L774" s="19">
        <f t="shared" si="11"/>
        <v>2157.466667</v>
      </c>
      <c r="M774" s="19">
        <f t="shared" si="12"/>
        <v>2235.733333</v>
      </c>
      <c r="N774" s="19">
        <f t="shared" si="13"/>
        <v>2131.733333</v>
      </c>
    </row>
    <row r="775" ht="24.75" customHeight="1">
      <c r="A775" s="21" t="s">
        <v>738</v>
      </c>
      <c r="B775" s="13">
        <f>IFERROR(__xludf.DUMMYFUNCTION("GOOGLEFINANCE(A775,""PRICE"")"),451.05)</f>
        <v>451.05</v>
      </c>
      <c r="C775" s="14">
        <f>IFERROR(__xludf.DUMMYFUNCTION("GOOGLEFINANCE(A775,""PRICEOPEN"")"),449.35)</f>
        <v>449.35</v>
      </c>
      <c r="D775" s="14">
        <f>IFERROR(__xludf.DUMMYFUNCTION("GOOGLEFINANCE(A775,""HIGH"")"),454.65)</f>
        <v>454.65</v>
      </c>
      <c r="E775" s="14">
        <f>IFERROR(__xludf.DUMMYFUNCTION("GOOGLEFINANCE(A775,""LOW"")"),448.25)</f>
        <v>448.25</v>
      </c>
      <c r="F775" s="15" t="str">
        <f t="shared" si="8"/>
        <v/>
      </c>
      <c r="G775" s="16">
        <f>IFERROR(__xludf.DUMMYFUNCTION("GOOGLEFINANCE(A775,""CLOSEYEST"")"),448.25)</f>
        <v>448.25</v>
      </c>
      <c r="H775" s="17" t="str">
        <f t="shared" si="14"/>
        <v/>
      </c>
      <c r="I775" s="18">
        <f t="shared" si="9"/>
        <v>450.3833333</v>
      </c>
      <c r="J775" s="19">
        <f t="shared" si="10"/>
        <v>452.5166667</v>
      </c>
      <c r="K775" s="19"/>
      <c r="L775" s="19">
        <f t="shared" si="11"/>
        <v>446.1166667</v>
      </c>
      <c r="M775" s="19">
        <f t="shared" si="12"/>
        <v>456.7833333</v>
      </c>
      <c r="N775" s="19">
        <f t="shared" si="13"/>
        <v>443.9833333</v>
      </c>
    </row>
    <row r="776" ht="24.75" customHeight="1">
      <c r="A776" s="21" t="s">
        <v>739</v>
      </c>
      <c r="B776" s="13">
        <f>IFERROR(__xludf.DUMMYFUNCTION("GOOGLEFINANCE(A776,""PRICE"")"),1409.0)</f>
        <v>1409</v>
      </c>
      <c r="C776" s="14">
        <f>IFERROR(__xludf.DUMMYFUNCTION("GOOGLEFINANCE(A776,""PRICEOPEN"")"),1440.0)</f>
        <v>1440</v>
      </c>
      <c r="D776" s="14">
        <f>IFERROR(__xludf.DUMMYFUNCTION("GOOGLEFINANCE(A776,""HIGH"")"),1440.9)</f>
        <v>1440.9</v>
      </c>
      <c r="E776" s="14">
        <f>IFERROR(__xludf.DUMMYFUNCTION("GOOGLEFINANCE(A776,""LOW"")"),1403.0)</f>
        <v>1403</v>
      </c>
      <c r="F776" s="15" t="str">
        <f t="shared" si="8"/>
        <v/>
      </c>
      <c r="G776" s="16">
        <f>IFERROR(__xludf.DUMMYFUNCTION("GOOGLEFINANCE(A776,""CLOSEYEST"")"),1431.6)</f>
        <v>1431.6</v>
      </c>
      <c r="H776" s="17" t="str">
        <f t="shared" si="14"/>
        <v/>
      </c>
      <c r="I776" s="18">
        <f t="shared" si="9"/>
        <v>1425.166667</v>
      </c>
      <c r="J776" s="19">
        <f t="shared" si="10"/>
        <v>1447.333333</v>
      </c>
      <c r="K776" s="19"/>
      <c r="L776" s="19">
        <f t="shared" si="11"/>
        <v>1409.433333</v>
      </c>
      <c r="M776" s="19">
        <f t="shared" si="12"/>
        <v>1463.066667</v>
      </c>
      <c r="N776" s="19">
        <f t="shared" si="13"/>
        <v>1387.266667</v>
      </c>
    </row>
    <row r="777" ht="24.75" customHeight="1">
      <c r="A777" s="21" t="s">
        <v>740</v>
      </c>
      <c r="B777" s="13">
        <f>IFERROR(__xludf.DUMMYFUNCTION("GOOGLEFINANCE(A777,""PRICE"")"),174.25)</f>
        <v>174.25</v>
      </c>
      <c r="C777" s="14">
        <f>IFERROR(__xludf.DUMMYFUNCTION("GOOGLEFINANCE(A777,""PRICEOPEN"")"),173.4)</f>
        <v>173.4</v>
      </c>
      <c r="D777" s="14">
        <f>IFERROR(__xludf.DUMMYFUNCTION("GOOGLEFINANCE(A777,""HIGH"")"),174.3)</f>
        <v>174.3</v>
      </c>
      <c r="E777" s="14">
        <f>IFERROR(__xludf.DUMMYFUNCTION("GOOGLEFINANCE(A777,""LOW"")"),172.58)</f>
        <v>172.58</v>
      </c>
      <c r="F777" s="15" t="str">
        <f t="shared" si="8"/>
        <v/>
      </c>
      <c r="G777" s="16">
        <f>IFERROR(__xludf.DUMMYFUNCTION("GOOGLEFINANCE(A777,""CLOSEYEST"")"),173.08)</f>
        <v>173.08</v>
      </c>
      <c r="H777" s="17" t="str">
        <f t="shared" si="14"/>
        <v/>
      </c>
      <c r="I777" s="18">
        <f t="shared" si="9"/>
        <v>173.32</v>
      </c>
      <c r="J777" s="19">
        <f t="shared" si="10"/>
        <v>174.06</v>
      </c>
      <c r="K777" s="19"/>
      <c r="L777" s="19">
        <f t="shared" si="11"/>
        <v>172.34</v>
      </c>
      <c r="M777" s="19">
        <f t="shared" si="12"/>
        <v>175.04</v>
      </c>
      <c r="N777" s="19">
        <f t="shared" si="13"/>
        <v>171.6</v>
      </c>
    </row>
    <row r="778" ht="24.75" customHeight="1">
      <c r="A778" s="21" t="s">
        <v>741</v>
      </c>
      <c r="B778" s="13">
        <f>IFERROR(__xludf.DUMMYFUNCTION("GOOGLEFINANCE(A778,""PRICE"")"),7175.5)</f>
        <v>7175.5</v>
      </c>
      <c r="C778" s="14">
        <f>IFERROR(__xludf.DUMMYFUNCTION("GOOGLEFINANCE(A778,""PRICEOPEN"")"),7235.0)</f>
        <v>7235</v>
      </c>
      <c r="D778" s="14">
        <f>IFERROR(__xludf.DUMMYFUNCTION("GOOGLEFINANCE(A778,""HIGH"")"),7235.0)</f>
        <v>7235</v>
      </c>
      <c r="E778" s="14">
        <f>IFERROR(__xludf.DUMMYFUNCTION("GOOGLEFINANCE(A778,""LOW"")"),7159.0)</f>
        <v>7159</v>
      </c>
      <c r="F778" s="15" t="str">
        <f t="shared" si="8"/>
        <v>SELL</v>
      </c>
      <c r="G778" s="16">
        <f>IFERROR(__xludf.DUMMYFUNCTION("GOOGLEFINANCE(A778,""CLOSEYEST"")"),7183.5)</f>
        <v>7183.5</v>
      </c>
      <c r="H778" s="17" t="str">
        <f t="shared" si="14"/>
        <v/>
      </c>
      <c r="I778" s="18">
        <f t="shared" si="9"/>
        <v>7192.5</v>
      </c>
      <c r="J778" s="19">
        <f t="shared" si="10"/>
        <v>7226</v>
      </c>
      <c r="K778" s="19"/>
      <c r="L778" s="19">
        <f t="shared" si="11"/>
        <v>7150</v>
      </c>
      <c r="M778" s="19">
        <f t="shared" si="12"/>
        <v>7268.5</v>
      </c>
      <c r="N778" s="19">
        <f t="shared" si="13"/>
        <v>7116.5</v>
      </c>
    </row>
    <row r="779" ht="24.75" customHeight="1">
      <c r="A779" s="21" t="s">
        <v>742</v>
      </c>
      <c r="B779" s="13">
        <f>IFERROR(__xludf.DUMMYFUNCTION("GOOGLEFINANCE(A779,""PRICE"")"),1013.5)</f>
        <v>1013.5</v>
      </c>
      <c r="C779" s="14">
        <f>IFERROR(__xludf.DUMMYFUNCTION("GOOGLEFINANCE(A779,""PRICEOPEN"")"),1016.9)</f>
        <v>1016.9</v>
      </c>
      <c r="D779" s="14">
        <f>IFERROR(__xludf.DUMMYFUNCTION("GOOGLEFINANCE(A779,""HIGH"")"),1028.3)</f>
        <v>1028.3</v>
      </c>
      <c r="E779" s="14">
        <f>IFERROR(__xludf.DUMMYFUNCTION("GOOGLEFINANCE(A779,""LOW"")"),1013.5)</f>
        <v>1013.5</v>
      </c>
      <c r="F779" s="15" t="str">
        <f t="shared" si="8"/>
        <v/>
      </c>
      <c r="G779" s="16">
        <f>IFERROR(__xludf.DUMMYFUNCTION("GOOGLEFINANCE(A779,""CLOSEYEST"")"),1023.8)</f>
        <v>1023.8</v>
      </c>
      <c r="H779" s="17" t="str">
        <f t="shared" si="14"/>
        <v/>
      </c>
      <c r="I779" s="18">
        <f t="shared" si="9"/>
        <v>1021.866667</v>
      </c>
      <c r="J779" s="19">
        <f t="shared" si="10"/>
        <v>1030.233333</v>
      </c>
      <c r="K779" s="19"/>
      <c r="L779" s="19">
        <f t="shared" si="11"/>
        <v>1015.433333</v>
      </c>
      <c r="M779" s="19">
        <f t="shared" si="12"/>
        <v>1036.666667</v>
      </c>
      <c r="N779" s="19">
        <f t="shared" si="13"/>
        <v>1007.066667</v>
      </c>
    </row>
    <row r="780" ht="24.75" customHeight="1">
      <c r="A780" s="21" t="s">
        <v>743</v>
      </c>
      <c r="B780" s="13">
        <f>IFERROR(__xludf.DUMMYFUNCTION("GOOGLEFINANCE(A780,""PRICE"")"),2257.0)</f>
        <v>2257</v>
      </c>
      <c r="C780" s="14">
        <f>IFERROR(__xludf.DUMMYFUNCTION("GOOGLEFINANCE(A780,""PRICEOPEN"")"),2290.0)</f>
        <v>2290</v>
      </c>
      <c r="D780" s="14">
        <f>IFERROR(__xludf.DUMMYFUNCTION("GOOGLEFINANCE(A780,""HIGH"")"),2290.0)</f>
        <v>2290</v>
      </c>
      <c r="E780" s="14">
        <f>IFERROR(__xludf.DUMMYFUNCTION("GOOGLEFINANCE(A780,""LOW"")"),2238.2)</f>
        <v>2238.2</v>
      </c>
      <c r="F780" s="15" t="str">
        <f t="shared" si="8"/>
        <v>SELL</v>
      </c>
      <c r="G780" s="16">
        <f>IFERROR(__xludf.DUMMYFUNCTION("GOOGLEFINANCE(A780,""CLOSEYEST"")"),2261.4)</f>
        <v>2261.4</v>
      </c>
      <c r="H780" s="17" t="str">
        <f t="shared" si="14"/>
        <v>GAP UP</v>
      </c>
      <c r="I780" s="18">
        <f t="shared" si="9"/>
        <v>2263.2</v>
      </c>
      <c r="J780" s="19">
        <f t="shared" si="10"/>
        <v>2288.2</v>
      </c>
      <c r="K780" s="19"/>
      <c r="L780" s="19">
        <f t="shared" si="11"/>
        <v>2236.4</v>
      </c>
      <c r="M780" s="19">
        <f t="shared" si="12"/>
        <v>2315</v>
      </c>
      <c r="N780" s="19">
        <f t="shared" si="13"/>
        <v>2211.4</v>
      </c>
    </row>
    <row r="781" ht="24.75" customHeight="1">
      <c r="A781" s="21" t="s">
        <v>744</v>
      </c>
      <c r="B781" s="13">
        <f>IFERROR(__xludf.DUMMYFUNCTION("GOOGLEFINANCE(A781,""PRICE"")"),1116.0)</f>
        <v>1116</v>
      </c>
      <c r="C781" s="14">
        <f>IFERROR(__xludf.DUMMYFUNCTION("GOOGLEFINANCE(A781,""PRICEOPEN"")"),1012.05)</f>
        <v>1012.05</v>
      </c>
      <c r="D781" s="14">
        <f>IFERROR(__xludf.DUMMYFUNCTION("GOOGLEFINANCE(A781,""HIGH"")"),1136.45)</f>
        <v>1136.45</v>
      </c>
      <c r="E781" s="14">
        <f>IFERROR(__xludf.DUMMYFUNCTION("GOOGLEFINANCE(A781,""LOW"")"),1006.1)</f>
        <v>1006.1</v>
      </c>
      <c r="F781" s="15" t="str">
        <f t="shared" si="8"/>
        <v/>
      </c>
      <c r="G781" s="16">
        <f>IFERROR(__xludf.DUMMYFUNCTION("GOOGLEFINANCE(A781,""CLOSEYEST"")"),1003.5)</f>
        <v>1003.5</v>
      </c>
      <c r="H781" s="17" t="str">
        <f t="shared" si="14"/>
        <v/>
      </c>
      <c r="I781" s="18">
        <f t="shared" si="9"/>
        <v>1048.683333</v>
      </c>
      <c r="J781" s="19">
        <f t="shared" si="10"/>
        <v>1091.266667</v>
      </c>
      <c r="K781" s="19"/>
      <c r="L781" s="19">
        <f t="shared" si="11"/>
        <v>960.9166667</v>
      </c>
      <c r="M781" s="19">
        <f t="shared" si="12"/>
        <v>1179.033333</v>
      </c>
      <c r="N781" s="19">
        <f t="shared" si="13"/>
        <v>918.3333333</v>
      </c>
    </row>
    <row r="782" ht="24.75" customHeight="1">
      <c r="A782" s="21" t="s">
        <v>745</v>
      </c>
      <c r="B782" s="13">
        <f>IFERROR(__xludf.DUMMYFUNCTION("GOOGLEFINANCE(A782,""PRICE"")"),15196.0)</f>
        <v>15196</v>
      </c>
      <c r="C782" s="14">
        <f>IFERROR(__xludf.DUMMYFUNCTION("GOOGLEFINANCE(A782,""PRICEOPEN"")"),15440.0)</f>
        <v>15440</v>
      </c>
      <c r="D782" s="14">
        <f>IFERROR(__xludf.DUMMYFUNCTION("GOOGLEFINANCE(A782,""HIGH"")"),15940.0)</f>
        <v>15940</v>
      </c>
      <c r="E782" s="14">
        <f>IFERROR(__xludf.DUMMYFUNCTION("GOOGLEFINANCE(A782,""LOW"")"),15110.0)</f>
        <v>15110</v>
      </c>
      <c r="F782" s="15" t="str">
        <f t="shared" si="8"/>
        <v/>
      </c>
      <c r="G782" s="16">
        <f>IFERROR(__xludf.DUMMYFUNCTION("GOOGLEFINANCE(A782,""CLOSEYEST"")"),15386.0)</f>
        <v>15386</v>
      </c>
      <c r="H782" s="17" t="str">
        <f t="shared" si="14"/>
        <v/>
      </c>
      <c r="I782" s="18">
        <f t="shared" si="9"/>
        <v>15478.66667</v>
      </c>
      <c r="J782" s="19">
        <f t="shared" si="10"/>
        <v>15847.33333</v>
      </c>
      <c r="K782" s="19"/>
      <c r="L782" s="19">
        <f t="shared" si="11"/>
        <v>15017.33333</v>
      </c>
      <c r="M782" s="19">
        <f t="shared" si="12"/>
        <v>16308.66667</v>
      </c>
      <c r="N782" s="19">
        <f t="shared" si="13"/>
        <v>14648.66667</v>
      </c>
    </row>
    <row r="783" ht="24.75" customHeight="1">
      <c r="A783" s="21" t="s">
        <v>746</v>
      </c>
      <c r="B783" s="13">
        <f>IFERROR(__xludf.DUMMYFUNCTION("GOOGLEFINANCE(A783,""PRICE"")"),520.8)</f>
        <v>520.8</v>
      </c>
      <c r="C783" s="14">
        <f>IFERROR(__xludf.DUMMYFUNCTION("GOOGLEFINANCE(A783,""PRICEOPEN"")"),521.0)</f>
        <v>521</v>
      </c>
      <c r="D783" s="14">
        <f>IFERROR(__xludf.DUMMYFUNCTION("GOOGLEFINANCE(A783,""HIGH"")"),529.6)</f>
        <v>529.6</v>
      </c>
      <c r="E783" s="14">
        <f>IFERROR(__xludf.DUMMYFUNCTION("GOOGLEFINANCE(A783,""LOW"")"),519.75)</f>
        <v>519.75</v>
      </c>
      <c r="F783" s="15" t="str">
        <f t="shared" si="8"/>
        <v/>
      </c>
      <c r="G783" s="16">
        <f>IFERROR(__xludf.DUMMYFUNCTION("GOOGLEFINANCE(A783,""CLOSEYEST"")"),526.5)</f>
        <v>526.5</v>
      </c>
      <c r="H783" s="17" t="str">
        <f t="shared" si="14"/>
        <v>GAP DOWN</v>
      </c>
      <c r="I783" s="18">
        <f t="shared" si="9"/>
        <v>525.2833333</v>
      </c>
      <c r="J783" s="19">
        <f t="shared" si="10"/>
        <v>530.8166667</v>
      </c>
      <c r="K783" s="19"/>
      <c r="L783" s="19">
        <f t="shared" si="11"/>
        <v>520.9666667</v>
      </c>
      <c r="M783" s="19">
        <f t="shared" si="12"/>
        <v>535.1333333</v>
      </c>
      <c r="N783" s="19">
        <f t="shared" si="13"/>
        <v>515.4333333</v>
      </c>
    </row>
    <row r="784" ht="24.75" customHeight="1">
      <c r="A784" s="21" t="s">
        <v>747</v>
      </c>
      <c r="B784" s="13">
        <f>IFERROR(__xludf.DUMMYFUNCTION("GOOGLEFINANCE(A784,""PRICE"")"),1277.0)</f>
        <v>1277</v>
      </c>
      <c r="C784" s="14">
        <f>IFERROR(__xludf.DUMMYFUNCTION("GOOGLEFINANCE(A784,""PRICEOPEN"")"),1228.1)</f>
        <v>1228.1</v>
      </c>
      <c r="D784" s="14">
        <f>IFERROR(__xludf.DUMMYFUNCTION("GOOGLEFINANCE(A784,""HIGH"")"),1300.0)</f>
        <v>1300</v>
      </c>
      <c r="E784" s="14">
        <f>IFERROR(__xludf.DUMMYFUNCTION("GOOGLEFINANCE(A784,""LOW"")"),1228.0)</f>
        <v>1228</v>
      </c>
      <c r="F784" s="15" t="str">
        <f t="shared" si="8"/>
        <v/>
      </c>
      <c r="G784" s="16">
        <f>IFERROR(__xludf.DUMMYFUNCTION("GOOGLEFINANCE(A784,""CLOSEYEST"")"),1241.1)</f>
        <v>1241.1</v>
      </c>
      <c r="H784" s="17" t="str">
        <f t="shared" si="14"/>
        <v>GAP DOWN</v>
      </c>
      <c r="I784" s="18">
        <f t="shared" si="9"/>
        <v>1256.366667</v>
      </c>
      <c r="J784" s="19">
        <f t="shared" si="10"/>
        <v>1284.733333</v>
      </c>
      <c r="K784" s="19"/>
      <c r="L784" s="19">
        <f t="shared" si="11"/>
        <v>1212.733333</v>
      </c>
      <c r="M784" s="19">
        <f t="shared" si="12"/>
        <v>1328.366667</v>
      </c>
      <c r="N784" s="19">
        <f t="shared" si="13"/>
        <v>1184.366667</v>
      </c>
    </row>
    <row r="785" ht="24.75" customHeight="1">
      <c r="A785" s="21" t="s">
        <v>748</v>
      </c>
      <c r="B785" s="13">
        <f>IFERROR(__xludf.DUMMYFUNCTION("GOOGLEFINANCE(A785,""PRICE"")"),176.0)</f>
        <v>176</v>
      </c>
      <c r="C785" s="14">
        <f>IFERROR(__xludf.DUMMYFUNCTION("GOOGLEFINANCE(A785,""PRICEOPEN"")"),174.99)</f>
        <v>174.99</v>
      </c>
      <c r="D785" s="14">
        <f>IFERROR(__xludf.DUMMYFUNCTION("GOOGLEFINANCE(A785,""HIGH"")"),181.0)</f>
        <v>181</v>
      </c>
      <c r="E785" s="14">
        <f>IFERROR(__xludf.DUMMYFUNCTION("GOOGLEFINANCE(A785,""LOW"")"),172.16)</f>
        <v>172.16</v>
      </c>
      <c r="F785" s="15" t="str">
        <f t="shared" si="8"/>
        <v/>
      </c>
      <c r="G785" s="16">
        <f>IFERROR(__xludf.DUMMYFUNCTION("GOOGLEFINANCE(A785,""CLOSEYEST"")"),173.38)</f>
        <v>173.38</v>
      </c>
      <c r="H785" s="17" t="str">
        <f t="shared" si="14"/>
        <v/>
      </c>
      <c r="I785" s="18">
        <f t="shared" si="9"/>
        <v>175.5133333</v>
      </c>
      <c r="J785" s="19">
        <f t="shared" si="10"/>
        <v>178.8666667</v>
      </c>
      <c r="K785" s="19"/>
      <c r="L785" s="19">
        <f t="shared" si="11"/>
        <v>170.0266667</v>
      </c>
      <c r="M785" s="19">
        <f t="shared" si="12"/>
        <v>184.3533333</v>
      </c>
      <c r="N785" s="19">
        <f t="shared" si="13"/>
        <v>166.6733333</v>
      </c>
    </row>
    <row r="786" ht="24.75" customHeight="1">
      <c r="A786" s="21" t="s">
        <v>749</v>
      </c>
      <c r="B786" s="13">
        <f>IFERROR(__xludf.DUMMYFUNCTION("GOOGLEFINANCE(A786,""PRICE"")"),853.0)</f>
        <v>853</v>
      </c>
      <c r="C786" s="14">
        <f>IFERROR(__xludf.DUMMYFUNCTION("GOOGLEFINANCE(A786,""PRICEOPEN"")"),847.4)</f>
        <v>847.4</v>
      </c>
      <c r="D786" s="14">
        <f>IFERROR(__xludf.DUMMYFUNCTION("GOOGLEFINANCE(A786,""HIGH"")"),858.0)</f>
        <v>858</v>
      </c>
      <c r="E786" s="14">
        <f>IFERROR(__xludf.DUMMYFUNCTION("GOOGLEFINANCE(A786,""LOW"")"),840.0)</f>
        <v>840</v>
      </c>
      <c r="F786" s="15" t="str">
        <f t="shared" si="8"/>
        <v/>
      </c>
      <c r="G786" s="16">
        <f>IFERROR(__xludf.DUMMYFUNCTION("GOOGLEFINANCE(A786,""CLOSEYEST"")"),835.15)</f>
        <v>835.15</v>
      </c>
      <c r="H786" s="17" t="str">
        <f t="shared" si="14"/>
        <v>GAP UP</v>
      </c>
      <c r="I786" s="18">
        <f t="shared" si="9"/>
        <v>844.3833333</v>
      </c>
      <c r="J786" s="19">
        <f t="shared" si="10"/>
        <v>848.7666667</v>
      </c>
      <c r="K786" s="19"/>
      <c r="L786" s="19">
        <f t="shared" si="11"/>
        <v>830.7666667</v>
      </c>
      <c r="M786" s="19">
        <f t="shared" si="12"/>
        <v>862.3833333</v>
      </c>
      <c r="N786" s="19">
        <f t="shared" si="13"/>
        <v>826.3833333</v>
      </c>
    </row>
    <row r="787" ht="24.75" customHeight="1">
      <c r="A787" s="21" t="s">
        <v>750</v>
      </c>
      <c r="B787" s="13">
        <f>IFERROR(__xludf.DUMMYFUNCTION("GOOGLEFINANCE(A787,""PRICE"")"),379.2)</f>
        <v>379.2</v>
      </c>
      <c r="C787" s="14">
        <f>IFERROR(__xludf.DUMMYFUNCTION("GOOGLEFINANCE(A787,""PRICEOPEN"")"),387.0)</f>
        <v>387</v>
      </c>
      <c r="D787" s="14">
        <f>IFERROR(__xludf.DUMMYFUNCTION("GOOGLEFINANCE(A787,""HIGH"")"),393.9)</f>
        <v>393.9</v>
      </c>
      <c r="E787" s="14">
        <f>IFERROR(__xludf.DUMMYFUNCTION("GOOGLEFINANCE(A787,""LOW"")"),377.0)</f>
        <v>377</v>
      </c>
      <c r="F787" s="15" t="str">
        <f t="shared" si="8"/>
        <v/>
      </c>
      <c r="G787" s="16">
        <f>IFERROR(__xludf.DUMMYFUNCTION("GOOGLEFINANCE(A787,""CLOSEYEST"")"),387.0)</f>
        <v>387</v>
      </c>
      <c r="H787" s="17" t="str">
        <f t="shared" si="14"/>
        <v/>
      </c>
      <c r="I787" s="18">
        <f t="shared" si="9"/>
        <v>385.9666667</v>
      </c>
      <c r="J787" s="19">
        <f t="shared" si="10"/>
        <v>394.9333333</v>
      </c>
      <c r="K787" s="19"/>
      <c r="L787" s="19">
        <f t="shared" si="11"/>
        <v>378.0333333</v>
      </c>
      <c r="M787" s="19">
        <f t="shared" si="12"/>
        <v>402.8666667</v>
      </c>
      <c r="N787" s="19">
        <f t="shared" si="13"/>
        <v>369.0666667</v>
      </c>
    </row>
    <row r="788" ht="24.75" customHeight="1">
      <c r="A788" s="21" t="s">
        <v>751</v>
      </c>
      <c r="B788" s="13">
        <f>IFERROR(__xludf.DUMMYFUNCTION("GOOGLEFINANCE(A788,""PRICE"")"),1390.0)</f>
        <v>1390</v>
      </c>
      <c r="C788" s="14">
        <f>IFERROR(__xludf.DUMMYFUNCTION("GOOGLEFINANCE(A788,""PRICEOPEN"")"),1413.7)</f>
        <v>1413.7</v>
      </c>
      <c r="D788" s="14">
        <f>IFERROR(__xludf.DUMMYFUNCTION("GOOGLEFINANCE(A788,""HIGH"")"),1416.1)</f>
        <v>1416.1</v>
      </c>
      <c r="E788" s="14">
        <f>IFERROR(__xludf.DUMMYFUNCTION("GOOGLEFINANCE(A788,""LOW"")"),1380.5)</f>
        <v>1380.5</v>
      </c>
      <c r="F788" s="15" t="str">
        <f t="shared" si="8"/>
        <v/>
      </c>
      <c r="G788" s="16">
        <f>IFERROR(__xludf.DUMMYFUNCTION("GOOGLEFINANCE(A788,""CLOSEYEST"")"),1406.3)</f>
        <v>1406.3</v>
      </c>
      <c r="H788" s="17" t="str">
        <f t="shared" si="14"/>
        <v/>
      </c>
      <c r="I788" s="18">
        <f t="shared" si="9"/>
        <v>1400.966667</v>
      </c>
      <c r="J788" s="19">
        <f t="shared" si="10"/>
        <v>1421.433333</v>
      </c>
      <c r="K788" s="19"/>
      <c r="L788" s="19">
        <f t="shared" si="11"/>
        <v>1385.833333</v>
      </c>
      <c r="M788" s="19">
        <f t="shared" si="12"/>
        <v>1436.566667</v>
      </c>
      <c r="N788" s="19">
        <f t="shared" si="13"/>
        <v>1365.366667</v>
      </c>
    </row>
    <row r="789" ht="24.75" customHeight="1">
      <c r="A789" s="21" t="s">
        <v>752</v>
      </c>
      <c r="B789" s="13">
        <f>IFERROR(__xludf.DUMMYFUNCTION("GOOGLEFINANCE(A789,""PRICE"")"),162.0)</f>
        <v>162</v>
      </c>
      <c r="C789" s="14">
        <f>IFERROR(__xludf.DUMMYFUNCTION("GOOGLEFINANCE(A789,""PRICEOPEN"")"),157.25)</f>
        <v>157.25</v>
      </c>
      <c r="D789" s="14">
        <f>IFERROR(__xludf.DUMMYFUNCTION("GOOGLEFINANCE(A789,""HIGH"")"),163.0)</f>
        <v>163</v>
      </c>
      <c r="E789" s="14">
        <f>IFERROR(__xludf.DUMMYFUNCTION("GOOGLEFINANCE(A789,""LOW"")"),155.22)</f>
        <v>155.22</v>
      </c>
      <c r="F789" s="15" t="str">
        <f t="shared" si="8"/>
        <v/>
      </c>
      <c r="G789" s="16">
        <f>IFERROR(__xludf.DUMMYFUNCTION("GOOGLEFINANCE(A789,""CLOSEYEST"")"),154.93)</f>
        <v>154.93</v>
      </c>
      <c r="H789" s="17" t="str">
        <f t="shared" si="14"/>
        <v>GAP UP</v>
      </c>
      <c r="I789" s="18">
        <f t="shared" si="9"/>
        <v>157.7166667</v>
      </c>
      <c r="J789" s="19">
        <f t="shared" si="10"/>
        <v>160.2133333</v>
      </c>
      <c r="K789" s="19"/>
      <c r="L789" s="19">
        <f t="shared" si="11"/>
        <v>152.4333333</v>
      </c>
      <c r="M789" s="19">
        <f t="shared" si="12"/>
        <v>165.4966667</v>
      </c>
      <c r="N789" s="19">
        <f t="shared" si="13"/>
        <v>149.9366667</v>
      </c>
    </row>
    <row r="790" ht="24.75" customHeight="1">
      <c r="A790" s="21" t="s">
        <v>753</v>
      </c>
      <c r="B790" s="13">
        <f>IFERROR(__xludf.DUMMYFUNCTION("GOOGLEFINANCE(A790,""PRICE"")"),358.9)</f>
        <v>358.9</v>
      </c>
      <c r="C790" s="14">
        <f>IFERROR(__xludf.DUMMYFUNCTION("GOOGLEFINANCE(A790,""PRICEOPEN"")"),355.4)</f>
        <v>355.4</v>
      </c>
      <c r="D790" s="14">
        <f>IFERROR(__xludf.DUMMYFUNCTION("GOOGLEFINANCE(A790,""HIGH"")"),364.9)</f>
        <v>364.9</v>
      </c>
      <c r="E790" s="14">
        <f>IFERROR(__xludf.DUMMYFUNCTION("GOOGLEFINANCE(A790,""LOW"")"),355.0)</f>
        <v>355</v>
      </c>
      <c r="F790" s="15" t="str">
        <f t="shared" si="8"/>
        <v/>
      </c>
      <c r="G790" s="16">
        <f>IFERROR(__xludf.DUMMYFUNCTION("GOOGLEFINANCE(A790,""CLOSEYEST"")"),354.4)</f>
        <v>354.4</v>
      </c>
      <c r="H790" s="17" t="str">
        <f t="shared" si="14"/>
        <v/>
      </c>
      <c r="I790" s="18">
        <f t="shared" si="9"/>
        <v>358.1</v>
      </c>
      <c r="J790" s="19">
        <f t="shared" si="10"/>
        <v>361.2</v>
      </c>
      <c r="K790" s="19"/>
      <c r="L790" s="19">
        <f t="shared" si="11"/>
        <v>351.3</v>
      </c>
      <c r="M790" s="19">
        <f t="shared" si="12"/>
        <v>368</v>
      </c>
      <c r="N790" s="19">
        <f t="shared" si="13"/>
        <v>348.2</v>
      </c>
    </row>
    <row r="791" ht="24.75" customHeight="1">
      <c r="A791" s="21" t="s">
        <v>754</v>
      </c>
      <c r="B791" s="13">
        <f>IFERROR(__xludf.DUMMYFUNCTION("GOOGLEFINANCE(A791,""PRICE"")"),388.0)</f>
        <v>388</v>
      </c>
      <c r="C791" s="14">
        <f>IFERROR(__xludf.DUMMYFUNCTION("GOOGLEFINANCE(A791,""PRICEOPEN"")"),382.5)</f>
        <v>382.5</v>
      </c>
      <c r="D791" s="14">
        <f>IFERROR(__xludf.DUMMYFUNCTION("GOOGLEFINANCE(A791,""HIGH"")"),392.95)</f>
        <v>392.95</v>
      </c>
      <c r="E791" s="14">
        <f>IFERROR(__xludf.DUMMYFUNCTION("GOOGLEFINANCE(A791,""LOW"")"),378.0)</f>
        <v>378</v>
      </c>
      <c r="F791" s="15" t="str">
        <f t="shared" si="8"/>
        <v/>
      </c>
      <c r="G791" s="16">
        <f>IFERROR(__xludf.DUMMYFUNCTION("GOOGLEFINANCE(A791,""CLOSEYEST"")"),382.4)</f>
        <v>382.4</v>
      </c>
      <c r="H791" s="17" t="str">
        <f t="shared" si="14"/>
        <v/>
      </c>
      <c r="I791" s="18">
        <f t="shared" si="9"/>
        <v>384.45</v>
      </c>
      <c r="J791" s="19">
        <f t="shared" si="10"/>
        <v>390.9</v>
      </c>
      <c r="K791" s="19"/>
      <c r="L791" s="19">
        <f t="shared" si="11"/>
        <v>375.95</v>
      </c>
      <c r="M791" s="19">
        <f t="shared" si="12"/>
        <v>399.4</v>
      </c>
      <c r="N791" s="19">
        <f t="shared" si="13"/>
        <v>369.5</v>
      </c>
    </row>
    <row r="792" ht="24.75" customHeight="1">
      <c r="A792" s="21" t="s">
        <v>755</v>
      </c>
      <c r="B792" s="13" t="str">
        <f>IFERROR(__xludf.DUMMYFUNCTION("GOOGLEFINANCE(A792,""PRICE"")"),"#N/A")</f>
        <v>#N/A</v>
      </c>
      <c r="C792" s="14" t="str">
        <f>IFERROR(__xludf.DUMMYFUNCTION("GOOGLEFINANCE(A792,""PRICEOPEN"")"),"#N/A")</f>
        <v>#N/A</v>
      </c>
      <c r="D792" s="14" t="str">
        <f>IFERROR(__xludf.DUMMYFUNCTION("GOOGLEFINANCE(A792,""HIGH"")"),"#N/A")</f>
        <v>#N/A</v>
      </c>
      <c r="E792" s="14" t="str">
        <f>IFERROR(__xludf.DUMMYFUNCTION("GOOGLEFINANCE(A792,""LOW"")"),"#N/A")</f>
        <v>#N/A</v>
      </c>
      <c r="F792" s="15" t="str">
        <f t="shared" si="8"/>
        <v>#N/A</v>
      </c>
      <c r="G792" s="16" t="str">
        <f>IFERROR(__xludf.DUMMYFUNCTION("GOOGLEFINANCE(A792,""CLOSEYEST"")"),"#N/A")</f>
        <v>#N/A</v>
      </c>
      <c r="H792" s="17" t="str">
        <f t="shared" si="14"/>
        <v>#N/A</v>
      </c>
      <c r="I792" s="18" t="str">
        <f t="shared" si="9"/>
        <v>#N/A</v>
      </c>
      <c r="J792" s="19" t="str">
        <f t="shared" si="10"/>
        <v>#N/A</v>
      </c>
      <c r="K792" s="19"/>
      <c r="L792" s="19" t="str">
        <f t="shared" si="11"/>
        <v>#N/A</v>
      </c>
      <c r="M792" s="19" t="str">
        <f t="shared" si="12"/>
        <v>#N/A</v>
      </c>
      <c r="N792" s="19" t="str">
        <f t="shared" si="13"/>
        <v>#N/A</v>
      </c>
    </row>
    <row r="793" ht="24.75" customHeight="1">
      <c r="A793" s="21" t="s">
        <v>756</v>
      </c>
      <c r="B793" s="13">
        <f>IFERROR(__xludf.DUMMYFUNCTION("GOOGLEFINANCE(A793,""PRICE"")"),493.4)</f>
        <v>493.4</v>
      </c>
      <c r="C793" s="14">
        <f>IFERROR(__xludf.DUMMYFUNCTION("GOOGLEFINANCE(A793,""PRICEOPEN"")"),489.0)</f>
        <v>489</v>
      </c>
      <c r="D793" s="14">
        <f>IFERROR(__xludf.DUMMYFUNCTION("GOOGLEFINANCE(A793,""HIGH"")"),494.0)</f>
        <v>494</v>
      </c>
      <c r="E793" s="14">
        <f>IFERROR(__xludf.DUMMYFUNCTION("GOOGLEFINANCE(A793,""LOW"")"),482.4)</f>
        <v>482.4</v>
      </c>
      <c r="F793" s="15" t="str">
        <f t="shared" si="8"/>
        <v/>
      </c>
      <c r="G793" s="16">
        <f>IFERROR(__xludf.DUMMYFUNCTION("GOOGLEFINANCE(A793,""CLOSEYEST"")"),482.4)</f>
        <v>482.4</v>
      </c>
      <c r="H793" s="17" t="str">
        <f t="shared" si="14"/>
        <v>GAP UP</v>
      </c>
      <c r="I793" s="18">
        <f t="shared" si="9"/>
        <v>486.2666667</v>
      </c>
      <c r="J793" s="19">
        <f t="shared" si="10"/>
        <v>490.1333333</v>
      </c>
      <c r="K793" s="19"/>
      <c r="L793" s="19">
        <f t="shared" si="11"/>
        <v>478.5333333</v>
      </c>
      <c r="M793" s="19">
        <f t="shared" si="12"/>
        <v>497.8666667</v>
      </c>
      <c r="N793" s="19">
        <f t="shared" si="13"/>
        <v>474.6666667</v>
      </c>
    </row>
    <row r="794" ht="24.75" customHeight="1">
      <c r="A794" s="21" t="s">
        <v>757</v>
      </c>
      <c r="B794" s="13">
        <f>IFERROR(__xludf.DUMMYFUNCTION("GOOGLEFINANCE(A794,""PRICE"")"),4165.2)</f>
        <v>4165.2</v>
      </c>
      <c r="C794" s="14">
        <f>IFERROR(__xludf.DUMMYFUNCTION("GOOGLEFINANCE(A794,""PRICEOPEN"")"),4130.0)</f>
        <v>4130</v>
      </c>
      <c r="D794" s="14">
        <f>IFERROR(__xludf.DUMMYFUNCTION("GOOGLEFINANCE(A794,""HIGH"")"),4224.0)</f>
        <v>4224</v>
      </c>
      <c r="E794" s="14">
        <f>IFERROR(__xludf.DUMMYFUNCTION("GOOGLEFINANCE(A794,""LOW"")"),4129.7)</f>
        <v>4129.7</v>
      </c>
      <c r="F794" s="15" t="str">
        <f t="shared" si="8"/>
        <v/>
      </c>
      <c r="G794" s="16">
        <f>IFERROR(__xludf.DUMMYFUNCTION("GOOGLEFINANCE(A794,""CLOSEYEST"")"),4129.7)</f>
        <v>4129.7</v>
      </c>
      <c r="H794" s="17" t="str">
        <f t="shared" si="14"/>
        <v/>
      </c>
      <c r="I794" s="18">
        <f t="shared" si="9"/>
        <v>4161.133333</v>
      </c>
      <c r="J794" s="19">
        <f t="shared" si="10"/>
        <v>4192.566667</v>
      </c>
      <c r="K794" s="19"/>
      <c r="L794" s="19">
        <f t="shared" si="11"/>
        <v>4098.266667</v>
      </c>
      <c r="M794" s="19">
        <f t="shared" si="12"/>
        <v>4255.433333</v>
      </c>
      <c r="N794" s="19">
        <f t="shared" si="13"/>
        <v>4066.833333</v>
      </c>
    </row>
    <row r="795" ht="24.75" customHeight="1">
      <c r="A795" s="21" t="s">
        <v>758</v>
      </c>
      <c r="B795" s="13">
        <f>IFERROR(__xludf.DUMMYFUNCTION("GOOGLEFINANCE(A795,""PRICE"")"),598.6)</f>
        <v>598.6</v>
      </c>
      <c r="C795" s="14">
        <f>IFERROR(__xludf.DUMMYFUNCTION("GOOGLEFINANCE(A795,""PRICEOPEN"")"),569.0)</f>
        <v>569</v>
      </c>
      <c r="D795" s="14">
        <f>IFERROR(__xludf.DUMMYFUNCTION("GOOGLEFINANCE(A795,""HIGH"")"),616.8)</f>
        <v>616.8</v>
      </c>
      <c r="E795" s="14">
        <f>IFERROR(__xludf.DUMMYFUNCTION("GOOGLEFINANCE(A795,""LOW"")"),565.05)</f>
        <v>565.05</v>
      </c>
      <c r="F795" s="15" t="str">
        <f t="shared" si="8"/>
        <v/>
      </c>
      <c r="G795" s="16">
        <f>IFERROR(__xludf.DUMMYFUNCTION("GOOGLEFINANCE(A795,""CLOSEYEST"")"),567.1)</f>
        <v>567.1</v>
      </c>
      <c r="H795" s="17" t="str">
        <f t="shared" si="14"/>
        <v/>
      </c>
      <c r="I795" s="18">
        <f t="shared" si="9"/>
        <v>582.9833333</v>
      </c>
      <c r="J795" s="19">
        <f t="shared" si="10"/>
        <v>600.9166667</v>
      </c>
      <c r="K795" s="19"/>
      <c r="L795" s="19">
        <f t="shared" si="11"/>
        <v>549.1666667</v>
      </c>
      <c r="M795" s="19">
        <f t="shared" si="12"/>
        <v>634.7333333</v>
      </c>
      <c r="N795" s="19">
        <f t="shared" si="13"/>
        <v>531.2333333</v>
      </c>
    </row>
    <row r="796" ht="24.75" customHeight="1">
      <c r="A796" s="21" t="s">
        <v>759</v>
      </c>
      <c r="B796" s="13">
        <f>IFERROR(__xludf.DUMMYFUNCTION("GOOGLEFINANCE(A796,""PRICE"")"),2733.7)</f>
        <v>2733.7</v>
      </c>
      <c r="C796" s="14">
        <f>IFERROR(__xludf.DUMMYFUNCTION("GOOGLEFINANCE(A796,""PRICEOPEN"")"),2760.0)</f>
        <v>2760</v>
      </c>
      <c r="D796" s="14">
        <f>IFERROR(__xludf.DUMMYFUNCTION("GOOGLEFINANCE(A796,""HIGH"")"),2768.8)</f>
        <v>2768.8</v>
      </c>
      <c r="E796" s="14">
        <f>IFERROR(__xludf.DUMMYFUNCTION("GOOGLEFINANCE(A796,""LOW"")"),2695.0)</f>
        <v>2695</v>
      </c>
      <c r="F796" s="15" t="str">
        <f t="shared" si="8"/>
        <v/>
      </c>
      <c r="G796" s="16">
        <f>IFERROR(__xludf.DUMMYFUNCTION("GOOGLEFINANCE(A796,""CLOSEYEST"")"),2737.4)</f>
        <v>2737.4</v>
      </c>
      <c r="H796" s="17" t="str">
        <f t="shared" si="14"/>
        <v/>
      </c>
      <c r="I796" s="18">
        <f t="shared" si="9"/>
        <v>2733.733333</v>
      </c>
      <c r="J796" s="19">
        <f t="shared" si="10"/>
        <v>2772.466667</v>
      </c>
      <c r="K796" s="19"/>
      <c r="L796" s="19">
        <f t="shared" si="11"/>
        <v>2698.666667</v>
      </c>
      <c r="M796" s="19">
        <f t="shared" si="12"/>
        <v>2807.533333</v>
      </c>
      <c r="N796" s="19">
        <f t="shared" si="13"/>
        <v>2659.933333</v>
      </c>
    </row>
    <row r="797" ht="24.75" customHeight="1">
      <c r="A797" s="21" t="s">
        <v>760</v>
      </c>
      <c r="B797" s="13" t="str">
        <f>IFERROR(__xludf.DUMMYFUNCTION("GOOGLEFINANCE(A797,""PRICE"")"),"#N/A")</f>
        <v>#N/A</v>
      </c>
      <c r="C797" s="14" t="str">
        <f>IFERROR(__xludf.DUMMYFUNCTION("GOOGLEFINANCE(A797,""PRICEOPEN"")"),"#N/A")</f>
        <v>#N/A</v>
      </c>
      <c r="D797" s="14" t="str">
        <f>IFERROR(__xludf.DUMMYFUNCTION("GOOGLEFINANCE(A797,""HIGH"")"),"#N/A")</f>
        <v>#N/A</v>
      </c>
      <c r="E797" s="14" t="str">
        <f>IFERROR(__xludf.DUMMYFUNCTION("GOOGLEFINANCE(A797,""LOW"")"),"#N/A")</f>
        <v>#N/A</v>
      </c>
      <c r="F797" s="15" t="str">
        <f t="shared" si="8"/>
        <v>#N/A</v>
      </c>
      <c r="G797" s="16" t="str">
        <f>IFERROR(__xludf.DUMMYFUNCTION("GOOGLEFINANCE(A797,""CLOSEYEST"")"),"#N/A")</f>
        <v>#N/A</v>
      </c>
      <c r="H797" s="17" t="str">
        <f t="shared" si="14"/>
        <v>#N/A</v>
      </c>
      <c r="I797" s="18" t="str">
        <f t="shared" si="9"/>
        <v>#N/A</v>
      </c>
      <c r="J797" s="19" t="str">
        <f t="shared" si="10"/>
        <v>#N/A</v>
      </c>
      <c r="K797" s="19"/>
      <c r="L797" s="19" t="str">
        <f t="shared" si="11"/>
        <v>#N/A</v>
      </c>
      <c r="M797" s="19" t="str">
        <f t="shared" si="12"/>
        <v>#N/A</v>
      </c>
      <c r="N797" s="19" t="str">
        <f t="shared" si="13"/>
        <v>#N/A</v>
      </c>
    </row>
    <row r="798" ht="24.75" customHeight="1">
      <c r="A798" s="21" t="s">
        <v>761</v>
      </c>
      <c r="B798" s="13">
        <f>IFERROR(__xludf.DUMMYFUNCTION("GOOGLEFINANCE(A798,""PRICE"")"),286.95)</f>
        <v>286.95</v>
      </c>
      <c r="C798" s="14">
        <f>IFERROR(__xludf.DUMMYFUNCTION("GOOGLEFINANCE(A798,""PRICEOPEN"")"),286.3)</f>
        <v>286.3</v>
      </c>
      <c r="D798" s="14">
        <f>IFERROR(__xludf.DUMMYFUNCTION("GOOGLEFINANCE(A798,""HIGH"")"),287.45)</f>
        <v>287.45</v>
      </c>
      <c r="E798" s="14">
        <f>IFERROR(__xludf.DUMMYFUNCTION("GOOGLEFINANCE(A798,""LOW"")"),279.55)</f>
        <v>279.55</v>
      </c>
      <c r="F798" s="15" t="str">
        <f t="shared" si="8"/>
        <v/>
      </c>
      <c r="G798" s="16">
        <f>IFERROR(__xludf.DUMMYFUNCTION("GOOGLEFINANCE(A798,""CLOSEYEST"")"),282.9)</f>
        <v>282.9</v>
      </c>
      <c r="H798" s="17" t="str">
        <f t="shared" si="14"/>
        <v>GAP UP</v>
      </c>
      <c r="I798" s="18">
        <f t="shared" si="9"/>
        <v>283.3</v>
      </c>
      <c r="J798" s="19">
        <f t="shared" si="10"/>
        <v>287.05</v>
      </c>
      <c r="K798" s="19"/>
      <c r="L798" s="19">
        <f t="shared" si="11"/>
        <v>279.15</v>
      </c>
      <c r="M798" s="19">
        <f t="shared" si="12"/>
        <v>291.2</v>
      </c>
      <c r="N798" s="19">
        <f t="shared" si="13"/>
        <v>275.4</v>
      </c>
    </row>
    <row r="799" ht="24.75" customHeight="1">
      <c r="A799" s="21" t="s">
        <v>762</v>
      </c>
      <c r="B799" s="13">
        <f>IFERROR(__xludf.DUMMYFUNCTION("GOOGLEFINANCE(A799,""PRICE"")"),79.11)</f>
        <v>79.11</v>
      </c>
      <c r="C799" s="14">
        <f>IFERROR(__xludf.DUMMYFUNCTION("GOOGLEFINANCE(A799,""PRICEOPEN"")"),77.85)</f>
        <v>77.85</v>
      </c>
      <c r="D799" s="14">
        <f>IFERROR(__xludf.DUMMYFUNCTION("GOOGLEFINANCE(A799,""HIGH"")"),80.75)</f>
        <v>80.75</v>
      </c>
      <c r="E799" s="14">
        <f>IFERROR(__xludf.DUMMYFUNCTION("GOOGLEFINANCE(A799,""LOW"")"),77.85)</f>
        <v>77.85</v>
      </c>
      <c r="F799" s="15" t="str">
        <f t="shared" si="8"/>
        <v>BUY</v>
      </c>
      <c r="G799" s="16">
        <f>IFERROR(__xludf.DUMMYFUNCTION("GOOGLEFINANCE(A799,""CLOSEYEST"")"),78.15)</f>
        <v>78.15</v>
      </c>
      <c r="H799" s="17" t="str">
        <f t="shared" si="14"/>
        <v/>
      </c>
      <c r="I799" s="18">
        <f t="shared" si="9"/>
        <v>78.91666667</v>
      </c>
      <c r="J799" s="19">
        <f t="shared" si="10"/>
        <v>79.98333333</v>
      </c>
      <c r="K799" s="19"/>
      <c r="L799" s="19">
        <f t="shared" si="11"/>
        <v>77.08333333</v>
      </c>
      <c r="M799" s="19">
        <f t="shared" si="12"/>
        <v>81.81666667</v>
      </c>
      <c r="N799" s="19">
        <f t="shared" si="13"/>
        <v>76.01666667</v>
      </c>
    </row>
    <row r="800" ht="24.75" customHeight="1">
      <c r="A800" s="21" t="s">
        <v>763</v>
      </c>
      <c r="B800" s="13">
        <f>IFERROR(__xludf.DUMMYFUNCTION("GOOGLEFINANCE(A800,""PRICE"")"),29.72)</f>
        <v>29.72</v>
      </c>
      <c r="C800" s="14">
        <f>IFERROR(__xludf.DUMMYFUNCTION("GOOGLEFINANCE(A800,""PRICEOPEN"")"),29.5)</f>
        <v>29.5</v>
      </c>
      <c r="D800" s="14">
        <f>IFERROR(__xludf.DUMMYFUNCTION("GOOGLEFINANCE(A800,""HIGH"")"),29.85)</f>
        <v>29.85</v>
      </c>
      <c r="E800" s="14">
        <f>IFERROR(__xludf.DUMMYFUNCTION("GOOGLEFINANCE(A800,""LOW"")"),29.26)</f>
        <v>29.26</v>
      </c>
      <c r="F800" s="15" t="str">
        <f t="shared" si="8"/>
        <v/>
      </c>
      <c r="G800" s="16">
        <f>IFERROR(__xludf.DUMMYFUNCTION("GOOGLEFINANCE(A800,""CLOSEYEST"")"),29.37)</f>
        <v>29.37</v>
      </c>
      <c r="H800" s="17" t="str">
        <f t="shared" si="14"/>
        <v/>
      </c>
      <c r="I800" s="18">
        <f t="shared" si="9"/>
        <v>29.49333333</v>
      </c>
      <c r="J800" s="19">
        <f t="shared" si="10"/>
        <v>29.72666667</v>
      </c>
      <c r="K800" s="19"/>
      <c r="L800" s="19">
        <f t="shared" si="11"/>
        <v>29.13666667</v>
      </c>
      <c r="M800" s="19">
        <f t="shared" si="12"/>
        <v>30.08333333</v>
      </c>
      <c r="N800" s="19">
        <f t="shared" si="13"/>
        <v>28.90333333</v>
      </c>
    </row>
    <row r="801" ht="24.75" customHeight="1">
      <c r="A801" s="21" t="s">
        <v>764</v>
      </c>
      <c r="B801" s="13">
        <f>IFERROR(__xludf.DUMMYFUNCTION("GOOGLEFINANCE(A801,""PRICE"")"),141.26)</f>
        <v>141.26</v>
      </c>
      <c r="C801" s="14">
        <f>IFERROR(__xludf.DUMMYFUNCTION("GOOGLEFINANCE(A801,""PRICEOPEN"")"),137.75)</f>
        <v>137.75</v>
      </c>
      <c r="D801" s="14">
        <f>IFERROR(__xludf.DUMMYFUNCTION("GOOGLEFINANCE(A801,""HIGH"")"),144.7)</f>
        <v>144.7</v>
      </c>
      <c r="E801" s="14">
        <f>IFERROR(__xludf.DUMMYFUNCTION("GOOGLEFINANCE(A801,""LOW"")"),137.6)</f>
        <v>137.6</v>
      </c>
      <c r="F801" s="15" t="str">
        <f t="shared" si="8"/>
        <v/>
      </c>
      <c r="G801" s="16">
        <f>IFERROR(__xludf.DUMMYFUNCTION("GOOGLEFINANCE(A801,""CLOSEYEST"")"),137.55)</f>
        <v>137.55</v>
      </c>
      <c r="H801" s="17" t="str">
        <f t="shared" si="14"/>
        <v/>
      </c>
      <c r="I801" s="18">
        <f t="shared" si="9"/>
        <v>139.95</v>
      </c>
      <c r="J801" s="19">
        <f t="shared" si="10"/>
        <v>142.3</v>
      </c>
      <c r="K801" s="19"/>
      <c r="L801" s="19">
        <f t="shared" si="11"/>
        <v>135.2</v>
      </c>
      <c r="M801" s="19">
        <f t="shared" si="12"/>
        <v>147.05</v>
      </c>
      <c r="N801" s="19">
        <f t="shared" si="13"/>
        <v>132.85</v>
      </c>
    </row>
    <row r="802" ht="24.75" customHeight="1">
      <c r="A802" s="21" t="s">
        <v>765</v>
      </c>
      <c r="B802" s="13">
        <f>IFERROR(__xludf.DUMMYFUNCTION("GOOGLEFINANCE(A802,""PRICE"")"),205.0)</f>
        <v>205</v>
      </c>
      <c r="C802" s="14">
        <f>IFERROR(__xludf.DUMMYFUNCTION("GOOGLEFINANCE(A802,""PRICEOPEN"")"),199.86)</f>
        <v>199.86</v>
      </c>
      <c r="D802" s="14">
        <f>IFERROR(__xludf.DUMMYFUNCTION("GOOGLEFINANCE(A802,""HIGH"")"),208.4)</f>
        <v>208.4</v>
      </c>
      <c r="E802" s="14">
        <f>IFERROR(__xludf.DUMMYFUNCTION("GOOGLEFINANCE(A802,""LOW"")"),199.86)</f>
        <v>199.86</v>
      </c>
      <c r="F802" s="15" t="str">
        <f t="shared" si="8"/>
        <v>BUY</v>
      </c>
      <c r="G802" s="16">
        <f>IFERROR(__xludf.DUMMYFUNCTION("GOOGLEFINANCE(A802,""CLOSEYEST"")"),202.89)</f>
        <v>202.89</v>
      </c>
      <c r="H802" s="17" t="str">
        <f t="shared" si="14"/>
        <v>GAP DOWN</v>
      </c>
      <c r="I802" s="18">
        <f t="shared" si="9"/>
        <v>203.7166667</v>
      </c>
      <c r="J802" s="19">
        <f t="shared" si="10"/>
        <v>207.5733333</v>
      </c>
      <c r="K802" s="19"/>
      <c r="L802" s="19">
        <f t="shared" si="11"/>
        <v>199.0333333</v>
      </c>
      <c r="M802" s="19">
        <f t="shared" si="12"/>
        <v>212.2566667</v>
      </c>
      <c r="N802" s="19">
        <f t="shared" si="13"/>
        <v>195.1766667</v>
      </c>
    </row>
    <row r="803" ht="24.75" customHeight="1">
      <c r="A803" s="21" t="s">
        <v>766</v>
      </c>
      <c r="B803" s="13">
        <f>IFERROR(__xludf.DUMMYFUNCTION("GOOGLEFINANCE(A803,""PRICE"")"),1321.4)</f>
        <v>1321.4</v>
      </c>
      <c r="C803" s="14">
        <f>IFERROR(__xludf.DUMMYFUNCTION("GOOGLEFINANCE(A803,""PRICEOPEN"")"),1348.1)</f>
        <v>1348.1</v>
      </c>
      <c r="D803" s="14">
        <f>IFERROR(__xludf.DUMMYFUNCTION("GOOGLEFINANCE(A803,""HIGH"")"),1356.1)</f>
        <v>1356.1</v>
      </c>
      <c r="E803" s="14">
        <f>IFERROR(__xludf.DUMMYFUNCTION("GOOGLEFINANCE(A803,""LOW"")"),1310.0)</f>
        <v>1310</v>
      </c>
      <c r="F803" s="15" t="str">
        <f t="shared" si="8"/>
        <v/>
      </c>
      <c r="G803" s="16">
        <f>IFERROR(__xludf.DUMMYFUNCTION("GOOGLEFINANCE(A803,""CLOSEYEST"")"),1358.8)</f>
        <v>1358.8</v>
      </c>
      <c r="H803" s="17" t="str">
        <f t="shared" si="14"/>
        <v/>
      </c>
      <c r="I803" s="18">
        <f t="shared" si="9"/>
        <v>1341.633333</v>
      </c>
      <c r="J803" s="19">
        <f t="shared" si="10"/>
        <v>1373.266667</v>
      </c>
      <c r="K803" s="19"/>
      <c r="L803" s="19">
        <f t="shared" si="11"/>
        <v>1327.166667</v>
      </c>
      <c r="M803" s="19">
        <f t="shared" si="12"/>
        <v>1387.733333</v>
      </c>
      <c r="N803" s="19">
        <f t="shared" si="13"/>
        <v>1295.533333</v>
      </c>
    </row>
    <row r="804" ht="24.75" customHeight="1">
      <c r="A804" s="21" t="s">
        <v>767</v>
      </c>
      <c r="B804" s="13">
        <f>IFERROR(__xludf.DUMMYFUNCTION("GOOGLEFINANCE(A804,""PRICE"")"),38.72)</f>
        <v>38.72</v>
      </c>
      <c r="C804" s="14">
        <f>IFERROR(__xludf.DUMMYFUNCTION("GOOGLEFINANCE(A804,""PRICEOPEN"")"),38.99)</f>
        <v>38.99</v>
      </c>
      <c r="D804" s="14">
        <f>IFERROR(__xludf.DUMMYFUNCTION("GOOGLEFINANCE(A804,""HIGH"")"),39.45)</f>
        <v>39.45</v>
      </c>
      <c r="E804" s="14">
        <f>IFERROR(__xludf.DUMMYFUNCTION("GOOGLEFINANCE(A804,""LOW"")"),38.51)</f>
        <v>38.51</v>
      </c>
      <c r="F804" s="15" t="str">
        <f t="shared" si="8"/>
        <v/>
      </c>
      <c r="G804" s="16">
        <f>IFERROR(__xludf.DUMMYFUNCTION("GOOGLEFINANCE(A804,""CLOSEYEST"")"),38.88)</f>
        <v>38.88</v>
      </c>
      <c r="H804" s="17" t="str">
        <f t="shared" si="14"/>
        <v/>
      </c>
      <c r="I804" s="18">
        <f t="shared" si="9"/>
        <v>38.94666667</v>
      </c>
      <c r="J804" s="19">
        <f t="shared" si="10"/>
        <v>39.38333333</v>
      </c>
      <c r="K804" s="19"/>
      <c r="L804" s="19">
        <f t="shared" si="11"/>
        <v>38.44333333</v>
      </c>
      <c r="M804" s="19">
        <f t="shared" si="12"/>
        <v>39.88666667</v>
      </c>
      <c r="N804" s="19">
        <f t="shared" si="13"/>
        <v>38.00666667</v>
      </c>
    </row>
    <row r="805" ht="24.75" customHeight="1">
      <c r="A805" s="21" t="s">
        <v>768</v>
      </c>
      <c r="B805" s="13">
        <f>IFERROR(__xludf.DUMMYFUNCTION("GOOGLEFINANCE(A805,""PRICE"")"),495.05)</f>
        <v>495.05</v>
      </c>
      <c r="C805" s="14">
        <f>IFERROR(__xludf.DUMMYFUNCTION("GOOGLEFINANCE(A805,""PRICEOPEN"")"),490.0)</f>
        <v>490</v>
      </c>
      <c r="D805" s="14">
        <f>IFERROR(__xludf.DUMMYFUNCTION("GOOGLEFINANCE(A805,""HIGH"")"),502.45)</f>
        <v>502.45</v>
      </c>
      <c r="E805" s="14">
        <f>IFERROR(__xludf.DUMMYFUNCTION("GOOGLEFINANCE(A805,""LOW"")"),483.35)</f>
        <v>483.35</v>
      </c>
      <c r="F805" s="15" t="str">
        <f t="shared" si="8"/>
        <v/>
      </c>
      <c r="G805" s="16">
        <f>IFERROR(__xludf.DUMMYFUNCTION("GOOGLEFINANCE(A805,""CLOSEYEST"")"),488.7)</f>
        <v>488.7</v>
      </c>
      <c r="H805" s="17" t="str">
        <f t="shared" si="14"/>
        <v/>
      </c>
      <c r="I805" s="18">
        <f t="shared" si="9"/>
        <v>491.5</v>
      </c>
      <c r="J805" s="19">
        <f t="shared" si="10"/>
        <v>499.65</v>
      </c>
      <c r="K805" s="19"/>
      <c r="L805" s="19">
        <f t="shared" si="11"/>
        <v>480.55</v>
      </c>
      <c r="M805" s="19">
        <f t="shared" si="12"/>
        <v>510.6</v>
      </c>
      <c r="N805" s="19">
        <f t="shared" si="13"/>
        <v>472.4</v>
      </c>
    </row>
    <row r="806" ht="24.75" customHeight="1">
      <c r="A806" s="21" t="s">
        <v>769</v>
      </c>
      <c r="B806" s="13" t="str">
        <f>IFERROR(__xludf.DUMMYFUNCTION("GOOGLEFINANCE(A806,""PRICE"")"),"#N/A")</f>
        <v>#N/A</v>
      </c>
      <c r="C806" s="14" t="str">
        <f>IFERROR(__xludf.DUMMYFUNCTION("GOOGLEFINANCE(A806,""PRICEOPEN"")"),"#N/A")</f>
        <v>#N/A</v>
      </c>
      <c r="D806" s="14" t="str">
        <f>IFERROR(__xludf.DUMMYFUNCTION("GOOGLEFINANCE(A806,""HIGH"")"),"#N/A")</f>
        <v>#N/A</v>
      </c>
      <c r="E806" s="14" t="str">
        <f>IFERROR(__xludf.DUMMYFUNCTION("GOOGLEFINANCE(A806,""LOW"")"),"#N/A")</f>
        <v>#N/A</v>
      </c>
      <c r="F806" s="15" t="str">
        <f t="shared" si="8"/>
        <v>#N/A</v>
      </c>
      <c r="G806" s="16" t="str">
        <f>IFERROR(__xludf.DUMMYFUNCTION("GOOGLEFINANCE(A806,""CLOSEYEST"")"),"#N/A")</f>
        <v>#N/A</v>
      </c>
      <c r="H806" s="17" t="str">
        <f t="shared" si="14"/>
        <v>#N/A</v>
      </c>
      <c r="I806" s="18" t="str">
        <f t="shared" si="9"/>
        <v>#N/A</v>
      </c>
      <c r="J806" s="19" t="str">
        <f t="shared" si="10"/>
        <v>#N/A</v>
      </c>
      <c r="K806" s="19"/>
      <c r="L806" s="19" t="str">
        <f t="shared" si="11"/>
        <v>#N/A</v>
      </c>
      <c r="M806" s="19" t="str">
        <f t="shared" si="12"/>
        <v>#N/A</v>
      </c>
      <c r="N806" s="19" t="str">
        <f t="shared" si="13"/>
        <v>#N/A</v>
      </c>
    </row>
    <row r="807" ht="24.75" customHeight="1">
      <c r="A807" s="21" t="s">
        <v>770</v>
      </c>
      <c r="B807" s="13">
        <f>IFERROR(__xludf.DUMMYFUNCTION("GOOGLEFINANCE(A807,""PRICE"")"),2081.7)</f>
        <v>2081.7</v>
      </c>
      <c r="C807" s="14">
        <f>IFERROR(__xludf.DUMMYFUNCTION("GOOGLEFINANCE(A807,""PRICEOPEN"")"),2050.0)</f>
        <v>2050</v>
      </c>
      <c r="D807" s="14">
        <f>IFERROR(__xludf.DUMMYFUNCTION("GOOGLEFINANCE(A807,""HIGH"")"),2100.0)</f>
        <v>2100</v>
      </c>
      <c r="E807" s="14">
        <f>IFERROR(__xludf.DUMMYFUNCTION("GOOGLEFINANCE(A807,""LOW"")"),2027.3)</f>
        <v>2027.3</v>
      </c>
      <c r="F807" s="15" t="str">
        <f t="shared" si="8"/>
        <v/>
      </c>
      <c r="G807" s="16">
        <f>IFERROR(__xludf.DUMMYFUNCTION("GOOGLEFINANCE(A807,""CLOSEYEST"")"),2028.4)</f>
        <v>2028.4</v>
      </c>
      <c r="H807" s="17" t="str">
        <f t="shared" si="14"/>
        <v>GAP UP</v>
      </c>
      <c r="I807" s="18">
        <f t="shared" si="9"/>
        <v>2051.9</v>
      </c>
      <c r="J807" s="19">
        <f t="shared" si="10"/>
        <v>2076.5</v>
      </c>
      <c r="K807" s="19"/>
      <c r="L807" s="19">
        <f t="shared" si="11"/>
        <v>2003.8</v>
      </c>
      <c r="M807" s="19">
        <f t="shared" si="12"/>
        <v>2124.6</v>
      </c>
      <c r="N807" s="19">
        <f t="shared" si="13"/>
        <v>1979.2</v>
      </c>
    </row>
    <row r="808" ht="24.75" customHeight="1">
      <c r="A808" s="21" t="s">
        <v>771</v>
      </c>
      <c r="B808" s="13">
        <f>IFERROR(__xludf.DUMMYFUNCTION("GOOGLEFINANCE(A808,""PRICE"")"),312.0)</f>
        <v>312</v>
      </c>
      <c r="C808" s="14">
        <f>IFERROR(__xludf.DUMMYFUNCTION("GOOGLEFINANCE(A808,""PRICEOPEN"")"),314.6)</f>
        <v>314.6</v>
      </c>
      <c r="D808" s="14">
        <f>IFERROR(__xludf.DUMMYFUNCTION("GOOGLEFINANCE(A808,""HIGH"")"),314.6)</f>
        <v>314.6</v>
      </c>
      <c r="E808" s="14">
        <f>IFERROR(__xludf.DUMMYFUNCTION("GOOGLEFINANCE(A808,""LOW"")"),306.95)</f>
        <v>306.95</v>
      </c>
      <c r="F808" s="15" t="str">
        <f t="shared" si="8"/>
        <v>SELL</v>
      </c>
      <c r="G808" s="16">
        <f>IFERROR(__xludf.DUMMYFUNCTION("GOOGLEFINANCE(A808,""CLOSEYEST"")"),311.65)</f>
        <v>311.65</v>
      </c>
      <c r="H808" s="17" t="str">
        <f t="shared" si="14"/>
        <v/>
      </c>
      <c r="I808" s="18">
        <f t="shared" si="9"/>
        <v>311.0666667</v>
      </c>
      <c r="J808" s="19">
        <f t="shared" si="10"/>
        <v>315.1833333</v>
      </c>
      <c r="K808" s="19"/>
      <c r="L808" s="19">
        <f t="shared" si="11"/>
        <v>307.5333333</v>
      </c>
      <c r="M808" s="19">
        <f t="shared" si="12"/>
        <v>318.7166667</v>
      </c>
      <c r="N808" s="19">
        <f t="shared" si="13"/>
        <v>303.4166667</v>
      </c>
    </row>
    <row r="809" ht="24.75" customHeight="1">
      <c r="A809" s="21" t="s">
        <v>772</v>
      </c>
      <c r="B809" s="13">
        <f>IFERROR(__xludf.DUMMYFUNCTION("GOOGLEFINANCE(A809,""PRICE"")"),72.44)</f>
        <v>72.44</v>
      </c>
      <c r="C809" s="14">
        <f>IFERROR(__xludf.DUMMYFUNCTION("GOOGLEFINANCE(A809,""PRICEOPEN"")"),71.68)</f>
        <v>71.68</v>
      </c>
      <c r="D809" s="14">
        <f>IFERROR(__xludf.DUMMYFUNCTION("GOOGLEFINANCE(A809,""HIGH"")"),72.5)</f>
        <v>72.5</v>
      </c>
      <c r="E809" s="14">
        <f>IFERROR(__xludf.DUMMYFUNCTION("GOOGLEFINANCE(A809,""LOW"")"),71.53)</f>
        <v>71.53</v>
      </c>
      <c r="F809" s="15" t="str">
        <f t="shared" si="8"/>
        <v/>
      </c>
      <c r="G809" s="16">
        <f>IFERROR(__xludf.DUMMYFUNCTION("GOOGLEFINANCE(A809,""CLOSEYEST"")"),71.5)</f>
        <v>71.5</v>
      </c>
      <c r="H809" s="17" t="str">
        <f t="shared" si="14"/>
        <v/>
      </c>
      <c r="I809" s="18">
        <f t="shared" si="9"/>
        <v>71.84333333</v>
      </c>
      <c r="J809" s="19">
        <f t="shared" si="10"/>
        <v>72.15666667</v>
      </c>
      <c r="K809" s="19"/>
      <c r="L809" s="19">
        <f t="shared" si="11"/>
        <v>71.18666667</v>
      </c>
      <c r="M809" s="19">
        <f t="shared" si="12"/>
        <v>72.81333333</v>
      </c>
      <c r="N809" s="19">
        <f t="shared" si="13"/>
        <v>70.87333333</v>
      </c>
    </row>
    <row r="810" ht="24.75" customHeight="1">
      <c r="A810" s="21" t="s">
        <v>773</v>
      </c>
      <c r="B810" s="13">
        <f>IFERROR(__xludf.DUMMYFUNCTION("GOOGLEFINANCE(A810,""PRICE"")"),0.56)</f>
        <v>0.56</v>
      </c>
      <c r="C810" s="14">
        <f>IFERROR(__xludf.DUMMYFUNCTION("GOOGLEFINANCE(A810,""PRICEOPEN"")"),0.53)</f>
        <v>0.53</v>
      </c>
      <c r="D810" s="14">
        <f>IFERROR(__xludf.DUMMYFUNCTION("GOOGLEFINANCE(A810,""HIGH"")"),0.59)</f>
        <v>0.59</v>
      </c>
      <c r="E810" s="14">
        <f>IFERROR(__xludf.DUMMYFUNCTION("GOOGLEFINANCE(A810,""LOW"")"),0.53)</f>
        <v>0.53</v>
      </c>
      <c r="F810" s="15" t="str">
        <f t="shared" si="8"/>
        <v>BUY</v>
      </c>
      <c r="G810" s="16">
        <f>IFERROR(__xludf.DUMMYFUNCTION("GOOGLEFINANCE(A810,""CLOSEYEST"")"),0.53)</f>
        <v>0.53</v>
      </c>
      <c r="H810" s="17" t="str">
        <f t="shared" si="14"/>
        <v/>
      </c>
      <c r="I810" s="18">
        <f t="shared" si="9"/>
        <v>0.55</v>
      </c>
      <c r="J810" s="19">
        <f t="shared" si="10"/>
        <v>0.57</v>
      </c>
      <c r="K810" s="19"/>
      <c r="L810" s="19">
        <f t="shared" si="11"/>
        <v>0.51</v>
      </c>
      <c r="M810" s="19">
        <f t="shared" si="12"/>
        <v>0.61</v>
      </c>
      <c r="N810" s="19">
        <f t="shared" si="13"/>
        <v>0.49</v>
      </c>
    </row>
    <row r="811" ht="24.75" customHeight="1">
      <c r="A811" s="21" t="s">
        <v>774</v>
      </c>
      <c r="B811" s="13">
        <f>IFERROR(__xludf.DUMMYFUNCTION("GOOGLEFINANCE(A811,""PRICE"")"),747.0)</f>
        <v>747</v>
      </c>
      <c r="C811" s="14">
        <f>IFERROR(__xludf.DUMMYFUNCTION("GOOGLEFINANCE(A811,""PRICEOPEN"")"),726.6)</f>
        <v>726.6</v>
      </c>
      <c r="D811" s="14">
        <f>IFERROR(__xludf.DUMMYFUNCTION("GOOGLEFINANCE(A811,""HIGH"")"),748.95)</f>
        <v>748.95</v>
      </c>
      <c r="E811" s="14">
        <f>IFERROR(__xludf.DUMMYFUNCTION("GOOGLEFINANCE(A811,""LOW"")"),716.8)</f>
        <v>716.8</v>
      </c>
      <c r="F811" s="15" t="str">
        <f t="shared" si="8"/>
        <v/>
      </c>
      <c r="G811" s="16">
        <f>IFERROR(__xludf.DUMMYFUNCTION("GOOGLEFINANCE(A811,""CLOSEYEST"")"),720.15)</f>
        <v>720.15</v>
      </c>
      <c r="H811" s="17" t="str">
        <f t="shared" si="14"/>
        <v/>
      </c>
      <c r="I811" s="18">
        <f t="shared" si="9"/>
        <v>728.6333333</v>
      </c>
      <c r="J811" s="19">
        <f t="shared" si="10"/>
        <v>740.4666667</v>
      </c>
      <c r="K811" s="19"/>
      <c r="L811" s="19">
        <f t="shared" si="11"/>
        <v>708.3166667</v>
      </c>
      <c r="M811" s="19">
        <f t="shared" si="12"/>
        <v>760.7833333</v>
      </c>
      <c r="N811" s="19">
        <f t="shared" si="13"/>
        <v>696.4833333</v>
      </c>
    </row>
    <row r="812" ht="24.75" customHeight="1">
      <c r="A812" s="21" t="s">
        <v>775</v>
      </c>
      <c r="B812" s="13">
        <f>IFERROR(__xludf.DUMMYFUNCTION("GOOGLEFINANCE(A812,""PRICE"")"),762.9)</f>
        <v>762.9</v>
      </c>
      <c r="C812" s="14">
        <f>IFERROR(__xludf.DUMMYFUNCTION("GOOGLEFINANCE(A812,""PRICEOPEN"")"),760.3)</f>
        <v>760.3</v>
      </c>
      <c r="D812" s="14">
        <f>IFERROR(__xludf.DUMMYFUNCTION("GOOGLEFINANCE(A812,""HIGH"")"),771.0)</f>
        <v>771</v>
      </c>
      <c r="E812" s="14">
        <f>IFERROR(__xludf.DUMMYFUNCTION("GOOGLEFINANCE(A812,""LOW"")"),756.2)</f>
        <v>756.2</v>
      </c>
      <c r="F812" s="15" t="str">
        <f t="shared" si="8"/>
        <v/>
      </c>
      <c r="G812" s="16">
        <f>IFERROR(__xludf.DUMMYFUNCTION("GOOGLEFINANCE(A812,""CLOSEYEST"")"),755.6)</f>
        <v>755.6</v>
      </c>
      <c r="H812" s="17" t="str">
        <f t="shared" si="14"/>
        <v/>
      </c>
      <c r="I812" s="18">
        <f t="shared" si="9"/>
        <v>760.9333333</v>
      </c>
      <c r="J812" s="19">
        <f t="shared" si="10"/>
        <v>765.6666667</v>
      </c>
      <c r="K812" s="19"/>
      <c r="L812" s="19">
        <f t="shared" si="11"/>
        <v>750.8666667</v>
      </c>
      <c r="M812" s="19">
        <f t="shared" si="12"/>
        <v>775.7333333</v>
      </c>
      <c r="N812" s="19">
        <f t="shared" si="13"/>
        <v>746.1333333</v>
      </c>
    </row>
    <row r="813" ht="24.75" customHeight="1">
      <c r="A813" s="21" t="s">
        <v>776</v>
      </c>
      <c r="B813" s="13">
        <f>IFERROR(__xludf.DUMMYFUNCTION("GOOGLEFINANCE(A813,""PRICE"")"),1517.4)</f>
        <v>1517.4</v>
      </c>
      <c r="C813" s="14">
        <f>IFERROR(__xludf.DUMMYFUNCTION("GOOGLEFINANCE(A813,""PRICEOPEN"")"),1525.6)</f>
        <v>1525.6</v>
      </c>
      <c r="D813" s="14">
        <f>IFERROR(__xludf.DUMMYFUNCTION("GOOGLEFINANCE(A813,""HIGH"")"),1544.9)</f>
        <v>1544.9</v>
      </c>
      <c r="E813" s="14">
        <f>IFERROR(__xludf.DUMMYFUNCTION("GOOGLEFINANCE(A813,""LOW"")"),1512.7)</f>
        <v>1512.7</v>
      </c>
      <c r="F813" s="15" t="str">
        <f t="shared" si="8"/>
        <v/>
      </c>
      <c r="G813" s="16">
        <f>IFERROR(__xludf.DUMMYFUNCTION("GOOGLEFINANCE(A813,""CLOSEYEST"")"),1525.6)</f>
        <v>1525.6</v>
      </c>
      <c r="H813" s="17" t="str">
        <f t="shared" si="14"/>
        <v/>
      </c>
      <c r="I813" s="18">
        <f t="shared" si="9"/>
        <v>1527.733333</v>
      </c>
      <c r="J813" s="19">
        <f t="shared" si="10"/>
        <v>1542.766667</v>
      </c>
      <c r="K813" s="19"/>
      <c r="L813" s="19">
        <f t="shared" si="11"/>
        <v>1510.566667</v>
      </c>
      <c r="M813" s="19">
        <f t="shared" si="12"/>
        <v>1559.933333</v>
      </c>
      <c r="N813" s="19">
        <f t="shared" si="13"/>
        <v>1495.533333</v>
      </c>
    </row>
    <row r="814" ht="24.75" customHeight="1">
      <c r="A814" s="21" t="s">
        <v>777</v>
      </c>
      <c r="B814" s="13">
        <f>IFERROR(__xludf.DUMMYFUNCTION("GOOGLEFINANCE(A814,""PRICE"")"),240.0)</f>
        <v>240</v>
      </c>
      <c r="C814" s="14">
        <f>IFERROR(__xludf.DUMMYFUNCTION("GOOGLEFINANCE(A814,""PRICEOPEN"")"),230.0)</f>
        <v>230</v>
      </c>
      <c r="D814" s="14">
        <f>IFERROR(__xludf.DUMMYFUNCTION("GOOGLEFINANCE(A814,""HIGH"")"),243.13)</f>
        <v>243.13</v>
      </c>
      <c r="E814" s="14">
        <f>IFERROR(__xludf.DUMMYFUNCTION("GOOGLEFINANCE(A814,""LOW"")"),230.0)</f>
        <v>230</v>
      </c>
      <c r="F814" s="15" t="str">
        <f t="shared" si="8"/>
        <v>BUY</v>
      </c>
      <c r="G814" s="16">
        <f>IFERROR(__xludf.DUMMYFUNCTION("GOOGLEFINANCE(A814,""CLOSEYEST"")"),230.78)</f>
        <v>230.78</v>
      </c>
      <c r="H814" s="17" t="str">
        <f t="shared" si="14"/>
        <v/>
      </c>
      <c r="I814" s="18">
        <f t="shared" si="9"/>
        <v>234.6366667</v>
      </c>
      <c r="J814" s="19">
        <f t="shared" si="10"/>
        <v>239.2733333</v>
      </c>
      <c r="K814" s="19"/>
      <c r="L814" s="19">
        <f t="shared" si="11"/>
        <v>226.1433333</v>
      </c>
      <c r="M814" s="19">
        <f t="shared" si="12"/>
        <v>247.7666667</v>
      </c>
      <c r="N814" s="19">
        <f t="shared" si="13"/>
        <v>221.5066667</v>
      </c>
    </row>
    <row r="815" ht="24.75" customHeight="1">
      <c r="A815" s="21" t="s">
        <v>778</v>
      </c>
      <c r="B815" s="13">
        <f>IFERROR(__xludf.DUMMYFUNCTION("GOOGLEFINANCE(A815,""PRICE"")"),74.9)</f>
        <v>74.9</v>
      </c>
      <c r="C815" s="14">
        <f>IFERROR(__xludf.DUMMYFUNCTION("GOOGLEFINANCE(A815,""PRICEOPEN"")"),75.64)</f>
        <v>75.64</v>
      </c>
      <c r="D815" s="14">
        <f>IFERROR(__xludf.DUMMYFUNCTION("GOOGLEFINANCE(A815,""HIGH"")"),75.7)</f>
        <v>75.7</v>
      </c>
      <c r="E815" s="14">
        <f>IFERROR(__xludf.DUMMYFUNCTION("GOOGLEFINANCE(A815,""LOW"")"),74.66)</f>
        <v>74.66</v>
      </c>
      <c r="F815" s="15" t="str">
        <f t="shared" si="8"/>
        <v/>
      </c>
      <c r="G815" s="16">
        <f>IFERROR(__xludf.DUMMYFUNCTION("GOOGLEFINANCE(A815,""CLOSEYEST"")"),75.64)</f>
        <v>75.64</v>
      </c>
      <c r="H815" s="17" t="str">
        <f t="shared" si="14"/>
        <v/>
      </c>
      <c r="I815" s="18">
        <f t="shared" si="9"/>
        <v>75.33333333</v>
      </c>
      <c r="J815" s="19">
        <f t="shared" si="10"/>
        <v>76.00666667</v>
      </c>
      <c r="K815" s="19"/>
      <c r="L815" s="19">
        <f t="shared" si="11"/>
        <v>74.96666667</v>
      </c>
      <c r="M815" s="19">
        <f t="shared" si="12"/>
        <v>76.37333333</v>
      </c>
      <c r="N815" s="19">
        <f t="shared" si="13"/>
        <v>74.29333333</v>
      </c>
    </row>
    <row r="816" ht="24.75" customHeight="1">
      <c r="A816" s="21" t="s">
        <v>779</v>
      </c>
      <c r="B816" s="13">
        <f>IFERROR(__xludf.DUMMYFUNCTION("GOOGLEFINANCE(A816,""PRICE"")"),906.0)</f>
        <v>906</v>
      </c>
      <c r="C816" s="14">
        <f>IFERROR(__xludf.DUMMYFUNCTION("GOOGLEFINANCE(A816,""PRICEOPEN"")"),872.95)</f>
        <v>872.95</v>
      </c>
      <c r="D816" s="14">
        <f>IFERROR(__xludf.DUMMYFUNCTION("GOOGLEFINANCE(A816,""HIGH"")"),914.9)</f>
        <v>914.9</v>
      </c>
      <c r="E816" s="14">
        <f>IFERROR(__xludf.DUMMYFUNCTION("GOOGLEFINANCE(A816,""LOW"")"),863.0)</f>
        <v>863</v>
      </c>
      <c r="F816" s="15" t="str">
        <f t="shared" si="8"/>
        <v/>
      </c>
      <c r="G816" s="16">
        <f>IFERROR(__xludf.DUMMYFUNCTION("GOOGLEFINANCE(A816,""CLOSEYEST"")"),858.7)</f>
        <v>858.7</v>
      </c>
      <c r="H816" s="17" t="str">
        <f t="shared" si="14"/>
        <v>GAP UP</v>
      </c>
      <c r="I816" s="18">
        <f t="shared" si="9"/>
        <v>878.8666667</v>
      </c>
      <c r="J816" s="19">
        <f t="shared" si="10"/>
        <v>894.7333333</v>
      </c>
      <c r="K816" s="19"/>
      <c r="L816" s="19">
        <f t="shared" si="11"/>
        <v>842.8333333</v>
      </c>
      <c r="M816" s="19">
        <f t="shared" si="12"/>
        <v>930.7666667</v>
      </c>
      <c r="N816" s="19">
        <f t="shared" si="13"/>
        <v>826.9666667</v>
      </c>
    </row>
    <row r="817" ht="24.75" customHeight="1">
      <c r="A817" s="21" t="s">
        <v>780</v>
      </c>
      <c r="B817" s="13">
        <f>IFERROR(__xludf.DUMMYFUNCTION("GOOGLEFINANCE(A817,""PRICE"")"),117.2)</f>
        <v>117.2</v>
      </c>
      <c r="C817" s="14">
        <f>IFERROR(__xludf.DUMMYFUNCTION("GOOGLEFINANCE(A817,""PRICEOPEN"")"),115.4)</f>
        <v>115.4</v>
      </c>
      <c r="D817" s="14">
        <f>IFERROR(__xludf.DUMMYFUNCTION("GOOGLEFINANCE(A817,""HIGH"")"),117.4)</f>
        <v>117.4</v>
      </c>
      <c r="E817" s="14">
        <f>IFERROR(__xludf.DUMMYFUNCTION("GOOGLEFINANCE(A817,""LOW"")"),115.4)</f>
        <v>115.4</v>
      </c>
      <c r="F817" s="15" t="str">
        <f t="shared" si="8"/>
        <v>BUY</v>
      </c>
      <c r="G817" s="16">
        <f>IFERROR(__xludf.DUMMYFUNCTION("GOOGLEFINANCE(A817,""CLOSEYEST"")"),115.2)</f>
        <v>115.2</v>
      </c>
      <c r="H817" s="17" t="str">
        <f t="shared" si="14"/>
        <v/>
      </c>
      <c r="I817" s="18">
        <f t="shared" si="9"/>
        <v>116</v>
      </c>
      <c r="J817" s="19">
        <f t="shared" si="10"/>
        <v>116.6</v>
      </c>
      <c r="K817" s="19"/>
      <c r="L817" s="19">
        <f t="shared" si="11"/>
        <v>114.6</v>
      </c>
      <c r="M817" s="19">
        <f t="shared" si="12"/>
        <v>118</v>
      </c>
      <c r="N817" s="19">
        <f t="shared" si="13"/>
        <v>114</v>
      </c>
    </row>
    <row r="818" ht="24.75" customHeight="1">
      <c r="A818" s="21" t="s">
        <v>781</v>
      </c>
      <c r="B818" s="13">
        <f>IFERROR(__xludf.DUMMYFUNCTION("GOOGLEFINANCE(A818,""PRICE"")"),121.0)</f>
        <v>121</v>
      </c>
      <c r="C818" s="14">
        <f>IFERROR(__xludf.DUMMYFUNCTION("GOOGLEFINANCE(A818,""PRICEOPEN"")"),120.0)</f>
        <v>120</v>
      </c>
      <c r="D818" s="14">
        <f>IFERROR(__xludf.DUMMYFUNCTION("GOOGLEFINANCE(A818,""HIGH"")"),124.48)</f>
        <v>124.48</v>
      </c>
      <c r="E818" s="14">
        <f>IFERROR(__xludf.DUMMYFUNCTION("GOOGLEFINANCE(A818,""LOW"")"),120.0)</f>
        <v>120</v>
      </c>
      <c r="F818" s="15" t="str">
        <f t="shared" si="8"/>
        <v>BUY</v>
      </c>
      <c r="G818" s="16">
        <f>IFERROR(__xludf.DUMMYFUNCTION("GOOGLEFINANCE(A818,""CLOSEYEST"")"),121.14)</f>
        <v>121.14</v>
      </c>
      <c r="H818" s="17" t="str">
        <f t="shared" si="14"/>
        <v/>
      </c>
      <c r="I818" s="18">
        <f t="shared" si="9"/>
        <v>121.8733333</v>
      </c>
      <c r="J818" s="19">
        <f t="shared" si="10"/>
        <v>123.7466667</v>
      </c>
      <c r="K818" s="19"/>
      <c r="L818" s="19">
        <f t="shared" si="11"/>
        <v>119.2666667</v>
      </c>
      <c r="M818" s="19">
        <f t="shared" si="12"/>
        <v>126.3533333</v>
      </c>
      <c r="N818" s="19">
        <f t="shared" si="13"/>
        <v>117.3933333</v>
      </c>
    </row>
    <row r="819" ht="24.75" customHeight="1">
      <c r="A819" s="21" t="s">
        <v>782</v>
      </c>
      <c r="B819" s="13" t="str">
        <f>IFERROR(__xludf.DUMMYFUNCTION("GOOGLEFINANCE(A819,""PRICE"")"),"#N/A")</f>
        <v>#N/A</v>
      </c>
      <c r="C819" s="14" t="str">
        <f>IFERROR(__xludf.DUMMYFUNCTION("GOOGLEFINANCE(A819,""PRICEOPEN"")"),"#N/A")</f>
        <v>#N/A</v>
      </c>
      <c r="D819" s="14" t="str">
        <f>IFERROR(__xludf.DUMMYFUNCTION("GOOGLEFINANCE(A819,""HIGH"")"),"#N/A")</f>
        <v>#N/A</v>
      </c>
      <c r="E819" s="14" t="str">
        <f>IFERROR(__xludf.DUMMYFUNCTION("GOOGLEFINANCE(A819,""LOW"")"),"#N/A")</f>
        <v>#N/A</v>
      </c>
      <c r="F819" s="15" t="str">
        <f t="shared" si="8"/>
        <v>#N/A</v>
      </c>
      <c r="G819" s="16" t="str">
        <f>IFERROR(__xludf.DUMMYFUNCTION("GOOGLEFINANCE(A819,""CLOSEYEST"")"),"#N/A")</f>
        <v>#N/A</v>
      </c>
      <c r="H819" s="17" t="str">
        <f t="shared" si="14"/>
        <v>#N/A</v>
      </c>
      <c r="I819" s="18" t="str">
        <f t="shared" si="9"/>
        <v>#N/A</v>
      </c>
      <c r="J819" s="19" t="str">
        <f t="shared" si="10"/>
        <v>#N/A</v>
      </c>
      <c r="K819" s="19"/>
      <c r="L819" s="19" t="str">
        <f t="shared" si="11"/>
        <v>#N/A</v>
      </c>
      <c r="M819" s="19" t="str">
        <f t="shared" si="12"/>
        <v>#N/A</v>
      </c>
      <c r="N819" s="19" t="str">
        <f t="shared" si="13"/>
        <v>#N/A</v>
      </c>
    </row>
    <row r="820" ht="24.75" customHeight="1">
      <c r="A820" s="21" t="s">
        <v>783</v>
      </c>
      <c r="B820" s="13">
        <f>IFERROR(__xludf.DUMMYFUNCTION("GOOGLEFINANCE(A820,""PRICE"")"),12.1)</f>
        <v>12.1</v>
      </c>
      <c r="C820" s="14">
        <f>IFERROR(__xludf.DUMMYFUNCTION("GOOGLEFINANCE(A820,""PRICEOPEN"")"),12.02)</f>
        <v>12.02</v>
      </c>
      <c r="D820" s="14">
        <f>IFERROR(__xludf.DUMMYFUNCTION("GOOGLEFINANCE(A820,""HIGH"")"),12.25)</f>
        <v>12.25</v>
      </c>
      <c r="E820" s="14">
        <f>IFERROR(__xludf.DUMMYFUNCTION("GOOGLEFINANCE(A820,""LOW"")"),12.0)</f>
        <v>12</v>
      </c>
      <c r="F820" s="15" t="str">
        <f t="shared" si="8"/>
        <v/>
      </c>
      <c r="G820" s="16">
        <f>IFERROR(__xludf.DUMMYFUNCTION("GOOGLEFINANCE(A820,""CLOSEYEST"")"),12.1)</f>
        <v>12.1</v>
      </c>
      <c r="H820" s="17" t="str">
        <f t="shared" si="14"/>
        <v/>
      </c>
      <c r="I820" s="18">
        <f t="shared" si="9"/>
        <v>12.11666667</v>
      </c>
      <c r="J820" s="19">
        <f t="shared" si="10"/>
        <v>12.23333333</v>
      </c>
      <c r="K820" s="19"/>
      <c r="L820" s="19">
        <f t="shared" si="11"/>
        <v>11.98333333</v>
      </c>
      <c r="M820" s="19">
        <f t="shared" si="12"/>
        <v>12.36666667</v>
      </c>
      <c r="N820" s="19">
        <f t="shared" si="13"/>
        <v>11.86666667</v>
      </c>
    </row>
    <row r="821" ht="24.75" customHeight="1">
      <c r="A821" s="21" t="s">
        <v>784</v>
      </c>
      <c r="B821" s="13">
        <f>IFERROR(__xludf.DUMMYFUNCTION("GOOGLEFINANCE(A821,""PRICE"")"),4575.0)</f>
        <v>4575</v>
      </c>
      <c r="C821" s="14">
        <f>IFERROR(__xludf.DUMMYFUNCTION("GOOGLEFINANCE(A821,""PRICEOPEN"")"),4490.0)</f>
        <v>4490</v>
      </c>
      <c r="D821" s="14">
        <f>IFERROR(__xludf.DUMMYFUNCTION("GOOGLEFINANCE(A821,""HIGH"")"),4587.0)</f>
        <v>4587</v>
      </c>
      <c r="E821" s="14">
        <f>IFERROR(__xludf.DUMMYFUNCTION("GOOGLEFINANCE(A821,""LOW"")"),4470.4)</f>
        <v>4470.4</v>
      </c>
      <c r="F821" s="15" t="str">
        <f t="shared" si="8"/>
        <v/>
      </c>
      <c r="G821" s="16">
        <f>IFERROR(__xludf.DUMMYFUNCTION("GOOGLEFINANCE(A821,""CLOSEYEST"")"),4470.4)</f>
        <v>4470.4</v>
      </c>
      <c r="H821" s="17" t="str">
        <f t="shared" si="14"/>
        <v/>
      </c>
      <c r="I821" s="18">
        <f t="shared" si="9"/>
        <v>4509.266667</v>
      </c>
      <c r="J821" s="19">
        <f t="shared" si="10"/>
        <v>4548.133333</v>
      </c>
      <c r="K821" s="19"/>
      <c r="L821" s="19">
        <f t="shared" si="11"/>
        <v>4431.533333</v>
      </c>
      <c r="M821" s="19">
        <f t="shared" si="12"/>
        <v>4625.866667</v>
      </c>
      <c r="N821" s="19">
        <f t="shared" si="13"/>
        <v>4392.666667</v>
      </c>
    </row>
    <row r="822" ht="24.75" customHeight="1">
      <c r="A822" s="21" t="s">
        <v>785</v>
      </c>
      <c r="B822" s="13" t="str">
        <f>IFERROR(__xludf.DUMMYFUNCTION("GOOGLEFINANCE(A822,""PRICE"")"),"#N/A")</f>
        <v>#N/A</v>
      </c>
      <c r="C822" s="14" t="str">
        <f>IFERROR(__xludf.DUMMYFUNCTION("GOOGLEFINANCE(A822,""PRICEOPEN"")"),"#N/A")</f>
        <v>#N/A</v>
      </c>
      <c r="D822" s="14" t="str">
        <f>IFERROR(__xludf.DUMMYFUNCTION("GOOGLEFINANCE(A822,""HIGH"")"),"#N/A")</f>
        <v>#N/A</v>
      </c>
      <c r="E822" s="14" t="str">
        <f>IFERROR(__xludf.DUMMYFUNCTION("GOOGLEFINANCE(A822,""LOW"")"),"#N/A")</f>
        <v>#N/A</v>
      </c>
      <c r="F822" s="15" t="str">
        <f t="shared" si="8"/>
        <v>#N/A</v>
      </c>
      <c r="G822" s="16" t="str">
        <f>IFERROR(__xludf.DUMMYFUNCTION("GOOGLEFINANCE(A822,""CLOSEYEST"")"),"#N/A")</f>
        <v>#N/A</v>
      </c>
      <c r="H822" s="17" t="str">
        <f t="shared" si="14"/>
        <v>#N/A</v>
      </c>
      <c r="I822" s="18" t="str">
        <f t="shared" si="9"/>
        <v>#N/A</v>
      </c>
      <c r="J822" s="19" t="str">
        <f t="shared" si="10"/>
        <v>#N/A</v>
      </c>
      <c r="K822" s="19"/>
      <c r="L822" s="19" t="str">
        <f t="shared" si="11"/>
        <v>#N/A</v>
      </c>
      <c r="M822" s="19" t="str">
        <f t="shared" si="12"/>
        <v>#N/A</v>
      </c>
      <c r="N822" s="19" t="str">
        <f t="shared" si="13"/>
        <v>#N/A</v>
      </c>
    </row>
    <row r="823" ht="24.75" customHeight="1">
      <c r="A823" s="21" t="s">
        <v>786</v>
      </c>
      <c r="B823" s="13">
        <f>IFERROR(__xludf.DUMMYFUNCTION("GOOGLEFINANCE(A823,""PRICE"")"),303.0)</f>
        <v>303</v>
      </c>
      <c r="C823" s="14">
        <f>IFERROR(__xludf.DUMMYFUNCTION("GOOGLEFINANCE(A823,""PRICEOPEN"")"),306.65)</f>
        <v>306.65</v>
      </c>
      <c r="D823" s="14">
        <f>IFERROR(__xludf.DUMMYFUNCTION("GOOGLEFINANCE(A823,""HIGH"")"),306.65)</f>
        <v>306.65</v>
      </c>
      <c r="E823" s="14">
        <f>IFERROR(__xludf.DUMMYFUNCTION("GOOGLEFINANCE(A823,""LOW"")"),299.0)</f>
        <v>299</v>
      </c>
      <c r="F823" s="15" t="str">
        <f t="shared" si="8"/>
        <v>SELL</v>
      </c>
      <c r="G823" s="16">
        <f>IFERROR(__xludf.DUMMYFUNCTION("GOOGLEFINANCE(A823,""CLOSEYEST"")"),303.65)</f>
        <v>303.65</v>
      </c>
      <c r="H823" s="17" t="str">
        <f t="shared" si="14"/>
        <v/>
      </c>
      <c r="I823" s="18">
        <f t="shared" si="9"/>
        <v>303.1</v>
      </c>
      <c r="J823" s="19">
        <f t="shared" si="10"/>
        <v>307.2</v>
      </c>
      <c r="K823" s="19"/>
      <c r="L823" s="19">
        <f t="shared" si="11"/>
        <v>299.55</v>
      </c>
      <c r="M823" s="19">
        <f t="shared" si="12"/>
        <v>310.75</v>
      </c>
      <c r="N823" s="19">
        <f t="shared" si="13"/>
        <v>295.45</v>
      </c>
    </row>
    <row r="824" ht="24.75" customHeight="1">
      <c r="A824" s="21" t="s">
        <v>787</v>
      </c>
      <c r="B824" s="13">
        <f>IFERROR(__xludf.DUMMYFUNCTION("GOOGLEFINANCE(A824,""PRICE"")"),220.1)</f>
        <v>220.1</v>
      </c>
      <c r="C824" s="14">
        <f>IFERROR(__xludf.DUMMYFUNCTION("GOOGLEFINANCE(A824,""PRICEOPEN"")"),223.19)</f>
        <v>223.19</v>
      </c>
      <c r="D824" s="14">
        <f>IFERROR(__xludf.DUMMYFUNCTION("GOOGLEFINANCE(A824,""HIGH"")"),223.89)</f>
        <v>223.89</v>
      </c>
      <c r="E824" s="14">
        <f>IFERROR(__xludf.DUMMYFUNCTION("GOOGLEFINANCE(A824,""LOW"")"),217.5)</f>
        <v>217.5</v>
      </c>
      <c r="F824" s="15" t="str">
        <f t="shared" si="8"/>
        <v/>
      </c>
      <c r="G824" s="16">
        <f>IFERROR(__xludf.DUMMYFUNCTION("GOOGLEFINANCE(A824,""CLOSEYEST"")"),221.71)</f>
        <v>221.71</v>
      </c>
      <c r="H824" s="17" t="str">
        <f t="shared" si="14"/>
        <v/>
      </c>
      <c r="I824" s="18">
        <f t="shared" si="9"/>
        <v>221.0333333</v>
      </c>
      <c r="J824" s="19">
        <f t="shared" si="10"/>
        <v>224.5666667</v>
      </c>
      <c r="K824" s="19"/>
      <c r="L824" s="19">
        <f t="shared" si="11"/>
        <v>218.1766667</v>
      </c>
      <c r="M824" s="19">
        <f t="shared" si="12"/>
        <v>227.4233333</v>
      </c>
      <c r="N824" s="19">
        <f t="shared" si="13"/>
        <v>214.6433333</v>
      </c>
    </row>
    <row r="825" ht="24.75" customHeight="1">
      <c r="A825" s="21" t="s">
        <v>788</v>
      </c>
      <c r="B825" s="13">
        <f>IFERROR(__xludf.DUMMYFUNCTION("GOOGLEFINANCE(A825,""PRICE"")"),13.25)</f>
        <v>13.25</v>
      </c>
      <c r="C825" s="14">
        <f>IFERROR(__xludf.DUMMYFUNCTION("GOOGLEFINANCE(A825,""PRICEOPEN"")"),13.33)</f>
        <v>13.33</v>
      </c>
      <c r="D825" s="14">
        <f>IFERROR(__xludf.DUMMYFUNCTION("GOOGLEFINANCE(A825,""HIGH"")"),13.39)</f>
        <v>13.39</v>
      </c>
      <c r="E825" s="14">
        <f>IFERROR(__xludf.DUMMYFUNCTION("GOOGLEFINANCE(A825,""LOW"")"),13.13)</f>
        <v>13.13</v>
      </c>
      <c r="F825" s="15" t="str">
        <f t="shared" si="8"/>
        <v/>
      </c>
      <c r="G825" s="16">
        <f>IFERROR(__xludf.DUMMYFUNCTION("GOOGLEFINANCE(A825,""CLOSEYEST"")"),13.23)</f>
        <v>13.23</v>
      </c>
      <c r="H825" s="17" t="str">
        <f t="shared" si="14"/>
        <v/>
      </c>
      <c r="I825" s="18">
        <f t="shared" si="9"/>
        <v>13.25</v>
      </c>
      <c r="J825" s="19">
        <f t="shared" si="10"/>
        <v>13.37</v>
      </c>
      <c r="K825" s="19"/>
      <c r="L825" s="19">
        <f t="shared" si="11"/>
        <v>13.11</v>
      </c>
      <c r="M825" s="19">
        <f t="shared" si="12"/>
        <v>13.51</v>
      </c>
      <c r="N825" s="19">
        <f t="shared" si="13"/>
        <v>12.99</v>
      </c>
    </row>
    <row r="826" ht="24.75" customHeight="1">
      <c r="A826" s="21" t="s">
        <v>789</v>
      </c>
      <c r="B826" s="13">
        <f>IFERROR(__xludf.DUMMYFUNCTION("GOOGLEFINANCE(A826,""PRICE"")"),876.0)</f>
        <v>876</v>
      </c>
      <c r="C826" s="14">
        <f>IFERROR(__xludf.DUMMYFUNCTION("GOOGLEFINANCE(A826,""PRICEOPEN"")"),874.0)</f>
        <v>874</v>
      </c>
      <c r="D826" s="14">
        <f>IFERROR(__xludf.DUMMYFUNCTION("GOOGLEFINANCE(A826,""HIGH"")"),885.5)</f>
        <v>885.5</v>
      </c>
      <c r="E826" s="14">
        <f>IFERROR(__xludf.DUMMYFUNCTION("GOOGLEFINANCE(A826,""LOW"")"),865.2)</f>
        <v>865.2</v>
      </c>
      <c r="F826" s="15" t="str">
        <f t="shared" si="8"/>
        <v/>
      </c>
      <c r="G826" s="16">
        <f>IFERROR(__xludf.DUMMYFUNCTION("GOOGLEFINANCE(A826,""CLOSEYEST"")"),876.55)</f>
        <v>876.55</v>
      </c>
      <c r="H826" s="17" t="str">
        <f t="shared" si="14"/>
        <v/>
      </c>
      <c r="I826" s="18">
        <f t="shared" si="9"/>
        <v>875.75</v>
      </c>
      <c r="J826" s="19">
        <f t="shared" si="10"/>
        <v>886.3</v>
      </c>
      <c r="K826" s="19"/>
      <c r="L826" s="19">
        <f t="shared" si="11"/>
        <v>866</v>
      </c>
      <c r="M826" s="19">
        <f t="shared" si="12"/>
        <v>896.05</v>
      </c>
      <c r="N826" s="19">
        <f t="shared" si="13"/>
        <v>855.45</v>
      </c>
    </row>
    <row r="827" ht="24.75" customHeight="1">
      <c r="A827" s="21" t="s">
        <v>790</v>
      </c>
      <c r="B827" s="13">
        <f>IFERROR(__xludf.DUMMYFUNCTION("GOOGLEFINANCE(A827,""PRICE"")"),514.55)</f>
        <v>514.55</v>
      </c>
      <c r="C827" s="14">
        <f>IFERROR(__xludf.DUMMYFUNCTION("GOOGLEFINANCE(A827,""PRICEOPEN"")"),515.0)</f>
        <v>515</v>
      </c>
      <c r="D827" s="14">
        <f>IFERROR(__xludf.DUMMYFUNCTION("GOOGLEFINANCE(A827,""HIGH"")"),518.0)</f>
        <v>518</v>
      </c>
      <c r="E827" s="14">
        <f>IFERROR(__xludf.DUMMYFUNCTION("GOOGLEFINANCE(A827,""LOW"")"),508.45)</f>
        <v>508.45</v>
      </c>
      <c r="F827" s="15" t="str">
        <f t="shared" si="8"/>
        <v/>
      </c>
      <c r="G827" s="16">
        <f>IFERROR(__xludf.DUMMYFUNCTION("GOOGLEFINANCE(A827,""CLOSEYEST"")"),510.85)</f>
        <v>510.85</v>
      </c>
      <c r="H827" s="17" t="str">
        <f t="shared" si="14"/>
        <v/>
      </c>
      <c r="I827" s="18">
        <f t="shared" si="9"/>
        <v>512.4333333</v>
      </c>
      <c r="J827" s="19">
        <f t="shared" si="10"/>
        <v>516.4166667</v>
      </c>
      <c r="K827" s="19"/>
      <c r="L827" s="19">
        <f t="shared" si="11"/>
        <v>506.8666667</v>
      </c>
      <c r="M827" s="19">
        <f t="shared" si="12"/>
        <v>521.9833333</v>
      </c>
      <c r="N827" s="19">
        <f t="shared" si="13"/>
        <v>502.8833333</v>
      </c>
    </row>
    <row r="828" ht="24.75" customHeight="1">
      <c r="A828" s="21" t="s">
        <v>791</v>
      </c>
      <c r="B828" s="13">
        <f>IFERROR(__xludf.DUMMYFUNCTION("GOOGLEFINANCE(A828,""PRICE"")"),160.09)</f>
        <v>160.09</v>
      </c>
      <c r="C828" s="14">
        <f>IFERROR(__xludf.DUMMYFUNCTION("GOOGLEFINANCE(A828,""PRICEOPEN"")"),159.9)</f>
        <v>159.9</v>
      </c>
      <c r="D828" s="14">
        <f>IFERROR(__xludf.DUMMYFUNCTION("GOOGLEFINANCE(A828,""HIGH"")"),161.77)</f>
        <v>161.77</v>
      </c>
      <c r="E828" s="14">
        <f>IFERROR(__xludf.DUMMYFUNCTION("GOOGLEFINANCE(A828,""LOW"")"),156.77)</f>
        <v>156.77</v>
      </c>
      <c r="F828" s="15" t="str">
        <f t="shared" si="8"/>
        <v/>
      </c>
      <c r="G828" s="16">
        <f>IFERROR(__xludf.DUMMYFUNCTION("GOOGLEFINANCE(A828,""CLOSEYEST"")"),158.76)</f>
        <v>158.76</v>
      </c>
      <c r="H828" s="17" t="str">
        <f t="shared" si="14"/>
        <v/>
      </c>
      <c r="I828" s="18">
        <f t="shared" si="9"/>
        <v>159.1</v>
      </c>
      <c r="J828" s="19">
        <f t="shared" si="10"/>
        <v>161.43</v>
      </c>
      <c r="K828" s="19"/>
      <c r="L828" s="19">
        <f t="shared" si="11"/>
        <v>156.43</v>
      </c>
      <c r="M828" s="19">
        <f t="shared" si="12"/>
        <v>164.1</v>
      </c>
      <c r="N828" s="19">
        <f t="shared" si="13"/>
        <v>154.1</v>
      </c>
    </row>
    <row r="829" ht="24.75" customHeight="1">
      <c r="A829" s="21" t="s">
        <v>792</v>
      </c>
      <c r="B829" s="13">
        <f>IFERROR(__xludf.DUMMYFUNCTION("GOOGLEFINANCE(A829,""PRICE"")"),403.0)</f>
        <v>403</v>
      </c>
      <c r="C829" s="14">
        <f>IFERROR(__xludf.DUMMYFUNCTION("GOOGLEFINANCE(A829,""PRICEOPEN"")"),401.85)</f>
        <v>401.85</v>
      </c>
      <c r="D829" s="14">
        <f>IFERROR(__xludf.DUMMYFUNCTION("GOOGLEFINANCE(A829,""HIGH"")"),405.85)</f>
        <v>405.85</v>
      </c>
      <c r="E829" s="14">
        <f>IFERROR(__xludf.DUMMYFUNCTION("GOOGLEFINANCE(A829,""LOW"")"),400.6)</f>
        <v>400.6</v>
      </c>
      <c r="F829" s="15" t="str">
        <f t="shared" si="8"/>
        <v/>
      </c>
      <c r="G829" s="16">
        <f>IFERROR(__xludf.DUMMYFUNCTION("GOOGLEFINANCE(A829,""CLOSEYEST"")"),403.8)</f>
        <v>403.8</v>
      </c>
      <c r="H829" s="17" t="str">
        <f t="shared" si="14"/>
        <v/>
      </c>
      <c r="I829" s="18">
        <f t="shared" si="9"/>
        <v>403.4166667</v>
      </c>
      <c r="J829" s="19">
        <f t="shared" si="10"/>
        <v>406.2333333</v>
      </c>
      <c r="K829" s="19"/>
      <c r="L829" s="19">
        <f t="shared" si="11"/>
        <v>400.9833333</v>
      </c>
      <c r="M829" s="19">
        <f t="shared" si="12"/>
        <v>408.6666667</v>
      </c>
      <c r="N829" s="19">
        <f t="shared" si="13"/>
        <v>398.1666667</v>
      </c>
    </row>
    <row r="830" ht="24.75" customHeight="1">
      <c r="A830" s="21" t="s">
        <v>793</v>
      </c>
      <c r="B830" s="13">
        <f>IFERROR(__xludf.DUMMYFUNCTION("GOOGLEFINANCE(A830,""PRICE"")"),189.6)</f>
        <v>189.6</v>
      </c>
      <c r="C830" s="14">
        <f>IFERROR(__xludf.DUMMYFUNCTION("GOOGLEFINANCE(A830,""PRICEOPEN"")"),188.31)</f>
        <v>188.31</v>
      </c>
      <c r="D830" s="14">
        <f>IFERROR(__xludf.DUMMYFUNCTION("GOOGLEFINANCE(A830,""HIGH"")"),190.5)</f>
        <v>190.5</v>
      </c>
      <c r="E830" s="14">
        <f>IFERROR(__xludf.DUMMYFUNCTION("GOOGLEFINANCE(A830,""LOW"")"),184.64)</f>
        <v>184.64</v>
      </c>
      <c r="F830" s="15" t="str">
        <f t="shared" si="8"/>
        <v/>
      </c>
      <c r="G830" s="16">
        <f>IFERROR(__xludf.DUMMYFUNCTION("GOOGLEFINANCE(A830,""CLOSEYEST"")"),188.31)</f>
        <v>188.31</v>
      </c>
      <c r="H830" s="17" t="str">
        <f t="shared" si="14"/>
        <v/>
      </c>
      <c r="I830" s="18">
        <f t="shared" si="9"/>
        <v>187.8166667</v>
      </c>
      <c r="J830" s="19">
        <f t="shared" si="10"/>
        <v>190.9933333</v>
      </c>
      <c r="K830" s="19"/>
      <c r="L830" s="19">
        <f t="shared" si="11"/>
        <v>185.1333333</v>
      </c>
      <c r="M830" s="19">
        <f t="shared" si="12"/>
        <v>193.6766667</v>
      </c>
      <c r="N830" s="19">
        <f t="shared" si="13"/>
        <v>181.9566667</v>
      </c>
    </row>
    <row r="831" ht="24.75" customHeight="1">
      <c r="A831" s="21" t="s">
        <v>794</v>
      </c>
      <c r="B831" s="13" t="str">
        <f>IFERROR(__xludf.DUMMYFUNCTION("GOOGLEFINANCE(A831,""PRICE"")"),"#N/A")</f>
        <v>#N/A</v>
      </c>
      <c r="C831" s="14" t="str">
        <f>IFERROR(__xludf.DUMMYFUNCTION("GOOGLEFINANCE(A831,""PRICEOPEN"")"),"#N/A")</f>
        <v>#N/A</v>
      </c>
      <c r="D831" s="14" t="str">
        <f>IFERROR(__xludf.DUMMYFUNCTION("GOOGLEFINANCE(A831,""HIGH"")"),"#N/A")</f>
        <v>#N/A</v>
      </c>
      <c r="E831" s="14" t="str">
        <f>IFERROR(__xludf.DUMMYFUNCTION("GOOGLEFINANCE(A831,""LOW"")"),"#N/A")</f>
        <v>#N/A</v>
      </c>
      <c r="F831" s="15" t="str">
        <f t="shared" si="8"/>
        <v>#N/A</v>
      </c>
      <c r="G831" s="16" t="str">
        <f>IFERROR(__xludf.DUMMYFUNCTION("GOOGLEFINANCE(A831,""CLOSEYEST"")"),"#N/A")</f>
        <v>#N/A</v>
      </c>
      <c r="H831" s="17" t="str">
        <f t="shared" si="14"/>
        <v>#N/A</v>
      </c>
      <c r="I831" s="18" t="str">
        <f t="shared" si="9"/>
        <v>#N/A</v>
      </c>
      <c r="J831" s="19" t="str">
        <f t="shared" si="10"/>
        <v>#N/A</v>
      </c>
      <c r="K831" s="19"/>
      <c r="L831" s="19" t="str">
        <f t="shared" si="11"/>
        <v>#N/A</v>
      </c>
      <c r="M831" s="19" t="str">
        <f t="shared" si="12"/>
        <v>#N/A</v>
      </c>
      <c r="N831" s="19" t="str">
        <f t="shared" si="13"/>
        <v>#N/A</v>
      </c>
    </row>
    <row r="832" ht="24.75" customHeight="1">
      <c r="A832" s="21" t="s">
        <v>795</v>
      </c>
      <c r="B832" s="13">
        <f>IFERROR(__xludf.DUMMYFUNCTION("GOOGLEFINANCE(A832,""PRICE"")"),295.0)</f>
        <v>295</v>
      </c>
      <c r="C832" s="14">
        <f>IFERROR(__xludf.DUMMYFUNCTION("GOOGLEFINANCE(A832,""PRICEOPEN"")"),283.75)</f>
        <v>283.75</v>
      </c>
      <c r="D832" s="14">
        <f>IFERROR(__xludf.DUMMYFUNCTION("GOOGLEFINANCE(A832,""HIGH"")"),296.0)</f>
        <v>296</v>
      </c>
      <c r="E832" s="14">
        <f>IFERROR(__xludf.DUMMYFUNCTION("GOOGLEFINANCE(A832,""LOW"")"),283.75)</f>
        <v>283.75</v>
      </c>
      <c r="F832" s="15" t="str">
        <f t="shared" si="8"/>
        <v>BUY</v>
      </c>
      <c r="G832" s="16">
        <f>IFERROR(__xludf.DUMMYFUNCTION("GOOGLEFINANCE(A832,""CLOSEYEST"")"),285.75)</f>
        <v>285.75</v>
      </c>
      <c r="H832" s="17" t="str">
        <f t="shared" si="14"/>
        <v/>
      </c>
      <c r="I832" s="18">
        <f t="shared" si="9"/>
        <v>288.5</v>
      </c>
      <c r="J832" s="19">
        <f t="shared" si="10"/>
        <v>293.25</v>
      </c>
      <c r="K832" s="19"/>
      <c r="L832" s="19">
        <f t="shared" si="11"/>
        <v>281</v>
      </c>
      <c r="M832" s="19">
        <f t="shared" si="12"/>
        <v>300.75</v>
      </c>
      <c r="N832" s="19">
        <f t="shared" si="13"/>
        <v>276.25</v>
      </c>
    </row>
    <row r="833" ht="24.75" customHeight="1">
      <c r="A833" s="21" t="s">
        <v>796</v>
      </c>
      <c r="B833" s="13">
        <f>IFERROR(__xludf.DUMMYFUNCTION("GOOGLEFINANCE(A833,""PRICE"")"),323.6)</f>
        <v>323.6</v>
      </c>
      <c r="C833" s="14">
        <f>IFERROR(__xludf.DUMMYFUNCTION("GOOGLEFINANCE(A833,""PRICEOPEN"")"),325.4)</f>
        <v>325.4</v>
      </c>
      <c r="D833" s="14">
        <f>IFERROR(__xludf.DUMMYFUNCTION("GOOGLEFINANCE(A833,""HIGH"")"),329.5)</f>
        <v>329.5</v>
      </c>
      <c r="E833" s="14">
        <f>IFERROR(__xludf.DUMMYFUNCTION("GOOGLEFINANCE(A833,""LOW"")"),323.1)</f>
        <v>323.1</v>
      </c>
      <c r="F833" s="15" t="str">
        <f t="shared" si="8"/>
        <v/>
      </c>
      <c r="G833" s="16">
        <f>IFERROR(__xludf.DUMMYFUNCTION("GOOGLEFINANCE(A833,""CLOSEYEST"")"),325.4)</f>
        <v>325.4</v>
      </c>
      <c r="H833" s="17" t="str">
        <f t="shared" si="14"/>
        <v/>
      </c>
      <c r="I833" s="18">
        <f t="shared" si="9"/>
        <v>326</v>
      </c>
      <c r="J833" s="19">
        <f t="shared" si="10"/>
        <v>328.9</v>
      </c>
      <c r="K833" s="19"/>
      <c r="L833" s="19">
        <f t="shared" si="11"/>
        <v>322.5</v>
      </c>
      <c r="M833" s="19">
        <f t="shared" si="12"/>
        <v>332.4</v>
      </c>
      <c r="N833" s="19">
        <f t="shared" si="13"/>
        <v>319.6</v>
      </c>
    </row>
    <row r="834" ht="24.75" customHeight="1">
      <c r="A834" s="21" t="s">
        <v>797</v>
      </c>
      <c r="B834" s="13">
        <f>IFERROR(__xludf.DUMMYFUNCTION("GOOGLEFINANCE(A834,""PRICE"")"),1001.0)</f>
        <v>1001</v>
      </c>
      <c r="C834" s="14">
        <f>IFERROR(__xludf.DUMMYFUNCTION("GOOGLEFINANCE(A834,""PRICEOPEN"")"),982.9)</f>
        <v>982.9</v>
      </c>
      <c r="D834" s="14">
        <f>IFERROR(__xludf.DUMMYFUNCTION("GOOGLEFINANCE(A834,""HIGH"")"),1014.95)</f>
        <v>1014.95</v>
      </c>
      <c r="E834" s="14">
        <f>IFERROR(__xludf.DUMMYFUNCTION("GOOGLEFINANCE(A834,""LOW"")"),980.0)</f>
        <v>980</v>
      </c>
      <c r="F834" s="15" t="str">
        <f t="shared" si="8"/>
        <v/>
      </c>
      <c r="G834" s="16">
        <f>IFERROR(__xludf.DUMMYFUNCTION("GOOGLEFINANCE(A834,""CLOSEYEST"")"),982.9)</f>
        <v>982.9</v>
      </c>
      <c r="H834" s="17" t="str">
        <f t="shared" si="14"/>
        <v/>
      </c>
      <c r="I834" s="18">
        <f t="shared" si="9"/>
        <v>992.6166667</v>
      </c>
      <c r="J834" s="19">
        <f t="shared" si="10"/>
        <v>1005.233333</v>
      </c>
      <c r="K834" s="19"/>
      <c r="L834" s="19">
        <f t="shared" si="11"/>
        <v>970.2833333</v>
      </c>
      <c r="M834" s="19">
        <f t="shared" si="12"/>
        <v>1027.566667</v>
      </c>
      <c r="N834" s="19">
        <f t="shared" si="13"/>
        <v>957.6666667</v>
      </c>
    </row>
    <row r="835" ht="24.75" customHeight="1">
      <c r="A835" s="21" t="s">
        <v>798</v>
      </c>
      <c r="B835" s="13" t="str">
        <f>IFERROR(__xludf.DUMMYFUNCTION("GOOGLEFINANCE(A835,""PRICE"")"),"#N/A")</f>
        <v>#N/A</v>
      </c>
      <c r="C835" s="14" t="str">
        <f>IFERROR(__xludf.DUMMYFUNCTION("GOOGLEFINANCE(A835,""PRICEOPEN"")"),"#N/A")</f>
        <v>#N/A</v>
      </c>
      <c r="D835" s="14" t="str">
        <f>IFERROR(__xludf.DUMMYFUNCTION("GOOGLEFINANCE(A835,""HIGH"")"),"#N/A")</f>
        <v>#N/A</v>
      </c>
      <c r="E835" s="14" t="str">
        <f>IFERROR(__xludf.DUMMYFUNCTION("GOOGLEFINANCE(A835,""LOW"")"),"#N/A")</f>
        <v>#N/A</v>
      </c>
      <c r="F835" s="15" t="str">
        <f t="shared" si="8"/>
        <v>#N/A</v>
      </c>
      <c r="G835" s="16" t="str">
        <f>IFERROR(__xludf.DUMMYFUNCTION("GOOGLEFINANCE(A835,""CLOSEYEST"")"),"#N/A")</f>
        <v>#N/A</v>
      </c>
      <c r="H835" s="17" t="str">
        <f t="shared" si="14"/>
        <v>#N/A</v>
      </c>
      <c r="I835" s="18" t="str">
        <f t="shared" si="9"/>
        <v>#N/A</v>
      </c>
      <c r="J835" s="19" t="str">
        <f t="shared" si="10"/>
        <v>#N/A</v>
      </c>
      <c r="K835" s="19"/>
      <c r="L835" s="19" t="str">
        <f t="shared" si="11"/>
        <v>#N/A</v>
      </c>
      <c r="M835" s="19" t="str">
        <f t="shared" si="12"/>
        <v>#N/A</v>
      </c>
      <c r="N835" s="19" t="str">
        <f t="shared" si="13"/>
        <v>#N/A</v>
      </c>
    </row>
    <row r="836" ht="24.75" customHeight="1">
      <c r="A836" s="21" t="s">
        <v>799</v>
      </c>
      <c r="B836" s="13">
        <f>IFERROR(__xludf.DUMMYFUNCTION("GOOGLEFINANCE(A836,""PRICE"")"),313.5)</f>
        <v>313.5</v>
      </c>
      <c r="C836" s="14">
        <f>IFERROR(__xludf.DUMMYFUNCTION("GOOGLEFINANCE(A836,""PRICEOPEN"")"),306.45)</f>
        <v>306.45</v>
      </c>
      <c r="D836" s="14">
        <f>IFERROR(__xludf.DUMMYFUNCTION("GOOGLEFINANCE(A836,""HIGH"")"),328.0)</f>
        <v>328</v>
      </c>
      <c r="E836" s="14">
        <f>IFERROR(__xludf.DUMMYFUNCTION("GOOGLEFINANCE(A836,""LOW"")"),306.45)</f>
        <v>306.45</v>
      </c>
      <c r="F836" s="15" t="str">
        <f t="shared" si="8"/>
        <v>BUY</v>
      </c>
      <c r="G836" s="16">
        <f>IFERROR(__xludf.DUMMYFUNCTION("GOOGLEFINANCE(A836,""CLOSEYEST"")"),311.1)</f>
        <v>311.1</v>
      </c>
      <c r="H836" s="17" t="str">
        <f t="shared" si="14"/>
        <v>GAP DOWN</v>
      </c>
      <c r="I836" s="18">
        <f t="shared" si="9"/>
        <v>315.1833333</v>
      </c>
      <c r="J836" s="19">
        <f t="shared" si="10"/>
        <v>323.9166667</v>
      </c>
      <c r="K836" s="19"/>
      <c r="L836" s="19">
        <f t="shared" si="11"/>
        <v>302.3666667</v>
      </c>
      <c r="M836" s="19">
        <f t="shared" si="12"/>
        <v>336.7333333</v>
      </c>
      <c r="N836" s="19">
        <f t="shared" si="13"/>
        <v>293.6333333</v>
      </c>
    </row>
    <row r="837" ht="24.75" customHeight="1">
      <c r="A837" s="21" t="s">
        <v>800</v>
      </c>
      <c r="B837" s="13">
        <f>IFERROR(__xludf.DUMMYFUNCTION("GOOGLEFINANCE(A837,""PRICE"")"),268.0)</f>
        <v>268</v>
      </c>
      <c r="C837" s="14">
        <f>IFERROR(__xludf.DUMMYFUNCTION("GOOGLEFINANCE(A837,""PRICEOPEN"")"),269.4)</f>
        <v>269.4</v>
      </c>
      <c r="D837" s="14">
        <f>IFERROR(__xludf.DUMMYFUNCTION("GOOGLEFINANCE(A837,""HIGH"")"),272.9)</f>
        <v>272.9</v>
      </c>
      <c r="E837" s="14">
        <f>IFERROR(__xludf.DUMMYFUNCTION("GOOGLEFINANCE(A837,""LOW"")"),267.0)</f>
        <v>267</v>
      </c>
      <c r="F837" s="15" t="str">
        <f t="shared" si="8"/>
        <v/>
      </c>
      <c r="G837" s="16">
        <f>IFERROR(__xludf.DUMMYFUNCTION("GOOGLEFINANCE(A837,""CLOSEYEST"")"),269.4)</f>
        <v>269.4</v>
      </c>
      <c r="H837" s="17" t="str">
        <f t="shared" si="14"/>
        <v/>
      </c>
      <c r="I837" s="18">
        <f t="shared" si="9"/>
        <v>269.7666667</v>
      </c>
      <c r="J837" s="19">
        <f t="shared" si="10"/>
        <v>272.5333333</v>
      </c>
      <c r="K837" s="19"/>
      <c r="L837" s="19">
        <f t="shared" si="11"/>
        <v>266.6333333</v>
      </c>
      <c r="M837" s="19">
        <f t="shared" si="12"/>
        <v>275.6666667</v>
      </c>
      <c r="N837" s="19">
        <f t="shared" si="13"/>
        <v>263.8666667</v>
      </c>
    </row>
    <row r="838" ht="24.75" customHeight="1">
      <c r="A838" s="21" t="s">
        <v>801</v>
      </c>
      <c r="B838" s="13">
        <f>IFERROR(__xludf.DUMMYFUNCTION("GOOGLEFINANCE(A838,""PRICE"")"),1490.1)</f>
        <v>1490.1</v>
      </c>
      <c r="C838" s="14">
        <f>IFERROR(__xludf.DUMMYFUNCTION("GOOGLEFINANCE(A838,""PRICEOPEN"")"),1474.1)</f>
        <v>1474.1</v>
      </c>
      <c r="D838" s="14">
        <f>IFERROR(__xludf.DUMMYFUNCTION("GOOGLEFINANCE(A838,""HIGH"")"),1497.2)</f>
        <v>1497.2</v>
      </c>
      <c r="E838" s="14">
        <f>IFERROR(__xludf.DUMMYFUNCTION("GOOGLEFINANCE(A838,""LOW"")"),1464.0)</f>
        <v>1464</v>
      </c>
      <c r="F838" s="15" t="str">
        <f t="shared" si="8"/>
        <v/>
      </c>
      <c r="G838" s="16">
        <f>IFERROR(__xludf.DUMMYFUNCTION("GOOGLEFINANCE(A838,""CLOSEYEST"")"),1467.0)</f>
        <v>1467</v>
      </c>
      <c r="H838" s="17" t="str">
        <f t="shared" si="14"/>
        <v/>
      </c>
      <c r="I838" s="18">
        <f t="shared" si="9"/>
        <v>1476.066667</v>
      </c>
      <c r="J838" s="19">
        <f t="shared" si="10"/>
        <v>1488.133333</v>
      </c>
      <c r="K838" s="19"/>
      <c r="L838" s="19">
        <f t="shared" si="11"/>
        <v>1454.933333</v>
      </c>
      <c r="M838" s="19">
        <f t="shared" si="12"/>
        <v>1509.266667</v>
      </c>
      <c r="N838" s="19">
        <f t="shared" si="13"/>
        <v>1442.866667</v>
      </c>
    </row>
    <row r="839" ht="24.75" customHeight="1">
      <c r="A839" s="21" t="s">
        <v>802</v>
      </c>
      <c r="B839" s="13">
        <f>IFERROR(__xludf.DUMMYFUNCTION("GOOGLEFINANCE(A839,""PRICE"")"),16745.0)</f>
        <v>16745</v>
      </c>
      <c r="C839" s="14">
        <f>IFERROR(__xludf.DUMMYFUNCTION("GOOGLEFINANCE(A839,""PRICEOPEN"")"),16938.0)</f>
        <v>16938</v>
      </c>
      <c r="D839" s="14">
        <f>IFERROR(__xludf.DUMMYFUNCTION("GOOGLEFINANCE(A839,""HIGH"")"),17199.0)</f>
        <v>17199</v>
      </c>
      <c r="E839" s="14">
        <f>IFERROR(__xludf.DUMMYFUNCTION("GOOGLEFINANCE(A839,""LOW"")"),16623.0)</f>
        <v>16623</v>
      </c>
      <c r="F839" s="15" t="str">
        <f t="shared" si="8"/>
        <v/>
      </c>
      <c r="G839" s="16">
        <f>IFERROR(__xludf.DUMMYFUNCTION("GOOGLEFINANCE(A839,""CLOSEYEST"")"),16854.0)</f>
        <v>16854</v>
      </c>
      <c r="H839" s="17" t="str">
        <f t="shared" si="14"/>
        <v/>
      </c>
      <c r="I839" s="18">
        <f t="shared" si="9"/>
        <v>16892</v>
      </c>
      <c r="J839" s="19">
        <f t="shared" si="10"/>
        <v>17161</v>
      </c>
      <c r="K839" s="19"/>
      <c r="L839" s="19">
        <f t="shared" si="11"/>
        <v>16585</v>
      </c>
      <c r="M839" s="19">
        <f t="shared" si="12"/>
        <v>17468</v>
      </c>
      <c r="N839" s="19">
        <f t="shared" si="13"/>
        <v>16316</v>
      </c>
    </row>
    <row r="840" ht="24.75" customHeight="1">
      <c r="A840" s="21" t="s">
        <v>803</v>
      </c>
      <c r="B840" s="13">
        <f>IFERROR(__xludf.DUMMYFUNCTION("GOOGLEFINANCE(A840,""PRICE"")"),218.0)</f>
        <v>218</v>
      </c>
      <c r="C840" s="14">
        <f>IFERROR(__xludf.DUMMYFUNCTION("GOOGLEFINANCE(A840,""PRICEOPEN"")"),221.39)</f>
        <v>221.39</v>
      </c>
      <c r="D840" s="14">
        <f>IFERROR(__xludf.DUMMYFUNCTION("GOOGLEFINANCE(A840,""HIGH"")"),221.39)</f>
        <v>221.39</v>
      </c>
      <c r="E840" s="14">
        <f>IFERROR(__xludf.DUMMYFUNCTION("GOOGLEFINANCE(A840,""LOW"")"),216.04)</f>
        <v>216.04</v>
      </c>
      <c r="F840" s="15" t="str">
        <f t="shared" si="8"/>
        <v>SELL</v>
      </c>
      <c r="G840" s="16">
        <f>IFERROR(__xludf.DUMMYFUNCTION("GOOGLEFINANCE(A840,""CLOSEYEST"")"),220.54)</f>
        <v>220.54</v>
      </c>
      <c r="H840" s="17" t="str">
        <f t="shared" si="14"/>
        <v/>
      </c>
      <c r="I840" s="18">
        <f t="shared" si="9"/>
        <v>219.3233333</v>
      </c>
      <c r="J840" s="19">
        <f t="shared" si="10"/>
        <v>222.6066667</v>
      </c>
      <c r="K840" s="19"/>
      <c r="L840" s="19">
        <f t="shared" si="11"/>
        <v>217.2566667</v>
      </c>
      <c r="M840" s="19">
        <f t="shared" si="12"/>
        <v>224.6733333</v>
      </c>
      <c r="N840" s="19">
        <f t="shared" si="13"/>
        <v>213.9733333</v>
      </c>
    </row>
    <row r="841" ht="24.75" customHeight="1">
      <c r="A841" s="21" t="s">
        <v>804</v>
      </c>
      <c r="B841" s="13">
        <f>IFERROR(__xludf.DUMMYFUNCTION("GOOGLEFINANCE(A841,""PRICE"")"),41.79)</f>
        <v>41.79</v>
      </c>
      <c r="C841" s="14">
        <f>IFERROR(__xludf.DUMMYFUNCTION("GOOGLEFINANCE(A841,""PRICEOPEN"")"),41.61)</f>
        <v>41.61</v>
      </c>
      <c r="D841" s="14">
        <f>IFERROR(__xludf.DUMMYFUNCTION("GOOGLEFINANCE(A841,""HIGH"")"),41.88)</f>
        <v>41.88</v>
      </c>
      <c r="E841" s="14">
        <f>IFERROR(__xludf.DUMMYFUNCTION("GOOGLEFINANCE(A841,""LOW"")"),41.39)</f>
        <v>41.39</v>
      </c>
      <c r="F841" s="15" t="str">
        <f t="shared" si="8"/>
        <v/>
      </c>
      <c r="G841" s="16">
        <f>IFERROR(__xludf.DUMMYFUNCTION("GOOGLEFINANCE(A841,""CLOSEYEST"")"),41.61)</f>
        <v>41.61</v>
      </c>
      <c r="H841" s="17" t="str">
        <f t="shared" si="14"/>
        <v/>
      </c>
      <c r="I841" s="18">
        <f t="shared" si="9"/>
        <v>41.62666667</v>
      </c>
      <c r="J841" s="19">
        <f t="shared" si="10"/>
        <v>41.86333333</v>
      </c>
      <c r="K841" s="19"/>
      <c r="L841" s="19">
        <f t="shared" si="11"/>
        <v>41.37333333</v>
      </c>
      <c r="M841" s="19">
        <f t="shared" si="12"/>
        <v>42.11666667</v>
      </c>
      <c r="N841" s="19">
        <f t="shared" si="13"/>
        <v>41.13666667</v>
      </c>
    </row>
    <row r="842" ht="24.75" customHeight="1">
      <c r="A842" s="21" t="s">
        <v>805</v>
      </c>
      <c r="B842" s="13">
        <f>IFERROR(__xludf.DUMMYFUNCTION("GOOGLEFINANCE(A842,""PRICE"")"),3.08)</f>
        <v>3.08</v>
      </c>
      <c r="C842" s="14">
        <f>IFERROR(__xludf.DUMMYFUNCTION("GOOGLEFINANCE(A842,""PRICEOPEN"")"),3.09)</f>
        <v>3.09</v>
      </c>
      <c r="D842" s="14">
        <f>IFERROR(__xludf.DUMMYFUNCTION("GOOGLEFINANCE(A842,""HIGH"")"),3.09)</f>
        <v>3.09</v>
      </c>
      <c r="E842" s="14">
        <f>IFERROR(__xludf.DUMMYFUNCTION("GOOGLEFINANCE(A842,""LOW"")"),2.96)</f>
        <v>2.96</v>
      </c>
      <c r="F842" s="15" t="str">
        <f t="shared" si="8"/>
        <v>SELL</v>
      </c>
      <c r="G842" s="16">
        <f>IFERROR(__xludf.DUMMYFUNCTION("GOOGLEFINANCE(A842,""CLOSEYEST"")"),3.09)</f>
        <v>3.09</v>
      </c>
      <c r="H842" s="17" t="str">
        <f t="shared" si="14"/>
        <v/>
      </c>
      <c r="I842" s="18">
        <f t="shared" si="9"/>
        <v>3.046666667</v>
      </c>
      <c r="J842" s="19">
        <f t="shared" si="10"/>
        <v>3.133333333</v>
      </c>
      <c r="K842" s="19"/>
      <c r="L842" s="19">
        <f t="shared" si="11"/>
        <v>3.003333333</v>
      </c>
      <c r="M842" s="19">
        <f t="shared" si="12"/>
        <v>3.176666667</v>
      </c>
      <c r="N842" s="19">
        <f t="shared" si="13"/>
        <v>2.916666667</v>
      </c>
    </row>
    <row r="843" ht="24.75" customHeight="1">
      <c r="A843" s="21" t="s">
        <v>806</v>
      </c>
      <c r="B843" s="13" t="str">
        <f>IFERROR(__xludf.DUMMYFUNCTION("GOOGLEFINANCE(A843,""PRICE"")"),"#N/A")</f>
        <v>#N/A</v>
      </c>
      <c r="C843" s="14" t="str">
        <f>IFERROR(__xludf.DUMMYFUNCTION("GOOGLEFINANCE(A843,""PRICEOPEN"")"),"#N/A")</f>
        <v>#N/A</v>
      </c>
      <c r="D843" s="14" t="str">
        <f>IFERROR(__xludf.DUMMYFUNCTION("GOOGLEFINANCE(A843,""HIGH"")"),"#N/A")</f>
        <v>#N/A</v>
      </c>
      <c r="E843" s="14" t="str">
        <f>IFERROR(__xludf.DUMMYFUNCTION("GOOGLEFINANCE(A843,""LOW"")"),"#N/A")</f>
        <v>#N/A</v>
      </c>
      <c r="F843" s="15" t="str">
        <f t="shared" si="8"/>
        <v>#N/A</v>
      </c>
      <c r="G843" s="16" t="str">
        <f>IFERROR(__xludf.DUMMYFUNCTION("GOOGLEFINANCE(A843,""CLOSEYEST"")"),"#N/A")</f>
        <v>#N/A</v>
      </c>
      <c r="H843" s="17" t="str">
        <f t="shared" si="14"/>
        <v>#N/A</v>
      </c>
      <c r="I843" s="18" t="str">
        <f t="shared" si="9"/>
        <v>#N/A</v>
      </c>
      <c r="J843" s="19" t="str">
        <f t="shared" si="10"/>
        <v>#N/A</v>
      </c>
      <c r="K843" s="19"/>
      <c r="L843" s="19" t="str">
        <f t="shared" si="11"/>
        <v>#N/A</v>
      </c>
      <c r="M843" s="19" t="str">
        <f t="shared" si="12"/>
        <v>#N/A</v>
      </c>
      <c r="N843" s="19" t="str">
        <f t="shared" si="13"/>
        <v>#N/A</v>
      </c>
    </row>
    <row r="844" ht="24.75" customHeight="1">
      <c r="A844" s="21" t="s">
        <v>807</v>
      </c>
      <c r="B844" s="13">
        <f>IFERROR(__xludf.DUMMYFUNCTION("GOOGLEFINANCE(A844,""PRICE"")"),366.0)</f>
        <v>366</v>
      </c>
      <c r="C844" s="14">
        <f>IFERROR(__xludf.DUMMYFUNCTION("GOOGLEFINANCE(A844,""PRICEOPEN"")"),365.0)</f>
        <v>365</v>
      </c>
      <c r="D844" s="14">
        <f>IFERROR(__xludf.DUMMYFUNCTION("GOOGLEFINANCE(A844,""HIGH"")"),370.0)</f>
        <v>370</v>
      </c>
      <c r="E844" s="14">
        <f>IFERROR(__xludf.DUMMYFUNCTION("GOOGLEFINANCE(A844,""LOW"")"),362.45)</f>
        <v>362.45</v>
      </c>
      <c r="F844" s="15" t="str">
        <f t="shared" si="8"/>
        <v/>
      </c>
      <c r="G844" s="16">
        <f>IFERROR(__xludf.DUMMYFUNCTION("GOOGLEFINANCE(A844,""CLOSEYEST"")"),363.1)</f>
        <v>363.1</v>
      </c>
      <c r="H844" s="17" t="str">
        <f t="shared" si="14"/>
        <v/>
      </c>
      <c r="I844" s="18">
        <f t="shared" si="9"/>
        <v>365.1833333</v>
      </c>
      <c r="J844" s="19">
        <f t="shared" si="10"/>
        <v>367.9166667</v>
      </c>
      <c r="K844" s="19"/>
      <c r="L844" s="19">
        <f t="shared" si="11"/>
        <v>360.3666667</v>
      </c>
      <c r="M844" s="19">
        <f t="shared" si="12"/>
        <v>372.7333333</v>
      </c>
      <c r="N844" s="19">
        <f t="shared" si="13"/>
        <v>357.6333333</v>
      </c>
    </row>
    <row r="845" ht="24.75" customHeight="1">
      <c r="A845" s="21" t="s">
        <v>808</v>
      </c>
      <c r="B845" s="13">
        <f>IFERROR(__xludf.DUMMYFUNCTION("GOOGLEFINANCE(A845,""PRICE"")"),425.0)</f>
        <v>425</v>
      </c>
      <c r="C845" s="14">
        <f>IFERROR(__xludf.DUMMYFUNCTION("GOOGLEFINANCE(A845,""PRICEOPEN"")"),415.0)</f>
        <v>415</v>
      </c>
      <c r="D845" s="14">
        <f>IFERROR(__xludf.DUMMYFUNCTION("GOOGLEFINANCE(A845,""HIGH"")"),425.7)</f>
        <v>425.7</v>
      </c>
      <c r="E845" s="14">
        <f>IFERROR(__xludf.DUMMYFUNCTION("GOOGLEFINANCE(A845,""LOW"")"),415.0)</f>
        <v>415</v>
      </c>
      <c r="F845" s="15" t="str">
        <f t="shared" si="8"/>
        <v>BUY</v>
      </c>
      <c r="G845" s="16">
        <f>IFERROR(__xludf.DUMMYFUNCTION("GOOGLEFINANCE(A845,""CLOSEYEST"")"),420.85)</f>
        <v>420.85</v>
      </c>
      <c r="H845" s="17" t="str">
        <f t="shared" si="14"/>
        <v>GAP DOWN</v>
      </c>
      <c r="I845" s="18">
        <f t="shared" si="9"/>
        <v>420.5166667</v>
      </c>
      <c r="J845" s="19">
        <f t="shared" si="10"/>
        <v>426.0333333</v>
      </c>
      <c r="K845" s="19"/>
      <c r="L845" s="19">
        <f t="shared" si="11"/>
        <v>415.3333333</v>
      </c>
      <c r="M845" s="19">
        <f t="shared" si="12"/>
        <v>431.2166667</v>
      </c>
      <c r="N845" s="19">
        <f t="shared" si="13"/>
        <v>409.8166667</v>
      </c>
    </row>
    <row r="846" ht="24.75" customHeight="1">
      <c r="A846" s="21" t="s">
        <v>809</v>
      </c>
      <c r="B846" s="13">
        <f>IFERROR(__xludf.DUMMYFUNCTION("GOOGLEFINANCE(A846,""PRICE"")"),149.75)</f>
        <v>149.75</v>
      </c>
      <c r="C846" s="14">
        <f>IFERROR(__xludf.DUMMYFUNCTION("GOOGLEFINANCE(A846,""PRICEOPEN"")"),148.8)</f>
        <v>148.8</v>
      </c>
      <c r="D846" s="14">
        <f>IFERROR(__xludf.DUMMYFUNCTION("GOOGLEFINANCE(A846,""HIGH"")"),149.97)</f>
        <v>149.97</v>
      </c>
      <c r="E846" s="14">
        <f>IFERROR(__xludf.DUMMYFUNCTION("GOOGLEFINANCE(A846,""LOW"")"),147.4)</f>
        <v>147.4</v>
      </c>
      <c r="F846" s="15" t="str">
        <f t="shared" si="8"/>
        <v/>
      </c>
      <c r="G846" s="16">
        <f>IFERROR(__xludf.DUMMYFUNCTION("GOOGLEFINANCE(A846,""CLOSEYEST"")"),146.6)</f>
        <v>146.6</v>
      </c>
      <c r="H846" s="17" t="str">
        <f t="shared" si="14"/>
        <v>GAP UP</v>
      </c>
      <c r="I846" s="18">
        <f t="shared" si="9"/>
        <v>147.99</v>
      </c>
      <c r="J846" s="19">
        <f t="shared" si="10"/>
        <v>148.58</v>
      </c>
      <c r="K846" s="19"/>
      <c r="L846" s="19">
        <f t="shared" si="11"/>
        <v>146.01</v>
      </c>
      <c r="M846" s="19">
        <f t="shared" si="12"/>
        <v>150.56</v>
      </c>
      <c r="N846" s="19">
        <f t="shared" si="13"/>
        <v>145.42</v>
      </c>
    </row>
    <row r="847" ht="24.75" customHeight="1">
      <c r="A847" s="21" t="s">
        <v>810</v>
      </c>
      <c r="B847" s="13">
        <f>IFERROR(__xludf.DUMMYFUNCTION("GOOGLEFINANCE(A847,""PRICE"")"),314.0)</f>
        <v>314</v>
      </c>
      <c r="C847" s="14">
        <f>IFERROR(__xludf.DUMMYFUNCTION("GOOGLEFINANCE(A847,""PRICEOPEN"")"),310.7)</f>
        <v>310.7</v>
      </c>
      <c r="D847" s="14">
        <f>IFERROR(__xludf.DUMMYFUNCTION("GOOGLEFINANCE(A847,""HIGH"")"),319.4)</f>
        <v>319.4</v>
      </c>
      <c r="E847" s="14">
        <f>IFERROR(__xludf.DUMMYFUNCTION("GOOGLEFINANCE(A847,""LOW"")"),309.45)</f>
        <v>309.45</v>
      </c>
      <c r="F847" s="15" t="str">
        <f t="shared" si="8"/>
        <v/>
      </c>
      <c r="G847" s="16">
        <f>IFERROR(__xludf.DUMMYFUNCTION("GOOGLEFINANCE(A847,""CLOSEYEST"")"),308.8)</f>
        <v>308.8</v>
      </c>
      <c r="H847" s="17" t="str">
        <f t="shared" si="14"/>
        <v/>
      </c>
      <c r="I847" s="18">
        <f t="shared" si="9"/>
        <v>312.55</v>
      </c>
      <c r="J847" s="19">
        <f t="shared" si="10"/>
        <v>315.65</v>
      </c>
      <c r="K847" s="19"/>
      <c r="L847" s="19">
        <f t="shared" si="11"/>
        <v>305.7</v>
      </c>
      <c r="M847" s="19">
        <f t="shared" si="12"/>
        <v>322.5</v>
      </c>
      <c r="N847" s="19">
        <f t="shared" si="13"/>
        <v>302.6</v>
      </c>
    </row>
    <row r="848" ht="24.75" customHeight="1">
      <c r="A848" s="21" t="s">
        <v>811</v>
      </c>
      <c r="B848" s="13" t="str">
        <f>IFERROR(__xludf.DUMMYFUNCTION("GOOGLEFINANCE(A848,""PRICE"")"),"#N/A")</f>
        <v>#N/A</v>
      </c>
      <c r="C848" s="14" t="str">
        <f>IFERROR(__xludf.DUMMYFUNCTION("GOOGLEFINANCE(A848,""PRICEOPEN"")"),"#N/A")</f>
        <v>#N/A</v>
      </c>
      <c r="D848" s="14" t="str">
        <f>IFERROR(__xludf.DUMMYFUNCTION("GOOGLEFINANCE(A848,""HIGH"")"),"#N/A")</f>
        <v>#N/A</v>
      </c>
      <c r="E848" s="14" t="str">
        <f>IFERROR(__xludf.DUMMYFUNCTION("GOOGLEFINANCE(A848,""LOW"")"),"#N/A")</f>
        <v>#N/A</v>
      </c>
      <c r="F848" s="15" t="str">
        <f t="shared" si="8"/>
        <v>#N/A</v>
      </c>
      <c r="G848" s="16" t="str">
        <f>IFERROR(__xludf.DUMMYFUNCTION("GOOGLEFINANCE(A848,""CLOSEYEST"")"),"#N/A")</f>
        <v>#N/A</v>
      </c>
      <c r="H848" s="17" t="str">
        <f t="shared" si="14"/>
        <v>#N/A</v>
      </c>
      <c r="I848" s="18" t="str">
        <f t="shared" si="9"/>
        <v>#N/A</v>
      </c>
      <c r="J848" s="19" t="str">
        <f t="shared" si="10"/>
        <v>#N/A</v>
      </c>
      <c r="K848" s="19"/>
      <c r="L848" s="19" t="str">
        <f t="shared" si="11"/>
        <v>#N/A</v>
      </c>
      <c r="M848" s="19" t="str">
        <f t="shared" si="12"/>
        <v>#N/A</v>
      </c>
      <c r="N848" s="19" t="str">
        <f t="shared" si="13"/>
        <v>#N/A</v>
      </c>
    </row>
    <row r="849" ht="24.75" customHeight="1">
      <c r="A849" s="21" t="s">
        <v>812</v>
      </c>
      <c r="B849" s="13">
        <f>IFERROR(__xludf.DUMMYFUNCTION("GOOGLEFINANCE(A849,""PRICE"")"),1530.0)</f>
        <v>1530</v>
      </c>
      <c r="C849" s="14">
        <f>IFERROR(__xludf.DUMMYFUNCTION("GOOGLEFINANCE(A849,""PRICEOPEN"")"),1513.9)</f>
        <v>1513.9</v>
      </c>
      <c r="D849" s="14">
        <f>IFERROR(__xludf.DUMMYFUNCTION("GOOGLEFINANCE(A849,""HIGH"")"),1532.5)</f>
        <v>1532.5</v>
      </c>
      <c r="E849" s="14">
        <f>IFERROR(__xludf.DUMMYFUNCTION("GOOGLEFINANCE(A849,""LOW"")"),1505.3)</f>
        <v>1505.3</v>
      </c>
      <c r="F849" s="15" t="str">
        <f t="shared" si="8"/>
        <v/>
      </c>
      <c r="G849" s="16">
        <f>IFERROR(__xludf.DUMMYFUNCTION("GOOGLEFINANCE(A849,""CLOSEYEST"")"),1514.8)</f>
        <v>1514.8</v>
      </c>
      <c r="H849" s="17" t="str">
        <f t="shared" si="14"/>
        <v/>
      </c>
      <c r="I849" s="18">
        <f t="shared" si="9"/>
        <v>1517.533333</v>
      </c>
      <c r="J849" s="19">
        <f t="shared" si="10"/>
        <v>1529.766667</v>
      </c>
      <c r="K849" s="19"/>
      <c r="L849" s="19">
        <f t="shared" si="11"/>
        <v>1502.566667</v>
      </c>
      <c r="M849" s="19">
        <f t="shared" si="12"/>
        <v>1544.733333</v>
      </c>
      <c r="N849" s="19">
        <f t="shared" si="13"/>
        <v>1490.333333</v>
      </c>
    </row>
    <row r="850" ht="24.75" customHeight="1">
      <c r="A850" s="21" t="s">
        <v>813</v>
      </c>
      <c r="B850" s="13">
        <f>IFERROR(__xludf.DUMMYFUNCTION("GOOGLEFINANCE(A850,""PRICE"")"),1500.0)</f>
        <v>1500</v>
      </c>
      <c r="C850" s="14">
        <f>IFERROR(__xludf.DUMMYFUNCTION("GOOGLEFINANCE(A850,""PRICEOPEN"")"),1495.0)</f>
        <v>1495</v>
      </c>
      <c r="D850" s="14">
        <f>IFERROR(__xludf.DUMMYFUNCTION("GOOGLEFINANCE(A850,""HIGH"")"),1509.9)</f>
        <v>1509.9</v>
      </c>
      <c r="E850" s="14">
        <f>IFERROR(__xludf.DUMMYFUNCTION("GOOGLEFINANCE(A850,""LOW"")"),1490.1)</f>
        <v>1490.1</v>
      </c>
      <c r="F850" s="15" t="str">
        <f t="shared" si="8"/>
        <v/>
      </c>
      <c r="G850" s="16">
        <f>IFERROR(__xludf.DUMMYFUNCTION("GOOGLEFINANCE(A850,""CLOSEYEST"")"),1485.7)</f>
        <v>1485.7</v>
      </c>
      <c r="H850" s="17" t="str">
        <f t="shared" si="14"/>
        <v/>
      </c>
      <c r="I850" s="18">
        <f t="shared" si="9"/>
        <v>1495.233333</v>
      </c>
      <c r="J850" s="19">
        <f t="shared" si="10"/>
        <v>1500.366667</v>
      </c>
      <c r="K850" s="19"/>
      <c r="L850" s="19">
        <f t="shared" si="11"/>
        <v>1480.566667</v>
      </c>
      <c r="M850" s="19">
        <f t="shared" si="12"/>
        <v>1515.033333</v>
      </c>
      <c r="N850" s="19">
        <f t="shared" si="13"/>
        <v>1475.433333</v>
      </c>
    </row>
    <row r="851" ht="24.75" customHeight="1">
      <c r="A851" s="21" t="s">
        <v>814</v>
      </c>
      <c r="B851" s="13">
        <f>IFERROR(__xludf.DUMMYFUNCTION("GOOGLEFINANCE(A851,""PRICE"")"),5694.8)</f>
        <v>5694.8</v>
      </c>
      <c r="C851" s="14">
        <f>IFERROR(__xludf.DUMMYFUNCTION("GOOGLEFINANCE(A851,""PRICEOPEN"")"),4765.0)</f>
        <v>4765</v>
      </c>
      <c r="D851" s="14">
        <f>IFERROR(__xludf.DUMMYFUNCTION("GOOGLEFINANCE(A851,""HIGH"")"),5694.8)</f>
        <v>5694.8</v>
      </c>
      <c r="E851" s="14">
        <f>IFERROR(__xludf.DUMMYFUNCTION("GOOGLEFINANCE(A851,""LOW"")"),4752.2)</f>
        <v>4752.2</v>
      </c>
      <c r="F851" s="15" t="str">
        <f t="shared" si="8"/>
        <v/>
      </c>
      <c r="G851" s="16">
        <f>IFERROR(__xludf.DUMMYFUNCTION("GOOGLEFINANCE(A851,""CLOSEYEST"")"),4745.7)</f>
        <v>4745.7</v>
      </c>
      <c r="H851" s="17" t="str">
        <f t="shared" si="14"/>
        <v/>
      </c>
      <c r="I851" s="18">
        <f t="shared" si="9"/>
        <v>5064.233333</v>
      </c>
      <c r="J851" s="19">
        <f t="shared" si="10"/>
        <v>5376.266667</v>
      </c>
      <c r="K851" s="19"/>
      <c r="L851" s="19">
        <f t="shared" si="11"/>
        <v>4433.666667</v>
      </c>
      <c r="M851" s="19">
        <f t="shared" si="12"/>
        <v>6006.833333</v>
      </c>
      <c r="N851" s="19">
        <f t="shared" si="13"/>
        <v>4121.633333</v>
      </c>
    </row>
    <row r="852" ht="24.75" customHeight="1">
      <c r="A852" s="21" t="s">
        <v>815</v>
      </c>
      <c r="B852" s="13">
        <f>IFERROR(__xludf.DUMMYFUNCTION("GOOGLEFINANCE(A852,""PRICE"")"),520.8)</f>
        <v>520.8</v>
      </c>
      <c r="C852" s="14">
        <f>IFERROR(__xludf.DUMMYFUNCTION("GOOGLEFINANCE(A852,""PRICEOPEN"")"),511.0)</f>
        <v>511</v>
      </c>
      <c r="D852" s="14">
        <f>IFERROR(__xludf.DUMMYFUNCTION("GOOGLEFINANCE(A852,""HIGH"")"),525.0)</f>
        <v>525</v>
      </c>
      <c r="E852" s="14">
        <f>IFERROR(__xludf.DUMMYFUNCTION("GOOGLEFINANCE(A852,""LOW"")"),511.0)</f>
        <v>511</v>
      </c>
      <c r="F852" s="15" t="str">
        <f t="shared" si="8"/>
        <v>BUY</v>
      </c>
      <c r="G852" s="16">
        <f>IFERROR(__xludf.DUMMYFUNCTION("GOOGLEFINANCE(A852,""CLOSEYEST"")"),510.8)</f>
        <v>510.8</v>
      </c>
      <c r="H852" s="17" t="str">
        <f t="shared" si="14"/>
        <v/>
      </c>
      <c r="I852" s="18">
        <f t="shared" si="9"/>
        <v>515.6</v>
      </c>
      <c r="J852" s="19">
        <f t="shared" si="10"/>
        <v>520.2</v>
      </c>
      <c r="K852" s="19"/>
      <c r="L852" s="19">
        <f t="shared" si="11"/>
        <v>506.2</v>
      </c>
      <c r="M852" s="19">
        <f t="shared" si="12"/>
        <v>529.6</v>
      </c>
      <c r="N852" s="19">
        <f t="shared" si="13"/>
        <v>501.6</v>
      </c>
    </row>
    <row r="853" ht="24.75" customHeight="1">
      <c r="A853" s="21" t="s">
        <v>816</v>
      </c>
      <c r="B853" s="13">
        <f>IFERROR(__xludf.DUMMYFUNCTION("GOOGLEFINANCE(A853,""PRICE"")"),1002.9)</f>
        <v>1002.9</v>
      </c>
      <c r="C853" s="14">
        <f>IFERROR(__xludf.DUMMYFUNCTION("GOOGLEFINANCE(A853,""PRICEOPEN"")"),1004.15)</f>
        <v>1004.15</v>
      </c>
      <c r="D853" s="14">
        <f>IFERROR(__xludf.DUMMYFUNCTION("GOOGLEFINANCE(A853,""HIGH"")"),1012.0)</f>
        <v>1012</v>
      </c>
      <c r="E853" s="14">
        <f>IFERROR(__xludf.DUMMYFUNCTION("GOOGLEFINANCE(A853,""LOW"")"),1000.0)</f>
        <v>1000</v>
      </c>
      <c r="F853" s="15" t="str">
        <f t="shared" si="8"/>
        <v/>
      </c>
      <c r="G853" s="16">
        <f>IFERROR(__xludf.DUMMYFUNCTION("GOOGLEFINANCE(A853,""CLOSEYEST"")"),1004.15)</f>
        <v>1004.15</v>
      </c>
      <c r="H853" s="17" t="str">
        <f t="shared" si="14"/>
        <v/>
      </c>
      <c r="I853" s="18">
        <f t="shared" si="9"/>
        <v>1005.383333</v>
      </c>
      <c r="J853" s="19">
        <f t="shared" si="10"/>
        <v>1010.766667</v>
      </c>
      <c r="K853" s="19"/>
      <c r="L853" s="19">
        <f t="shared" si="11"/>
        <v>998.7666667</v>
      </c>
      <c r="M853" s="19">
        <f t="shared" si="12"/>
        <v>1017.383333</v>
      </c>
      <c r="N853" s="19">
        <f t="shared" si="13"/>
        <v>993.3833333</v>
      </c>
    </row>
    <row r="854" ht="24.75" customHeight="1">
      <c r="A854" s="21" t="s">
        <v>817</v>
      </c>
      <c r="B854" s="13">
        <f>IFERROR(__xludf.DUMMYFUNCTION("GOOGLEFINANCE(A854,""PRICE"")"),239.0)</f>
        <v>239</v>
      </c>
      <c r="C854" s="14">
        <f>IFERROR(__xludf.DUMMYFUNCTION("GOOGLEFINANCE(A854,""PRICEOPEN"")"),233.2)</f>
        <v>233.2</v>
      </c>
      <c r="D854" s="14">
        <f>IFERROR(__xludf.DUMMYFUNCTION("GOOGLEFINANCE(A854,""HIGH"")"),240.0)</f>
        <v>240</v>
      </c>
      <c r="E854" s="14">
        <f>IFERROR(__xludf.DUMMYFUNCTION("GOOGLEFINANCE(A854,""LOW"")"),233.2)</f>
        <v>233.2</v>
      </c>
      <c r="F854" s="15" t="str">
        <f t="shared" si="8"/>
        <v>BUY</v>
      </c>
      <c r="G854" s="16">
        <f>IFERROR(__xludf.DUMMYFUNCTION("GOOGLEFINANCE(A854,""CLOSEYEST"")"),234.29)</f>
        <v>234.29</v>
      </c>
      <c r="H854" s="17" t="str">
        <f t="shared" si="14"/>
        <v/>
      </c>
      <c r="I854" s="18">
        <f t="shared" si="9"/>
        <v>235.83</v>
      </c>
      <c r="J854" s="19">
        <f t="shared" si="10"/>
        <v>238.46</v>
      </c>
      <c r="K854" s="19"/>
      <c r="L854" s="19">
        <f t="shared" si="11"/>
        <v>231.66</v>
      </c>
      <c r="M854" s="19">
        <f t="shared" si="12"/>
        <v>242.63</v>
      </c>
      <c r="N854" s="19">
        <f t="shared" si="13"/>
        <v>229.03</v>
      </c>
    </row>
    <row r="855" ht="24.75" customHeight="1">
      <c r="A855" s="21" t="s">
        <v>818</v>
      </c>
      <c r="B855" s="13">
        <f>IFERROR(__xludf.DUMMYFUNCTION("GOOGLEFINANCE(A855,""PRICE"")"),83.6)</f>
        <v>83.6</v>
      </c>
      <c r="C855" s="14">
        <f>IFERROR(__xludf.DUMMYFUNCTION("GOOGLEFINANCE(A855,""PRICEOPEN"")"),83.15)</f>
        <v>83.15</v>
      </c>
      <c r="D855" s="14">
        <f>IFERROR(__xludf.DUMMYFUNCTION("GOOGLEFINANCE(A855,""HIGH"")"),90.47)</f>
        <v>90.47</v>
      </c>
      <c r="E855" s="14">
        <f>IFERROR(__xludf.DUMMYFUNCTION("GOOGLEFINANCE(A855,""LOW"")"),82.71)</f>
        <v>82.71</v>
      </c>
      <c r="F855" s="15" t="str">
        <f t="shared" si="8"/>
        <v/>
      </c>
      <c r="G855" s="16">
        <f>IFERROR(__xludf.DUMMYFUNCTION("GOOGLEFINANCE(A855,""CLOSEYEST"")"),81.9)</f>
        <v>81.9</v>
      </c>
      <c r="H855" s="17" t="str">
        <f t="shared" si="14"/>
        <v>GAP UP</v>
      </c>
      <c r="I855" s="18">
        <f t="shared" si="9"/>
        <v>85.02666667</v>
      </c>
      <c r="J855" s="19">
        <f t="shared" si="10"/>
        <v>87.34333333</v>
      </c>
      <c r="K855" s="19"/>
      <c r="L855" s="19">
        <f t="shared" si="11"/>
        <v>79.58333333</v>
      </c>
      <c r="M855" s="19">
        <f t="shared" si="12"/>
        <v>92.78666667</v>
      </c>
      <c r="N855" s="19">
        <f t="shared" si="13"/>
        <v>77.26666667</v>
      </c>
    </row>
    <row r="856" ht="24.75" customHeight="1">
      <c r="A856" s="21" t="s">
        <v>819</v>
      </c>
      <c r="B856" s="13">
        <f>IFERROR(__xludf.DUMMYFUNCTION("GOOGLEFINANCE(A856,""PRICE"")"),780.5)</f>
        <v>780.5</v>
      </c>
      <c r="C856" s="14">
        <f>IFERROR(__xludf.DUMMYFUNCTION("GOOGLEFINANCE(A856,""PRICEOPEN"")"),759.45)</f>
        <v>759.45</v>
      </c>
      <c r="D856" s="14">
        <f>IFERROR(__xludf.DUMMYFUNCTION("GOOGLEFINANCE(A856,""HIGH"")"),786.4)</f>
        <v>786.4</v>
      </c>
      <c r="E856" s="14">
        <f>IFERROR(__xludf.DUMMYFUNCTION("GOOGLEFINANCE(A856,""LOW"")"),759.0)</f>
        <v>759</v>
      </c>
      <c r="F856" s="15" t="str">
        <f t="shared" si="8"/>
        <v/>
      </c>
      <c r="G856" s="16">
        <f>IFERROR(__xludf.DUMMYFUNCTION("GOOGLEFINANCE(A856,""CLOSEYEST"")"),757.1)</f>
        <v>757.1</v>
      </c>
      <c r="H856" s="17" t="str">
        <f t="shared" si="14"/>
        <v/>
      </c>
      <c r="I856" s="18">
        <f t="shared" si="9"/>
        <v>767.5</v>
      </c>
      <c r="J856" s="19">
        <f t="shared" si="10"/>
        <v>776</v>
      </c>
      <c r="K856" s="19"/>
      <c r="L856" s="19">
        <f t="shared" si="11"/>
        <v>748.6</v>
      </c>
      <c r="M856" s="19">
        <f t="shared" si="12"/>
        <v>794.9</v>
      </c>
      <c r="N856" s="19">
        <f t="shared" si="13"/>
        <v>740.1</v>
      </c>
    </row>
    <row r="857" ht="24.75" customHeight="1">
      <c r="A857" s="21" t="s">
        <v>820</v>
      </c>
      <c r="B857" s="13">
        <f>IFERROR(__xludf.DUMMYFUNCTION("GOOGLEFINANCE(A857,""PRICE"")"),499.95)</f>
        <v>499.95</v>
      </c>
      <c r="C857" s="14">
        <f>IFERROR(__xludf.DUMMYFUNCTION("GOOGLEFINANCE(A857,""PRICEOPEN"")"),487.5)</f>
        <v>487.5</v>
      </c>
      <c r="D857" s="14">
        <f>IFERROR(__xludf.DUMMYFUNCTION("GOOGLEFINANCE(A857,""HIGH"")"),508.05)</f>
        <v>508.05</v>
      </c>
      <c r="E857" s="14">
        <f>IFERROR(__xludf.DUMMYFUNCTION("GOOGLEFINANCE(A857,""LOW"")"),476.9)</f>
        <v>476.9</v>
      </c>
      <c r="F857" s="15" t="str">
        <f t="shared" si="8"/>
        <v/>
      </c>
      <c r="G857" s="16">
        <f>IFERROR(__xludf.DUMMYFUNCTION("GOOGLEFINANCE(A857,""CLOSEYEST"")"),484.35)</f>
        <v>484.35</v>
      </c>
      <c r="H857" s="17" t="str">
        <f t="shared" si="14"/>
        <v/>
      </c>
      <c r="I857" s="18">
        <f t="shared" si="9"/>
        <v>489.7666667</v>
      </c>
      <c r="J857" s="19">
        <f t="shared" si="10"/>
        <v>502.6333333</v>
      </c>
      <c r="K857" s="19"/>
      <c r="L857" s="19">
        <f t="shared" si="11"/>
        <v>471.4833333</v>
      </c>
      <c r="M857" s="19">
        <f t="shared" si="12"/>
        <v>520.9166667</v>
      </c>
      <c r="N857" s="19">
        <f t="shared" si="13"/>
        <v>458.6166667</v>
      </c>
    </row>
    <row r="858" ht="24.75" customHeight="1">
      <c r="A858" s="21" t="s">
        <v>821</v>
      </c>
      <c r="B858" s="13">
        <f>IFERROR(__xludf.DUMMYFUNCTION("GOOGLEFINANCE(A858,""PRICE"")"),34.68)</f>
        <v>34.68</v>
      </c>
      <c r="C858" s="14">
        <f>IFERROR(__xludf.DUMMYFUNCTION("GOOGLEFINANCE(A858,""PRICEOPEN"")"),34.58)</f>
        <v>34.58</v>
      </c>
      <c r="D858" s="14">
        <f>IFERROR(__xludf.DUMMYFUNCTION("GOOGLEFINANCE(A858,""HIGH"")"),35.14)</f>
        <v>35.14</v>
      </c>
      <c r="E858" s="14">
        <f>IFERROR(__xludf.DUMMYFUNCTION("GOOGLEFINANCE(A858,""LOW"")"),34.11)</f>
        <v>34.11</v>
      </c>
      <c r="F858" s="15" t="str">
        <f t="shared" si="8"/>
        <v/>
      </c>
      <c r="G858" s="16">
        <f>IFERROR(__xludf.DUMMYFUNCTION("GOOGLEFINANCE(A858,""CLOSEYEST"")"),34.1)</f>
        <v>34.1</v>
      </c>
      <c r="H858" s="17" t="str">
        <f t="shared" si="14"/>
        <v>GAP UP</v>
      </c>
      <c r="I858" s="18">
        <f t="shared" si="9"/>
        <v>34.45</v>
      </c>
      <c r="J858" s="19">
        <f t="shared" si="10"/>
        <v>34.79</v>
      </c>
      <c r="K858" s="19"/>
      <c r="L858" s="19">
        <f t="shared" si="11"/>
        <v>33.76</v>
      </c>
      <c r="M858" s="19">
        <f t="shared" si="12"/>
        <v>35.48</v>
      </c>
      <c r="N858" s="19">
        <f t="shared" si="13"/>
        <v>33.42</v>
      </c>
    </row>
    <row r="859" ht="24.75" customHeight="1">
      <c r="A859" s="21" t="s">
        <v>822</v>
      </c>
      <c r="B859" s="13">
        <f>IFERROR(__xludf.DUMMYFUNCTION("GOOGLEFINANCE(A859,""PRICE"")"),202.17)</f>
        <v>202.17</v>
      </c>
      <c r="C859" s="14">
        <f>IFERROR(__xludf.DUMMYFUNCTION("GOOGLEFINANCE(A859,""PRICEOPEN"")"),202.5)</f>
        <v>202.5</v>
      </c>
      <c r="D859" s="14">
        <f>IFERROR(__xludf.DUMMYFUNCTION("GOOGLEFINANCE(A859,""HIGH"")"),204.44)</f>
        <v>204.44</v>
      </c>
      <c r="E859" s="14">
        <f>IFERROR(__xludf.DUMMYFUNCTION("GOOGLEFINANCE(A859,""LOW"")"),196.94)</f>
        <v>196.94</v>
      </c>
      <c r="F859" s="15" t="str">
        <f t="shared" si="8"/>
        <v/>
      </c>
      <c r="G859" s="16">
        <f>IFERROR(__xludf.DUMMYFUNCTION("GOOGLEFINANCE(A859,""CLOSEYEST"")"),199.4)</f>
        <v>199.4</v>
      </c>
      <c r="H859" s="17" t="str">
        <f t="shared" si="14"/>
        <v>GAP UP</v>
      </c>
      <c r="I859" s="18">
        <f t="shared" si="9"/>
        <v>200.26</v>
      </c>
      <c r="J859" s="19">
        <f t="shared" si="10"/>
        <v>203.58</v>
      </c>
      <c r="K859" s="19"/>
      <c r="L859" s="19">
        <f t="shared" si="11"/>
        <v>196.08</v>
      </c>
      <c r="M859" s="19">
        <f t="shared" si="12"/>
        <v>207.76</v>
      </c>
      <c r="N859" s="19">
        <f t="shared" si="13"/>
        <v>192.76</v>
      </c>
    </row>
    <row r="860" ht="24.75" customHeight="1">
      <c r="A860" s="21" t="s">
        <v>823</v>
      </c>
      <c r="B860" s="13">
        <f>IFERROR(__xludf.DUMMYFUNCTION("GOOGLEFINANCE(A860,""PRICE"")"),64.9)</f>
        <v>64.9</v>
      </c>
      <c r="C860" s="14">
        <f>IFERROR(__xludf.DUMMYFUNCTION("GOOGLEFINANCE(A860,""PRICEOPEN"")"),65.35)</f>
        <v>65.35</v>
      </c>
      <c r="D860" s="14">
        <f>IFERROR(__xludf.DUMMYFUNCTION("GOOGLEFINANCE(A860,""HIGH"")"),65.6)</f>
        <v>65.6</v>
      </c>
      <c r="E860" s="14">
        <f>IFERROR(__xludf.DUMMYFUNCTION("GOOGLEFINANCE(A860,""LOW"")"),64.7)</f>
        <v>64.7</v>
      </c>
      <c r="F860" s="15" t="str">
        <f t="shared" si="8"/>
        <v/>
      </c>
      <c r="G860" s="16">
        <f>IFERROR(__xludf.DUMMYFUNCTION("GOOGLEFINANCE(A860,""CLOSEYEST"")"),64.4)</f>
        <v>64.4</v>
      </c>
      <c r="H860" s="17" t="str">
        <f t="shared" si="14"/>
        <v>GAP UP</v>
      </c>
      <c r="I860" s="18">
        <f t="shared" si="9"/>
        <v>64.9</v>
      </c>
      <c r="J860" s="19">
        <f t="shared" si="10"/>
        <v>65.1</v>
      </c>
      <c r="K860" s="19"/>
      <c r="L860" s="19">
        <f t="shared" si="11"/>
        <v>64.2</v>
      </c>
      <c r="M860" s="19">
        <f t="shared" si="12"/>
        <v>65.8</v>
      </c>
      <c r="N860" s="19">
        <f t="shared" si="13"/>
        <v>64</v>
      </c>
    </row>
    <row r="861" ht="24.75" customHeight="1">
      <c r="A861" s="21" t="s">
        <v>824</v>
      </c>
      <c r="B861" s="13">
        <f>IFERROR(__xludf.DUMMYFUNCTION("GOOGLEFINANCE(A861,""PRICE"")"),5.67)</f>
        <v>5.67</v>
      </c>
      <c r="C861" s="14">
        <f>IFERROR(__xludf.DUMMYFUNCTION("GOOGLEFINANCE(A861,""PRICEOPEN"")"),5.78)</f>
        <v>5.78</v>
      </c>
      <c r="D861" s="14">
        <f>IFERROR(__xludf.DUMMYFUNCTION("GOOGLEFINANCE(A861,""HIGH"")"),5.81)</f>
        <v>5.81</v>
      </c>
      <c r="E861" s="14">
        <f>IFERROR(__xludf.DUMMYFUNCTION("GOOGLEFINANCE(A861,""LOW"")"),5.53)</f>
        <v>5.53</v>
      </c>
      <c r="F861" s="15" t="str">
        <f t="shared" si="8"/>
        <v/>
      </c>
      <c r="G861" s="16">
        <f>IFERROR(__xludf.DUMMYFUNCTION("GOOGLEFINANCE(A861,""CLOSEYEST"")"),5.56)</f>
        <v>5.56</v>
      </c>
      <c r="H861" s="17" t="str">
        <f t="shared" si="14"/>
        <v>GAP UP</v>
      </c>
      <c r="I861" s="18">
        <f t="shared" si="9"/>
        <v>5.633333333</v>
      </c>
      <c r="J861" s="19">
        <f t="shared" si="10"/>
        <v>5.736666667</v>
      </c>
      <c r="K861" s="19"/>
      <c r="L861" s="19">
        <f t="shared" si="11"/>
        <v>5.456666667</v>
      </c>
      <c r="M861" s="19">
        <f t="shared" si="12"/>
        <v>5.913333333</v>
      </c>
      <c r="N861" s="19">
        <f t="shared" si="13"/>
        <v>5.353333333</v>
      </c>
    </row>
    <row r="862" ht="24.75" customHeight="1">
      <c r="A862" s="21" t="s">
        <v>825</v>
      </c>
      <c r="B862" s="13">
        <f>IFERROR(__xludf.DUMMYFUNCTION("GOOGLEFINANCE(A862,""PRICE"")"),266.0)</f>
        <v>266</v>
      </c>
      <c r="C862" s="14">
        <f>IFERROR(__xludf.DUMMYFUNCTION("GOOGLEFINANCE(A862,""PRICEOPEN"")"),265.65)</f>
        <v>265.65</v>
      </c>
      <c r="D862" s="14">
        <f>IFERROR(__xludf.DUMMYFUNCTION("GOOGLEFINANCE(A862,""HIGH"")"),269.05)</f>
        <v>269.05</v>
      </c>
      <c r="E862" s="14">
        <f>IFERROR(__xludf.DUMMYFUNCTION("GOOGLEFINANCE(A862,""LOW"")"),257.3)</f>
        <v>257.3</v>
      </c>
      <c r="F862" s="15" t="str">
        <f t="shared" si="8"/>
        <v/>
      </c>
      <c r="G862" s="16">
        <f>IFERROR(__xludf.DUMMYFUNCTION("GOOGLEFINANCE(A862,""CLOSEYEST"")"),264.15)</f>
        <v>264.15</v>
      </c>
      <c r="H862" s="17" t="str">
        <f t="shared" si="14"/>
        <v/>
      </c>
      <c r="I862" s="18">
        <f t="shared" si="9"/>
        <v>263.5</v>
      </c>
      <c r="J862" s="19">
        <f t="shared" si="10"/>
        <v>269.7</v>
      </c>
      <c r="K862" s="19"/>
      <c r="L862" s="19">
        <f t="shared" si="11"/>
        <v>257.95</v>
      </c>
      <c r="M862" s="19">
        <f t="shared" si="12"/>
        <v>275.25</v>
      </c>
      <c r="N862" s="19">
        <f t="shared" si="13"/>
        <v>251.75</v>
      </c>
    </row>
    <row r="863" ht="24.75" customHeight="1">
      <c r="A863" s="21" t="s">
        <v>826</v>
      </c>
      <c r="B863" s="13">
        <f>IFERROR(__xludf.DUMMYFUNCTION("GOOGLEFINANCE(A863,""PRICE"")"),97.0)</f>
        <v>97</v>
      </c>
      <c r="C863" s="14">
        <f>IFERROR(__xludf.DUMMYFUNCTION("GOOGLEFINANCE(A863,""PRICEOPEN"")"),94.76)</f>
        <v>94.76</v>
      </c>
      <c r="D863" s="14">
        <f>IFERROR(__xludf.DUMMYFUNCTION("GOOGLEFINANCE(A863,""HIGH"")"),97.2)</f>
        <v>97.2</v>
      </c>
      <c r="E863" s="14">
        <f>IFERROR(__xludf.DUMMYFUNCTION("GOOGLEFINANCE(A863,""LOW"")"),93.91)</f>
        <v>93.91</v>
      </c>
      <c r="F863" s="15" t="str">
        <f t="shared" si="8"/>
        <v/>
      </c>
      <c r="G863" s="16">
        <f>IFERROR(__xludf.DUMMYFUNCTION("GOOGLEFINANCE(A863,""CLOSEYEST"")"),94.75)</f>
        <v>94.75</v>
      </c>
      <c r="H863" s="17" t="str">
        <f t="shared" si="14"/>
        <v/>
      </c>
      <c r="I863" s="18">
        <f t="shared" si="9"/>
        <v>95.28666667</v>
      </c>
      <c r="J863" s="19">
        <f t="shared" si="10"/>
        <v>96.66333333</v>
      </c>
      <c r="K863" s="19"/>
      <c r="L863" s="19">
        <f t="shared" si="11"/>
        <v>93.37333333</v>
      </c>
      <c r="M863" s="19">
        <f t="shared" si="12"/>
        <v>98.57666667</v>
      </c>
      <c r="N863" s="19">
        <f t="shared" si="13"/>
        <v>91.99666667</v>
      </c>
    </row>
    <row r="864" ht="24.75" customHeight="1">
      <c r="A864" s="21" t="s">
        <v>827</v>
      </c>
      <c r="B864" s="13">
        <f>IFERROR(__xludf.DUMMYFUNCTION("GOOGLEFINANCE(A864,""PRICE"")"),814.6)</f>
        <v>814.6</v>
      </c>
      <c r="C864" s="14">
        <f>IFERROR(__xludf.DUMMYFUNCTION("GOOGLEFINANCE(A864,""PRICEOPEN"")"),800.0)</f>
        <v>800</v>
      </c>
      <c r="D864" s="14">
        <f>IFERROR(__xludf.DUMMYFUNCTION("GOOGLEFINANCE(A864,""HIGH"")"),828.0)</f>
        <v>828</v>
      </c>
      <c r="E864" s="14">
        <f>IFERROR(__xludf.DUMMYFUNCTION("GOOGLEFINANCE(A864,""LOW"")"),790.75)</f>
        <v>790.75</v>
      </c>
      <c r="F864" s="15" t="str">
        <f t="shared" si="8"/>
        <v/>
      </c>
      <c r="G864" s="16">
        <f>IFERROR(__xludf.DUMMYFUNCTION("GOOGLEFINANCE(A864,""CLOSEYEST"")"),798.65)</f>
        <v>798.65</v>
      </c>
      <c r="H864" s="17" t="str">
        <f t="shared" si="14"/>
        <v/>
      </c>
      <c r="I864" s="18">
        <f t="shared" si="9"/>
        <v>805.8</v>
      </c>
      <c r="J864" s="19">
        <f t="shared" si="10"/>
        <v>820.85</v>
      </c>
      <c r="K864" s="19"/>
      <c r="L864" s="19">
        <f t="shared" si="11"/>
        <v>783.6</v>
      </c>
      <c r="M864" s="19">
        <f t="shared" si="12"/>
        <v>843.05</v>
      </c>
      <c r="N864" s="19">
        <f t="shared" si="13"/>
        <v>768.55</v>
      </c>
    </row>
    <row r="865" ht="24.75" customHeight="1">
      <c r="A865" s="21" t="s">
        <v>828</v>
      </c>
      <c r="B865" s="13">
        <f>IFERROR(__xludf.DUMMYFUNCTION("GOOGLEFINANCE(A865,""PRICE"")"),0.43)</f>
        <v>0.43</v>
      </c>
      <c r="C865" s="14">
        <f>IFERROR(__xludf.DUMMYFUNCTION("GOOGLEFINANCE(A865,""PRICEOPEN"")"),0.44)</f>
        <v>0.44</v>
      </c>
      <c r="D865" s="14">
        <f>IFERROR(__xludf.DUMMYFUNCTION("GOOGLEFINANCE(A865,""HIGH"")"),0.45)</f>
        <v>0.45</v>
      </c>
      <c r="E865" s="14">
        <f>IFERROR(__xludf.DUMMYFUNCTION("GOOGLEFINANCE(A865,""LOW"")"),0.43)</f>
        <v>0.43</v>
      </c>
      <c r="F865" s="15" t="str">
        <f t="shared" si="8"/>
        <v/>
      </c>
      <c r="G865" s="16">
        <f>IFERROR(__xludf.DUMMYFUNCTION("GOOGLEFINANCE(A865,""CLOSEYEST"")"),0.44)</f>
        <v>0.44</v>
      </c>
      <c r="H865" s="17" t="str">
        <f t="shared" si="14"/>
        <v/>
      </c>
      <c r="I865" s="18">
        <f t="shared" si="9"/>
        <v>0.44</v>
      </c>
      <c r="J865" s="19">
        <f t="shared" si="10"/>
        <v>0.45</v>
      </c>
      <c r="K865" s="19"/>
      <c r="L865" s="19">
        <f t="shared" si="11"/>
        <v>0.43</v>
      </c>
      <c r="M865" s="19">
        <f t="shared" si="12"/>
        <v>0.46</v>
      </c>
      <c r="N865" s="19">
        <f t="shared" si="13"/>
        <v>0.42</v>
      </c>
    </row>
    <row r="866" ht="24.75" customHeight="1">
      <c r="A866" s="21" t="s">
        <v>829</v>
      </c>
      <c r="B866" s="13">
        <f>IFERROR(__xludf.DUMMYFUNCTION("GOOGLEFINANCE(A866,""PRICE"")"),3650.0)</f>
        <v>3650</v>
      </c>
      <c r="C866" s="14">
        <f>IFERROR(__xludf.DUMMYFUNCTION("GOOGLEFINANCE(A866,""PRICEOPEN"")"),3675.2)</f>
        <v>3675.2</v>
      </c>
      <c r="D866" s="14">
        <f>IFERROR(__xludf.DUMMYFUNCTION("GOOGLEFINANCE(A866,""HIGH"")"),3729.8)</f>
        <v>3729.8</v>
      </c>
      <c r="E866" s="14">
        <f>IFERROR(__xludf.DUMMYFUNCTION("GOOGLEFINANCE(A866,""LOW"")"),3559.2)</f>
        <v>3559.2</v>
      </c>
      <c r="F866" s="15" t="str">
        <f t="shared" si="8"/>
        <v/>
      </c>
      <c r="G866" s="16">
        <f>IFERROR(__xludf.DUMMYFUNCTION("GOOGLEFINANCE(A866,""CLOSEYEST"")"),3701.1)</f>
        <v>3701.1</v>
      </c>
      <c r="H866" s="17" t="str">
        <f t="shared" si="14"/>
        <v/>
      </c>
      <c r="I866" s="18">
        <f t="shared" si="9"/>
        <v>3663.366667</v>
      </c>
      <c r="J866" s="19">
        <f t="shared" si="10"/>
        <v>3767.533333</v>
      </c>
      <c r="K866" s="19"/>
      <c r="L866" s="19">
        <f t="shared" si="11"/>
        <v>3596.933333</v>
      </c>
      <c r="M866" s="19">
        <f t="shared" si="12"/>
        <v>3833.966667</v>
      </c>
      <c r="N866" s="19">
        <f t="shared" si="13"/>
        <v>3492.766667</v>
      </c>
    </row>
    <row r="867" ht="24.75" customHeight="1">
      <c r="A867" s="21" t="s">
        <v>830</v>
      </c>
      <c r="B867" s="13">
        <f>IFERROR(__xludf.DUMMYFUNCTION("GOOGLEFINANCE(A867,""PRICE"")"),150.5)</f>
        <v>150.5</v>
      </c>
      <c r="C867" s="14">
        <f>IFERROR(__xludf.DUMMYFUNCTION("GOOGLEFINANCE(A867,""PRICEOPEN"")"),155.99)</f>
        <v>155.99</v>
      </c>
      <c r="D867" s="14">
        <f>IFERROR(__xludf.DUMMYFUNCTION("GOOGLEFINANCE(A867,""HIGH"")"),159.49)</f>
        <v>159.49</v>
      </c>
      <c r="E867" s="14">
        <f>IFERROR(__xludf.DUMMYFUNCTION("GOOGLEFINANCE(A867,""LOW"")"),150.3)</f>
        <v>150.3</v>
      </c>
      <c r="F867" s="15" t="str">
        <f t="shared" si="8"/>
        <v/>
      </c>
      <c r="G867" s="16">
        <f>IFERROR(__xludf.DUMMYFUNCTION("GOOGLEFINANCE(A867,""CLOSEYEST"")"),155.59)</f>
        <v>155.59</v>
      </c>
      <c r="H867" s="17" t="str">
        <f t="shared" si="14"/>
        <v/>
      </c>
      <c r="I867" s="18">
        <f t="shared" si="9"/>
        <v>155.1266667</v>
      </c>
      <c r="J867" s="19">
        <f t="shared" si="10"/>
        <v>159.9533333</v>
      </c>
      <c r="K867" s="19"/>
      <c r="L867" s="19">
        <f t="shared" si="11"/>
        <v>150.7633333</v>
      </c>
      <c r="M867" s="19">
        <f t="shared" si="12"/>
        <v>164.3166667</v>
      </c>
      <c r="N867" s="19">
        <f t="shared" si="13"/>
        <v>145.9366667</v>
      </c>
    </row>
    <row r="868" ht="24.75" customHeight="1">
      <c r="A868" s="21" t="s">
        <v>831</v>
      </c>
      <c r="B868" s="13">
        <f>IFERROR(__xludf.DUMMYFUNCTION("GOOGLEFINANCE(A868,""PRICE"")"),360.3)</f>
        <v>360.3</v>
      </c>
      <c r="C868" s="14">
        <f>IFERROR(__xludf.DUMMYFUNCTION("GOOGLEFINANCE(A868,""PRICEOPEN"")"),360.0)</f>
        <v>360</v>
      </c>
      <c r="D868" s="14">
        <f>IFERROR(__xludf.DUMMYFUNCTION("GOOGLEFINANCE(A868,""HIGH"")"),366.9)</f>
        <v>366.9</v>
      </c>
      <c r="E868" s="14">
        <f>IFERROR(__xludf.DUMMYFUNCTION("GOOGLEFINANCE(A868,""LOW"")"),358.55)</f>
        <v>358.55</v>
      </c>
      <c r="F868" s="15" t="str">
        <f t="shared" si="8"/>
        <v/>
      </c>
      <c r="G868" s="16">
        <f>IFERROR(__xludf.DUMMYFUNCTION("GOOGLEFINANCE(A868,""CLOSEYEST"")"),359.85)</f>
        <v>359.85</v>
      </c>
      <c r="H868" s="17" t="str">
        <f t="shared" si="14"/>
        <v/>
      </c>
      <c r="I868" s="18">
        <f t="shared" si="9"/>
        <v>361.7666667</v>
      </c>
      <c r="J868" s="19">
        <f t="shared" si="10"/>
        <v>364.9833333</v>
      </c>
      <c r="K868" s="19"/>
      <c r="L868" s="19">
        <f t="shared" si="11"/>
        <v>356.6333333</v>
      </c>
      <c r="M868" s="19">
        <f t="shared" si="12"/>
        <v>370.1166667</v>
      </c>
      <c r="N868" s="19">
        <f t="shared" si="13"/>
        <v>353.4166667</v>
      </c>
    </row>
    <row r="869" ht="24.75" customHeight="1">
      <c r="A869" s="21" t="s">
        <v>832</v>
      </c>
      <c r="B869" s="13">
        <f>IFERROR(__xludf.DUMMYFUNCTION("GOOGLEFINANCE(A869,""PRICE"")"),1938.0)</f>
        <v>1938</v>
      </c>
      <c r="C869" s="14">
        <f>IFERROR(__xludf.DUMMYFUNCTION("GOOGLEFINANCE(A869,""PRICEOPEN"")"),1980.0)</f>
        <v>1980</v>
      </c>
      <c r="D869" s="14">
        <f>IFERROR(__xludf.DUMMYFUNCTION("GOOGLEFINANCE(A869,""HIGH"")"),1981.3)</f>
        <v>1981.3</v>
      </c>
      <c r="E869" s="14">
        <f>IFERROR(__xludf.DUMMYFUNCTION("GOOGLEFINANCE(A869,""LOW"")"),1921.1)</f>
        <v>1921.1</v>
      </c>
      <c r="F869" s="15" t="str">
        <f t="shared" si="8"/>
        <v/>
      </c>
      <c r="G869" s="16">
        <f>IFERROR(__xludf.DUMMYFUNCTION("GOOGLEFINANCE(A869,""CLOSEYEST"")"),1963.8)</f>
        <v>1963.8</v>
      </c>
      <c r="H869" s="17" t="str">
        <f t="shared" si="14"/>
        <v/>
      </c>
      <c r="I869" s="18">
        <f t="shared" si="9"/>
        <v>1955.4</v>
      </c>
      <c r="J869" s="19">
        <f t="shared" si="10"/>
        <v>1989.7</v>
      </c>
      <c r="K869" s="19"/>
      <c r="L869" s="19">
        <f t="shared" si="11"/>
        <v>1929.5</v>
      </c>
      <c r="M869" s="19">
        <f t="shared" si="12"/>
        <v>2015.6</v>
      </c>
      <c r="N869" s="19">
        <f t="shared" si="13"/>
        <v>1895.2</v>
      </c>
    </row>
    <row r="870" ht="24.75" customHeight="1">
      <c r="A870" s="21" t="s">
        <v>833</v>
      </c>
      <c r="B870" s="13">
        <f>IFERROR(__xludf.DUMMYFUNCTION("GOOGLEFINANCE(A870,""PRICE"")"),37.9)</f>
        <v>37.9</v>
      </c>
      <c r="C870" s="14">
        <f>IFERROR(__xludf.DUMMYFUNCTION("GOOGLEFINANCE(A870,""PRICEOPEN"")"),37.7)</f>
        <v>37.7</v>
      </c>
      <c r="D870" s="14">
        <f>IFERROR(__xludf.DUMMYFUNCTION("GOOGLEFINANCE(A870,""HIGH"")"),38.09)</f>
        <v>38.09</v>
      </c>
      <c r="E870" s="14">
        <f>IFERROR(__xludf.DUMMYFUNCTION("GOOGLEFINANCE(A870,""LOW"")"),37.42)</f>
        <v>37.42</v>
      </c>
      <c r="F870" s="15" t="str">
        <f t="shared" si="8"/>
        <v/>
      </c>
      <c r="G870" s="16">
        <f>IFERROR(__xludf.DUMMYFUNCTION("GOOGLEFINANCE(A870,""CLOSEYEST"")"),37.69)</f>
        <v>37.69</v>
      </c>
      <c r="H870" s="17" t="str">
        <f t="shared" si="14"/>
        <v/>
      </c>
      <c r="I870" s="18">
        <f t="shared" si="9"/>
        <v>37.73333333</v>
      </c>
      <c r="J870" s="19">
        <f t="shared" si="10"/>
        <v>38.04666667</v>
      </c>
      <c r="K870" s="19"/>
      <c r="L870" s="19">
        <f t="shared" si="11"/>
        <v>37.37666667</v>
      </c>
      <c r="M870" s="19">
        <f t="shared" si="12"/>
        <v>38.40333333</v>
      </c>
      <c r="N870" s="19">
        <f t="shared" si="13"/>
        <v>37.06333333</v>
      </c>
    </row>
    <row r="871" ht="24.75" customHeight="1">
      <c r="A871" s="21" t="s">
        <v>834</v>
      </c>
      <c r="B871" s="13">
        <f>IFERROR(__xludf.DUMMYFUNCTION("GOOGLEFINANCE(A871,""PRICE"")"),456.4)</f>
        <v>456.4</v>
      </c>
      <c r="C871" s="14">
        <f>IFERROR(__xludf.DUMMYFUNCTION("GOOGLEFINANCE(A871,""PRICEOPEN"")"),455.5)</f>
        <v>455.5</v>
      </c>
      <c r="D871" s="14">
        <f>IFERROR(__xludf.DUMMYFUNCTION("GOOGLEFINANCE(A871,""HIGH"")"),461.95)</f>
        <v>461.95</v>
      </c>
      <c r="E871" s="14">
        <f>IFERROR(__xludf.DUMMYFUNCTION("GOOGLEFINANCE(A871,""LOW"")"),453.15)</f>
        <v>453.15</v>
      </c>
      <c r="F871" s="15" t="str">
        <f t="shared" si="8"/>
        <v/>
      </c>
      <c r="G871" s="16">
        <f>IFERROR(__xludf.DUMMYFUNCTION("GOOGLEFINANCE(A871,""CLOSEYEST"")"),455.5)</f>
        <v>455.5</v>
      </c>
      <c r="H871" s="17" t="str">
        <f t="shared" si="14"/>
        <v/>
      </c>
      <c r="I871" s="18">
        <f t="shared" si="9"/>
        <v>456.8666667</v>
      </c>
      <c r="J871" s="19">
        <f t="shared" si="10"/>
        <v>460.5833333</v>
      </c>
      <c r="K871" s="19"/>
      <c r="L871" s="19">
        <f t="shared" si="11"/>
        <v>451.7833333</v>
      </c>
      <c r="M871" s="19">
        <f t="shared" si="12"/>
        <v>465.6666667</v>
      </c>
      <c r="N871" s="19">
        <f t="shared" si="13"/>
        <v>448.0666667</v>
      </c>
    </row>
    <row r="872" ht="24.75" customHeight="1">
      <c r="A872" s="21" t="s">
        <v>835</v>
      </c>
      <c r="B872" s="13">
        <f>IFERROR(__xludf.DUMMYFUNCTION("GOOGLEFINANCE(A872,""PRICE"")"),161.83)</f>
        <v>161.83</v>
      </c>
      <c r="C872" s="14">
        <f>IFERROR(__xludf.DUMMYFUNCTION("GOOGLEFINANCE(A872,""PRICEOPEN"")"),164.0)</f>
        <v>164</v>
      </c>
      <c r="D872" s="14">
        <f>IFERROR(__xludf.DUMMYFUNCTION("GOOGLEFINANCE(A872,""HIGH"")"),164.6)</f>
        <v>164.6</v>
      </c>
      <c r="E872" s="14">
        <f>IFERROR(__xludf.DUMMYFUNCTION("GOOGLEFINANCE(A872,""LOW"")"),159.85)</f>
        <v>159.85</v>
      </c>
      <c r="F872" s="15" t="str">
        <f t="shared" si="8"/>
        <v/>
      </c>
      <c r="G872" s="16">
        <f>IFERROR(__xludf.DUMMYFUNCTION("GOOGLEFINANCE(A872,""CLOSEYEST"")"),163.21)</f>
        <v>163.21</v>
      </c>
      <c r="H872" s="17" t="str">
        <f t="shared" si="14"/>
        <v/>
      </c>
      <c r="I872" s="18">
        <f t="shared" si="9"/>
        <v>162.5533333</v>
      </c>
      <c r="J872" s="19">
        <f t="shared" si="10"/>
        <v>165.2566667</v>
      </c>
      <c r="K872" s="19"/>
      <c r="L872" s="19">
        <f t="shared" si="11"/>
        <v>160.5066667</v>
      </c>
      <c r="M872" s="19">
        <f t="shared" si="12"/>
        <v>167.3033333</v>
      </c>
      <c r="N872" s="19">
        <f t="shared" si="13"/>
        <v>157.8033333</v>
      </c>
    </row>
    <row r="873" ht="24.75" customHeight="1">
      <c r="A873" s="21" t="s">
        <v>836</v>
      </c>
      <c r="B873" s="13" t="str">
        <f>IFERROR(__xludf.DUMMYFUNCTION("GOOGLEFINANCE(A873,""PRICE"")"),"#N/A")</f>
        <v>#N/A</v>
      </c>
      <c r="C873" s="14" t="str">
        <f>IFERROR(__xludf.DUMMYFUNCTION("GOOGLEFINANCE(A873,""PRICEOPEN"")"),"#N/A")</f>
        <v>#N/A</v>
      </c>
      <c r="D873" s="14" t="str">
        <f>IFERROR(__xludf.DUMMYFUNCTION("GOOGLEFINANCE(A873,""HIGH"")"),"#N/A")</f>
        <v>#N/A</v>
      </c>
      <c r="E873" s="14" t="str">
        <f>IFERROR(__xludf.DUMMYFUNCTION("GOOGLEFINANCE(A873,""LOW"")"),"#N/A")</f>
        <v>#N/A</v>
      </c>
      <c r="F873" s="15" t="str">
        <f t="shared" si="8"/>
        <v>#N/A</v>
      </c>
      <c r="G873" s="16" t="str">
        <f>IFERROR(__xludf.DUMMYFUNCTION("GOOGLEFINANCE(A873,""CLOSEYEST"")"),"#N/A")</f>
        <v>#N/A</v>
      </c>
      <c r="H873" s="17" t="str">
        <f t="shared" si="14"/>
        <v>#N/A</v>
      </c>
      <c r="I873" s="18" t="str">
        <f t="shared" si="9"/>
        <v>#N/A</v>
      </c>
      <c r="J873" s="19" t="str">
        <f t="shared" si="10"/>
        <v>#N/A</v>
      </c>
      <c r="K873" s="19"/>
      <c r="L873" s="19" t="str">
        <f t="shared" si="11"/>
        <v>#N/A</v>
      </c>
      <c r="M873" s="19" t="str">
        <f t="shared" si="12"/>
        <v>#N/A</v>
      </c>
      <c r="N873" s="19" t="str">
        <f t="shared" si="13"/>
        <v>#N/A</v>
      </c>
    </row>
    <row r="874" ht="24.75" customHeight="1">
      <c r="A874" s="21" t="s">
        <v>837</v>
      </c>
      <c r="B874" s="13">
        <f>IFERROR(__xludf.DUMMYFUNCTION("GOOGLEFINANCE(A874,""PRICE"")"),577.2)</f>
        <v>577.2</v>
      </c>
      <c r="C874" s="14">
        <f>IFERROR(__xludf.DUMMYFUNCTION("GOOGLEFINANCE(A874,""PRICEOPEN"")"),585.9)</f>
        <v>585.9</v>
      </c>
      <c r="D874" s="14">
        <f>IFERROR(__xludf.DUMMYFUNCTION("GOOGLEFINANCE(A874,""HIGH"")"),585.9)</f>
        <v>585.9</v>
      </c>
      <c r="E874" s="14">
        <f>IFERROR(__xludf.DUMMYFUNCTION("GOOGLEFINANCE(A874,""LOW"")"),571.95)</f>
        <v>571.95</v>
      </c>
      <c r="F874" s="15" t="str">
        <f t="shared" si="8"/>
        <v>SELL</v>
      </c>
      <c r="G874" s="16">
        <f>IFERROR(__xludf.DUMMYFUNCTION("GOOGLEFINANCE(A874,""CLOSEYEST"")"),582.25)</f>
        <v>582.25</v>
      </c>
      <c r="H874" s="17" t="str">
        <f t="shared" si="14"/>
        <v/>
      </c>
      <c r="I874" s="18">
        <f t="shared" si="9"/>
        <v>580.0333333</v>
      </c>
      <c r="J874" s="19">
        <f t="shared" si="10"/>
        <v>588.1166667</v>
      </c>
      <c r="K874" s="19"/>
      <c r="L874" s="19">
        <f t="shared" si="11"/>
        <v>574.1666667</v>
      </c>
      <c r="M874" s="19">
        <f t="shared" si="12"/>
        <v>593.9833333</v>
      </c>
      <c r="N874" s="19">
        <f t="shared" si="13"/>
        <v>566.0833333</v>
      </c>
    </row>
    <row r="875" ht="24.75" customHeight="1">
      <c r="A875" s="21" t="s">
        <v>838</v>
      </c>
      <c r="B875" s="13" t="str">
        <f>IFERROR(__xludf.DUMMYFUNCTION("GOOGLEFINANCE(A875,""PRICE"")"),"#N/A")</f>
        <v>#N/A</v>
      </c>
      <c r="C875" s="14" t="str">
        <f>IFERROR(__xludf.DUMMYFUNCTION("GOOGLEFINANCE(A875,""PRICEOPEN"")"),"#N/A")</f>
        <v>#N/A</v>
      </c>
      <c r="D875" s="14" t="str">
        <f>IFERROR(__xludf.DUMMYFUNCTION("GOOGLEFINANCE(A875,""HIGH"")"),"#N/A")</f>
        <v>#N/A</v>
      </c>
      <c r="E875" s="14" t="str">
        <f>IFERROR(__xludf.DUMMYFUNCTION("GOOGLEFINANCE(A875,""LOW"")"),"#N/A")</f>
        <v>#N/A</v>
      </c>
      <c r="F875" s="15" t="str">
        <f t="shared" si="8"/>
        <v>#N/A</v>
      </c>
      <c r="G875" s="16" t="str">
        <f>IFERROR(__xludf.DUMMYFUNCTION("GOOGLEFINANCE(A875,""CLOSEYEST"")"),"#N/A")</f>
        <v>#N/A</v>
      </c>
      <c r="H875" s="17" t="str">
        <f t="shared" si="14"/>
        <v>#N/A</v>
      </c>
      <c r="I875" s="18" t="str">
        <f t="shared" si="9"/>
        <v>#N/A</v>
      </c>
      <c r="J875" s="19" t="str">
        <f t="shared" si="10"/>
        <v>#N/A</v>
      </c>
      <c r="K875" s="19"/>
      <c r="L875" s="19" t="str">
        <f t="shared" si="11"/>
        <v>#N/A</v>
      </c>
      <c r="M875" s="19" t="str">
        <f t="shared" si="12"/>
        <v>#N/A</v>
      </c>
      <c r="N875" s="19" t="str">
        <f t="shared" si="13"/>
        <v>#N/A</v>
      </c>
    </row>
    <row r="876" ht="24.75" customHeight="1">
      <c r="A876" s="21" t="s">
        <v>839</v>
      </c>
      <c r="B876" s="13">
        <f>IFERROR(__xludf.DUMMYFUNCTION("GOOGLEFINANCE(A876,""PRICE"")"),187.35)</f>
        <v>187.35</v>
      </c>
      <c r="C876" s="14">
        <f>IFERROR(__xludf.DUMMYFUNCTION("GOOGLEFINANCE(A876,""PRICEOPEN"")"),183.1)</f>
        <v>183.1</v>
      </c>
      <c r="D876" s="14">
        <f>IFERROR(__xludf.DUMMYFUNCTION("GOOGLEFINANCE(A876,""HIGH"")"),190.0)</f>
        <v>190</v>
      </c>
      <c r="E876" s="14">
        <f>IFERROR(__xludf.DUMMYFUNCTION("GOOGLEFINANCE(A876,""LOW"")"),182.06)</f>
        <v>182.06</v>
      </c>
      <c r="F876" s="15" t="str">
        <f t="shared" si="8"/>
        <v/>
      </c>
      <c r="G876" s="16">
        <f>IFERROR(__xludf.DUMMYFUNCTION("GOOGLEFINANCE(A876,""CLOSEYEST"")"),183.1)</f>
        <v>183.1</v>
      </c>
      <c r="H876" s="17" t="str">
        <f t="shared" si="14"/>
        <v/>
      </c>
      <c r="I876" s="18">
        <f t="shared" si="9"/>
        <v>185.0533333</v>
      </c>
      <c r="J876" s="19">
        <f t="shared" si="10"/>
        <v>188.0466667</v>
      </c>
      <c r="K876" s="19"/>
      <c r="L876" s="19">
        <f t="shared" si="11"/>
        <v>180.1066667</v>
      </c>
      <c r="M876" s="19">
        <f t="shared" si="12"/>
        <v>192.9933333</v>
      </c>
      <c r="N876" s="19">
        <f t="shared" si="13"/>
        <v>177.1133333</v>
      </c>
    </row>
    <row r="877" ht="24.75" customHeight="1">
      <c r="A877" s="21" t="s">
        <v>840</v>
      </c>
      <c r="B877" s="13" t="str">
        <f>IFERROR(__xludf.DUMMYFUNCTION("GOOGLEFINANCE(A877,""PRICE"")"),"#N/A")</f>
        <v>#N/A</v>
      </c>
      <c r="C877" s="14" t="str">
        <f>IFERROR(__xludf.DUMMYFUNCTION("GOOGLEFINANCE(A877,""PRICEOPEN"")"),"#N/A")</f>
        <v>#N/A</v>
      </c>
      <c r="D877" s="14" t="str">
        <f>IFERROR(__xludf.DUMMYFUNCTION("GOOGLEFINANCE(A877,""HIGH"")"),"#N/A")</f>
        <v>#N/A</v>
      </c>
      <c r="E877" s="14" t="str">
        <f>IFERROR(__xludf.DUMMYFUNCTION("GOOGLEFINANCE(A877,""LOW"")"),"#N/A")</f>
        <v>#N/A</v>
      </c>
      <c r="F877" s="15" t="str">
        <f t="shared" si="8"/>
        <v>#N/A</v>
      </c>
      <c r="G877" s="16" t="str">
        <f>IFERROR(__xludf.DUMMYFUNCTION("GOOGLEFINANCE(A877,""CLOSEYEST"")"),"#N/A")</f>
        <v>#N/A</v>
      </c>
      <c r="H877" s="17" t="str">
        <f t="shared" si="14"/>
        <v>#N/A</v>
      </c>
      <c r="I877" s="18" t="str">
        <f t="shared" si="9"/>
        <v>#N/A</v>
      </c>
      <c r="J877" s="19" t="str">
        <f t="shared" si="10"/>
        <v>#N/A</v>
      </c>
      <c r="K877" s="19"/>
      <c r="L877" s="19" t="str">
        <f t="shared" si="11"/>
        <v>#N/A</v>
      </c>
      <c r="M877" s="19" t="str">
        <f t="shared" si="12"/>
        <v>#N/A</v>
      </c>
      <c r="N877" s="19" t="str">
        <f t="shared" si="13"/>
        <v>#N/A</v>
      </c>
    </row>
    <row r="878" ht="24.75" customHeight="1">
      <c r="A878" s="21" t="s">
        <v>841</v>
      </c>
      <c r="B878" s="13" t="str">
        <f>IFERROR(__xludf.DUMMYFUNCTION("GOOGLEFINANCE(A878,""PRICE"")"),"#N/A")</f>
        <v>#N/A</v>
      </c>
      <c r="C878" s="14" t="str">
        <f>IFERROR(__xludf.DUMMYFUNCTION("GOOGLEFINANCE(A878,""PRICEOPEN"")"),"#N/A")</f>
        <v>#N/A</v>
      </c>
      <c r="D878" s="14" t="str">
        <f>IFERROR(__xludf.DUMMYFUNCTION("GOOGLEFINANCE(A878,""HIGH"")"),"#N/A")</f>
        <v>#N/A</v>
      </c>
      <c r="E878" s="14" t="str">
        <f>IFERROR(__xludf.DUMMYFUNCTION("GOOGLEFINANCE(A878,""LOW"")"),"#N/A")</f>
        <v>#N/A</v>
      </c>
      <c r="F878" s="15" t="str">
        <f t="shared" si="8"/>
        <v>#N/A</v>
      </c>
      <c r="G878" s="16" t="str">
        <f>IFERROR(__xludf.DUMMYFUNCTION("GOOGLEFINANCE(A878,""CLOSEYEST"")"),"#N/A")</f>
        <v>#N/A</v>
      </c>
      <c r="H878" s="17" t="str">
        <f t="shared" si="14"/>
        <v>#N/A</v>
      </c>
      <c r="I878" s="18" t="str">
        <f t="shared" si="9"/>
        <v>#N/A</v>
      </c>
      <c r="J878" s="19" t="str">
        <f t="shared" si="10"/>
        <v>#N/A</v>
      </c>
      <c r="K878" s="19"/>
      <c r="L878" s="19" t="str">
        <f t="shared" si="11"/>
        <v>#N/A</v>
      </c>
      <c r="M878" s="19" t="str">
        <f t="shared" si="12"/>
        <v>#N/A</v>
      </c>
      <c r="N878" s="19" t="str">
        <f t="shared" si="13"/>
        <v>#N/A</v>
      </c>
    </row>
    <row r="879" ht="24.75" customHeight="1">
      <c r="A879" s="21" t="s">
        <v>842</v>
      </c>
      <c r="B879" s="13">
        <f>IFERROR(__xludf.DUMMYFUNCTION("GOOGLEFINANCE(A879,""PRICE"")"),891.8)</f>
        <v>891.8</v>
      </c>
      <c r="C879" s="14">
        <f>IFERROR(__xludf.DUMMYFUNCTION("GOOGLEFINANCE(A879,""PRICEOPEN"")"),878.0)</f>
        <v>878</v>
      </c>
      <c r="D879" s="14">
        <f>IFERROR(__xludf.DUMMYFUNCTION("GOOGLEFINANCE(A879,""HIGH"")"),897.2)</f>
        <v>897.2</v>
      </c>
      <c r="E879" s="14">
        <f>IFERROR(__xludf.DUMMYFUNCTION("GOOGLEFINANCE(A879,""LOW"")"),877.0)</f>
        <v>877</v>
      </c>
      <c r="F879" s="15" t="str">
        <f t="shared" si="8"/>
        <v/>
      </c>
      <c r="G879" s="16">
        <f>IFERROR(__xludf.DUMMYFUNCTION("GOOGLEFINANCE(A879,""CLOSEYEST"")"),876.95)</f>
        <v>876.95</v>
      </c>
      <c r="H879" s="17" t="str">
        <f t="shared" si="14"/>
        <v/>
      </c>
      <c r="I879" s="18">
        <f t="shared" si="9"/>
        <v>883.7166667</v>
      </c>
      <c r="J879" s="19">
        <f t="shared" si="10"/>
        <v>890.4333333</v>
      </c>
      <c r="K879" s="19"/>
      <c r="L879" s="19">
        <f t="shared" si="11"/>
        <v>870.2333333</v>
      </c>
      <c r="M879" s="19">
        <f t="shared" si="12"/>
        <v>903.9166667</v>
      </c>
      <c r="N879" s="19">
        <f t="shared" si="13"/>
        <v>863.5166667</v>
      </c>
    </row>
    <row r="880" ht="24.75" customHeight="1">
      <c r="A880" s="21" t="s">
        <v>843</v>
      </c>
      <c r="B880" s="13">
        <f>IFERROR(__xludf.DUMMYFUNCTION("GOOGLEFINANCE(A880,""PRICE"")"),1.24)</f>
        <v>1.24</v>
      </c>
      <c r="C880" s="14">
        <f>IFERROR(__xludf.DUMMYFUNCTION("GOOGLEFINANCE(A880,""PRICEOPEN"")"),1.24)</f>
        <v>1.24</v>
      </c>
      <c r="D880" s="14">
        <f>IFERROR(__xludf.DUMMYFUNCTION("GOOGLEFINANCE(A880,""HIGH"")"),1.24)</f>
        <v>1.24</v>
      </c>
      <c r="E880" s="14">
        <f>IFERROR(__xludf.DUMMYFUNCTION("GOOGLEFINANCE(A880,""LOW"")"),1.23)</f>
        <v>1.23</v>
      </c>
      <c r="F880" s="15" t="str">
        <f t="shared" si="8"/>
        <v>SELL</v>
      </c>
      <c r="G880" s="16">
        <f>IFERROR(__xludf.DUMMYFUNCTION("GOOGLEFINANCE(A880,""CLOSEYEST"")"),1.23)</f>
        <v>1.23</v>
      </c>
      <c r="H880" s="17" t="str">
        <f t="shared" si="14"/>
        <v/>
      </c>
      <c r="I880" s="18">
        <f t="shared" si="9"/>
        <v>1.233333333</v>
      </c>
      <c r="J880" s="19">
        <f t="shared" si="10"/>
        <v>1.236666667</v>
      </c>
      <c r="K880" s="19"/>
      <c r="L880" s="19">
        <f t="shared" si="11"/>
        <v>1.226666667</v>
      </c>
      <c r="M880" s="19">
        <f t="shared" si="12"/>
        <v>1.243333333</v>
      </c>
      <c r="N880" s="19">
        <f t="shared" si="13"/>
        <v>1.223333333</v>
      </c>
    </row>
    <row r="881" ht="24.75" customHeight="1">
      <c r="A881" s="21" t="s">
        <v>844</v>
      </c>
      <c r="B881" s="13">
        <f>IFERROR(__xludf.DUMMYFUNCTION("GOOGLEFINANCE(A881,""PRICE"")"),34.94)</f>
        <v>34.94</v>
      </c>
      <c r="C881" s="14">
        <f>IFERROR(__xludf.DUMMYFUNCTION("GOOGLEFINANCE(A881,""PRICEOPEN"")"),33.0)</f>
        <v>33</v>
      </c>
      <c r="D881" s="14">
        <f>IFERROR(__xludf.DUMMYFUNCTION("GOOGLEFINANCE(A881,""HIGH"")"),34.94)</f>
        <v>34.94</v>
      </c>
      <c r="E881" s="14">
        <f>IFERROR(__xludf.DUMMYFUNCTION("GOOGLEFINANCE(A881,""LOW"")"),33.0)</f>
        <v>33</v>
      </c>
      <c r="F881" s="15" t="str">
        <f t="shared" si="8"/>
        <v>BUY</v>
      </c>
      <c r="G881" s="16">
        <f>IFERROR(__xludf.DUMMYFUNCTION("GOOGLEFINANCE(A881,""CLOSEYEST"")"),33.28)</f>
        <v>33.28</v>
      </c>
      <c r="H881" s="17" t="str">
        <f t="shared" si="14"/>
        <v/>
      </c>
      <c r="I881" s="18">
        <f t="shared" si="9"/>
        <v>33.74</v>
      </c>
      <c r="J881" s="19">
        <f t="shared" si="10"/>
        <v>34.48</v>
      </c>
      <c r="K881" s="19"/>
      <c r="L881" s="19">
        <f t="shared" si="11"/>
        <v>32.54</v>
      </c>
      <c r="M881" s="19">
        <f t="shared" si="12"/>
        <v>35.68</v>
      </c>
      <c r="N881" s="19">
        <f t="shared" si="13"/>
        <v>31.8</v>
      </c>
    </row>
    <row r="882" ht="24.75" customHeight="1">
      <c r="A882" s="21" t="s">
        <v>845</v>
      </c>
      <c r="B882" s="13">
        <f>IFERROR(__xludf.DUMMYFUNCTION("GOOGLEFINANCE(A882,""PRICE"")"),1442.7)</f>
        <v>1442.7</v>
      </c>
      <c r="C882" s="14">
        <f>IFERROR(__xludf.DUMMYFUNCTION("GOOGLEFINANCE(A882,""PRICEOPEN"")"),1412.0)</f>
        <v>1412</v>
      </c>
      <c r="D882" s="14">
        <f>IFERROR(__xludf.DUMMYFUNCTION("GOOGLEFINANCE(A882,""HIGH"")"),1451.9)</f>
        <v>1451.9</v>
      </c>
      <c r="E882" s="14">
        <f>IFERROR(__xludf.DUMMYFUNCTION("GOOGLEFINANCE(A882,""LOW"")"),1412.0)</f>
        <v>1412</v>
      </c>
      <c r="F882" s="15" t="str">
        <f t="shared" si="8"/>
        <v>BUY</v>
      </c>
      <c r="G882" s="16">
        <f>IFERROR(__xludf.DUMMYFUNCTION("GOOGLEFINANCE(A882,""CLOSEYEST"")"),1414.1)</f>
        <v>1414.1</v>
      </c>
      <c r="H882" s="17" t="str">
        <f t="shared" si="14"/>
        <v/>
      </c>
      <c r="I882" s="18">
        <f t="shared" si="9"/>
        <v>1426</v>
      </c>
      <c r="J882" s="19">
        <f t="shared" si="10"/>
        <v>1440</v>
      </c>
      <c r="K882" s="19"/>
      <c r="L882" s="19">
        <f t="shared" si="11"/>
        <v>1400.1</v>
      </c>
      <c r="M882" s="19">
        <f t="shared" si="12"/>
        <v>1465.9</v>
      </c>
      <c r="N882" s="19">
        <f t="shared" si="13"/>
        <v>1386.1</v>
      </c>
    </row>
    <row r="883" ht="24.75" customHeight="1">
      <c r="A883" s="21" t="s">
        <v>846</v>
      </c>
      <c r="B883" s="13">
        <f>IFERROR(__xludf.DUMMYFUNCTION("GOOGLEFINANCE(A883,""PRICE"")"),63.2)</f>
        <v>63.2</v>
      </c>
      <c r="C883" s="14">
        <f>IFERROR(__xludf.DUMMYFUNCTION("GOOGLEFINANCE(A883,""PRICEOPEN"")"),62.1)</f>
        <v>62.1</v>
      </c>
      <c r="D883" s="14">
        <f>IFERROR(__xludf.DUMMYFUNCTION("GOOGLEFINANCE(A883,""HIGH"")"),63.2)</f>
        <v>63.2</v>
      </c>
      <c r="E883" s="14">
        <f>IFERROR(__xludf.DUMMYFUNCTION("GOOGLEFINANCE(A883,""LOW"")"),61.56)</f>
        <v>61.56</v>
      </c>
      <c r="F883" s="15" t="str">
        <f t="shared" si="8"/>
        <v/>
      </c>
      <c r="G883" s="16">
        <f>IFERROR(__xludf.DUMMYFUNCTION("GOOGLEFINANCE(A883,""CLOSEYEST"")"),61.84)</f>
        <v>61.84</v>
      </c>
      <c r="H883" s="17" t="str">
        <f t="shared" si="14"/>
        <v/>
      </c>
      <c r="I883" s="18">
        <f t="shared" si="9"/>
        <v>62.2</v>
      </c>
      <c r="J883" s="19">
        <f t="shared" si="10"/>
        <v>62.84</v>
      </c>
      <c r="K883" s="19"/>
      <c r="L883" s="19">
        <f t="shared" si="11"/>
        <v>61.2</v>
      </c>
      <c r="M883" s="19">
        <f t="shared" si="12"/>
        <v>63.84</v>
      </c>
      <c r="N883" s="19">
        <f t="shared" si="13"/>
        <v>60.56</v>
      </c>
    </row>
    <row r="884" ht="24.75" customHeight="1">
      <c r="A884" s="21" t="s">
        <v>847</v>
      </c>
      <c r="B884" s="13">
        <f>IFERROR(__xludf.DUMMYFUNCTION("GOOGLEFINANCE(A884,""PRICE"")"),22.17)</f>
        <v>22.17</v>
      </c>
      <c r="C884" s="14">
        <f>IFERROR(__xludf.DUMMYFUNCTION("GOOGLEFINANCE(A884,""PRICEOPEN"")"),21.58)</f>
        <v>21.58</v>
      </c>
      <c r="D884" s="14">
        <f>IFERROR(__xludf.DUMMYFUNCTION("GOOGLEFINANCE(A884,""HIGH"")"),22.25)</f>
        <v>22.25</v>
      </c>
      <c r="E884" s="14">
        <f>IFERROR(__xludf.DUMMYFUNCTION("GOOGLEFINANCE(A884,""LOW"")"),21.55)</f>
        <v>21.55</v>
      </c>
      <c r="F884" s="15" t="str">
        <f t="shared" si="8"/>
        <v/>
      </c>
      <c r="G884" s="16">
        <f>IFERROR(__xludf.DUMMYFUNCTION("GOOGLEFINANCE(A884,""CLOSEYEST"")"),21.58)</f>
        <v>21.58</v>
      </c>
      <c r="H884" s="17" t="str">
        <f t="shared" si="14"/>
        <v/>
      </c>
      <c r="I884" s="18">
        <f t="shared" si="9"/>
        <v>21.79333333</v>
      </c>
      <c r="J884" s="19">
        <f t="shared" si="10"/>
        <v>22.03666667</v>
      </c>
      <c r="K884" s="19"/>
      <c r="L884" s="19">
        <f t="shared" si="11"/>
        <v>21.33666667</v>
      </c>
      <c r="M884" s="19">
        <f t="shared" si="12"/>
        <v>22.49333333</v>
      </c>
      <c r="N884" s="19">
        <f t="shared" si="13"/>
        <v>21.09333333</v>
      </c>
    </row>
    <row r="885" ht="24.75" customHeight="1">
      <c r="A885" s="21" t="s">
        <v>848</v>
      </c>
      <c r="B885" s="13">
        <f>IFERROR(__xludf.DUMMYFUNCTION("GOOGLEFINANCE(A885,""PRICE"")"),520.05)</f>
        <v>520.05</v>
      </c>
      <c r="C885" s="14">
        <f>IFERROR(__xludf.DUMMYFUNCTION("GOOGLEFINANCE(A885,""PRICEOPEN"")"),507.0)</f>
        <v>507</v>
      </c>
      <c r="D885" s="14">
        <f>IFERROR(__xludf.DUMMYFUNCTION("GOOGLEFINANCE(A885,""HIGH"")"),523.55)</f>
        <v>523.55</v>
      </c>
      <c r="E885" s="14">
        <f>IFERROR(__xludf.DUMMYFUNCTION("GOOGLEFINANCE(A885,""LOW"")"),506.35)</f>
        <v>506.35</v>
      </c>
      <c r="F885" s="15" t="str">
        <f t="shared" si="8"/>
        <v/>
      </c>
      <c r="G885" s="16">
        <f>IFERROR(__xludf.DUMMYFUNCTION("GOOGLEFINANCE(A885,""CLOSEYEST"")"),506.35)</f>
        <v>506.35</v>
      </c>
      <c r="H885" s="17" t="str">
        <f t="shared" si="14"/>
        <v/>
      </c>
      <c r="I885" s="18">
        <f t="shared" si="9"/>
        <v>512.0833333</v>
      </c>
      <c r="J885" s="19">
        <f t="shared" si="10"/>
        <v>517.8166667</v>
      </c>
      <c r="K885" s="19"/>
      <c r="L885" s="19">
        <f t="shared" si="11"/>
        <v>500.6166667</v>
      </c>
      <c r="M885" s="19">
        <f t="shared" si="12"/>
        <v>529.2833333</v>
      </c>
      <c r="N885" s="19">
        <f t="shared" si="13"/>
        <v>494.8833333</v>
      </c>
    </row>
    <row r="886" ht="24.75" customHeight="1">
      <c r="A886" s="21" t="s">
        <v>849</v>
      </c>
      <c r="B886" s="13">
        <f>IFERROR(__xludf.DUMMYFUNCTION("GOOGLEFINANCE(A886,""PRICE"")"),257.0)</f>
        <v>257</v>
      </c>
      <c r="C886" s="14">
        <f>IFERROR(__xludf.DUMMYFUNCTION("GOOGLEFINANCE(A886,""PRICEOPEN"")"),262.0)</f>
        <v>262</v>
      </c>
      <c r="D886" s="14">
        <f>IFERROR(__xludf.DUMMYFUNCTION("GOOGLEFINANCE(A886,""HIGH"")"),263.0)</f>
        <v>263</v>
      </c>
      <c r="E886" s="14">
        <f>IFERROR(__xludf.DUMMYFUNCTION("GOOGLEFINANCE(A886,""LOW"")"),253.55)</f>
        <v>253.55</v>
      </c>
      <c r="F886" s="15" t="str">
        <f t="shared" si="8"/>
        <v/>
      </c>
      <c r="G886" s="16">
        <f>IFERROR(__xludf.DUMMYFUNCTION("GOOGLEFINANCE(A886,""CLOSEYEST"")"),257.15)</f>
        <v>257.15</v>
      </c>
      <c r="H886" s="17" t="str">
        <f t="shared" si="14"/>
        <v>GAP UP</v>
      </c>
      <c r="I886" s="18">
        <f t="shared" si="9"/>
        <v>257.9</v>
      </c>
      <c r="J886" s="19">
        <f t="shared" si="10"/>
        <v>262.25</v>
      </c>
      <c r="K886" s="19"/>
      <c r="L886" s="19">
        <f t="shared" si="11"/>
        <v>252.8</v>
      </c>
      <c r="M886" s="19">
        <f t="shared" si="12"/>
        <v>267.35</v>
      </c>
      <c r="N886" s="19">
        <f t="shared" si="13"/>
        <v>248.45</v>
      </c>
    </row>
    <row r="887" ht="24.75" customHeight="1">
      <c r="A887" s="21" t="s">
        <v>850</v>
      </c>
      <c r="B887" s="13">
        <f>IFERROR(__xludf.DUMMYFUNCTION("GOOGLEFINANCE(A887,""PRICE"")"),4130.0)</f>
        <v>4130</v>
      </c>
      <c r="C887" s="14">
        <f>IFERROR(__xludf.DUMMYFUNCTION("GOOGLEFINANCE(A887,""PRICEOPEN"")"),4124.0)</f>
        <v>4124</v>
      </c>
      <c r="D887" s="14">
        <f>IFERROR(__xludf.DUMMYFUNCTION("GOOGLEFINANCE(A887,""HIGH"")"),4199.9)</f>
        <v>4199.9</v>
      </c>
      <c r="E887" s="14">
        <f>IFERROR(__xludf.DUMMYFUNCTION("GOOGLEFINANCE(A887,""LOW"")"),4074.6)</f>
        <v>4074.6</v>
      </c>
      <c r="F887" s="15" t="str">
        <f t="shared" si="8"/>
        <v/>
      </c>
      <c r="G887" s="16">
        <f>IFERROR(__xludf.DUMMYFUNCTION("GOOGLEFINANCE(A887,""CLOSEYEST"")"),4074.6)</f>
        <v>4074.6</v>
      </c>
      <c r="H887" s="17" t="str">
        <f t="shared" si="14"/>
        <v>GAP UP</v>
      </c>
      <c r="I887" s="18">
        <f t="shared" si="9"/>
        <v>4116.366667</v>
      </c>
      <c r="J887" s="19">
        <f t="shared" si="10"/>
        <v>4158.133333</v>
      </c>
      <c r="K887" s="19"/>
      <c r="L887" s="19">
        <f t="shared" si="11"/>
        <v>4032.833333</v>
      </c>
      <c r="M887" s="19">
        <f t="shared" si="12"/>
        <v>4241.666667</v>
      </c>
      <c r="N887" s="19">
        <f t="shared" si="13"/>
        <v>3991.066667</v>
      </c>
    </row>
    <row r="888" ht="24.75" customHeight="1">
      <c r="A888" s="21" t="s">
        <v>851</v>
      </c>
      <c r="B888" s="13">
        <f>IFERROR(__xludf.DUMMYFUNCTION("GOOGLEFINANCE(A888,""PRICE"")"),529.1)</f>
        <v>529.1</v>
      </c>
      <c r="C888" s="14">
        <f>IFERROR(__xludf.DUMMYFUNCTION("GOOGLEFINANCE(A888,""PRICEOPEN"")"),524.95)</f>
        <v>524.95</v>
      </c>
      <c r="D888" s="14">
        <f>IFERROR(__xludf.DUMMYFUNCTION("GOOGLEFINANCE(A888,""HIGH"")"),530.0)</f>
        <v>530</v>
      </c>
      <c r="E888" s="14">
        <f>IFERROR(__xludf.DUMMYFUNCTION("GOOGLEFINANCE(A888,""LOW"")"),523.55)</f>
        <v>523.55</v>
      </c>
      <c r="F888" s="15" t="str">
        <f t="shared" si="8"/>
        <v/>
      </c>
      <c r="G888" s="16">
        <f>IFERROR(__xludf.DUMMYFUNCTION("GOOGLEFINANCE(A888,""CLOSEYEST"")"),523.5)</f>
        <v>523.5</v>
      </c>
      <c r="H888" s="17" t="str">
        <f t="shared" si="14"/>
        <v/>
      </c>
      <c r="I888" s="18">
        <f t="shared" si="9"/>
        <v>525.6833333</v>
      </c>
      <c r="J888" s="19">
        <f t="shared" si="10"/>
        <v>527.8166667</v>
      </c>
      <c r="K888" s="19"/>
      <c r="L888" s="19">
        <f t="shared" si="11"/>
        <v>521.3666667</v>
      </c>
      <c r="M888" s="19">
        <f t="shared" si="12"/>
        <v>532.1333333</v>
      </c>
      <c r="N888" s="19">
        <f t="shared" si="13"/>
        <v>519.2333333</v>
      </c>
    </row>
    <row r="889" ht="24.75" customHeight="1">
      <c r="A889" s="21" t="s">
        <v>852</v>
      </c>
      <c r="B889" s="13">
        <f>IFERROR(__xludf.DUMMYFUNCTION("GOOGLEFINANCE(A889,""PRICE"")"),2771.2)</f>
        <v>2771.2</v>
      </c>
      <c r="C889" s="14">
        <f>IFERROR(__xludf.DUMMYFUNCTION("GOOGLEFINANCE(A889,""PRICEOPEN"")"),2749.5)</f>
        <v>2749.5</v>
      </c>
      <c r="D889" s="14">
        <f>IFERROR(__xludf.DUMMYFUNCTION("GOOGLEFINANCE(A889,""HIGH"")"),2800.0)</f>
        <v>2800</v>
      </c>
      <c r="E889" s="14">
        <f>IFERROR(__xludf.DUMMYFUNCTION("GOOGLEFINANCE(A889,""LOW"")"),2730.7)</f>
        <v>2730.7</v>
      </c>
      <c r="F889" s="15" t="str">
        <f t="shared" si="8"/>
        <v/>
      </c>
      <c r="G889" s="16">
        <f>IFERROR(__xludf.DUMMYFUNCTION("GOOGLEFINANCE(A889,""CLOSEYEST"")"),2730.7)</f>
        <v>2730.7</v>
      </c>
      <c r="H889" s="17" t="str">
        <f t="shared" si="14"/>
        <v/>
      </c>
      <c r="I889" s="18">
        <f t="shared" si="9"/>
        <v>2753.8</v>
      </c>
      <c r="J889" s="19">
        <f t="shared" si="10"/>
        <v>2776.9</v>
      </c>
      <c r="K889" s="19"/>
      <c r="L889" s="19">
        <f t="shared" si="11"/>
        <v>2707.6</v>
      </c>
      <c r="M889" s="19">
        <f t="shared" si="12"/>
        <v>2823.1</v>
      </c>
      <c r="N889" s="19">
        <f t="shared" si="13"/>
        <v>2684.5</v>
      </c>
    </row>
    <row r="890" ht="24.75" customHeight="1">
      <c r="A890" s="21" t="s">
        <v>853</v>
      </c>
      <c r="B890" s="13">
        <f>IFERROR(__xludf.DUMMYFUNCTION("GOOGLEFINANCE(A890,""PRICE"")"),1129.1)</f>
        <v>1129.1</v>
      </c>
      <c r="C890" s="14">
        <f>IFERROR(__xludf.DUMMYFUNCTION("GOOGLEFINANCE(A890,""PRICEOPEN"")"),1129.0)</f>
        <v>1129</v>
      </c>
      <c r="D890" s="14">
        <f>IFERROR(__xludf.DUMMYFUNCTION("GOOGLEFINANCE(A890,""HIGH"")"),1139.8)</f>
        <v>1139.8</v>
      </c>
      <c r="E890" s="14">
        <f>IFERROR(__xludf.DUMMYFUNCTION("GOOGLEFINANCE(A890,""LOW"")"),1120.8)</f>
        <v>1120.8</v>
      </c>
      <c r="F890" s="15" t="str">
        <f t="shared" si="8"/>
        <v/>
      </c>
      <c r="G890" s="16">
        <f>IFERROR(__xludf.DUMMYFUNCTION("GOOGLEFINANCE(A890,""CLOSEYEST"")"),1131.5)</f>
        <v>1131.5</v>
      </c>
      <c r="H890" s="17" t="str">
        <f t="shared" si="14"/>
        <v/>
      </c>
      <c r="I890" s="18">
        <f t="shared" si="9"/>
        <v>1130.7</v>
      </c>
      <c r="J890" s="19">
        <f t="shared" si="10"/>
        <v>1140.6</v>
      </c>
      <c r="K890" s="19"/>
      <c r="L890" s="19">
        <f t="shared" si="11"/>
        <v>1121.6</v>
      </c>
      <c r="M890" s="19">
        <f t="shared" si="12"/>
        <v>1149.7</v>
      </c>
      <c r="N890" s="19">
        <f t="shared" si="13"/>
        <v>1111.7</v>
      </c>
    </row>
    <row r="891" ht="24.75" customHeight="1">
      <c r="A891" s="21" t="s">
        <v>854</v>
      </c>
      <c r="B891" s="13" t="str">
        <f>IFERROR(__xludf.DUMMYFUNCTION("GOOGLEFINANCE(A891,""PRICE"")"),"#N/A")</f>
        <v>#N/A</v>
      </c>
      <c r="C891" s="14" t="str">
        <f>IFERROR(__xludf.DUMMYFUNCTION("GOOGLEFINANCE(A891,""PRICEOPEN"")"),"#N/A")</f>
        <v>#N/A</v>
      </c>
      <c r="D891" s="14" t="str">
        <f>IFERROR(__xludf.DUMMYFUNCTION("GOOGLEFINANCE(A891,""HIGH"")"),"#N/A")</f>
        <v>#N/A</v>
      </c>
      <c r="E891" s="14" t="str">
        <f>IFERROR(__xludf.DUMMYFUNCTION("GOOGLEFINANCE(A891,""LOW"")"),"#N/A")</f>
        <v>#N/A</v>
      </c>
      <c r="F891" s="15" t="str">
        <f t="shared" si="8"/>
        <v>#N/A</v>
      </c>
      <c r="G891" s="16" t="str">
        <f>IFERROR(__xludf.DUMMYFUNCTION("GOOGLEFINANCE(A891,""CLOSEYEST"")"),"#N/A")</f>
        <v>#N/A</v>
      </c>
      <c r="H891" s="17" t="str">
        <f t="shared" si="14"/>
        <v>#N/A</v>
      </c>
      <c r="I891" s="18" t="str">
        <f t="shared" si="9"/>
        <v>#N/A</v>
      </c>
      <c r="J891" s="19" t="str">
        <f t="shared" si="10"/>
        <v>#N/A</v>
      </c>
      <c r="K891" s="19"/>
      <c r="L891" s="19" t="str">
        <f t="shared" si="11"/>
        <v>#N/A</v>
      </c>
      <c r="M891" s="19" t="str">
        <f t="shared" si="12"/>
        <v>#N/A</v>
      </c>
      <c r="N891" s="19" t="str">
        <f t="shared" si="13"/>
        <v>#N/A</v>
      </c>
    </row>
    <row r="892" ht="24.75" customHeight="1">
      <c r="A892" s="21" t="s">
        <v>855</v>
      </c>
      <c r="B892" s="13">
        <f>IFERROR(__xludf.DUMMYFUNCTION("GOOGLEFINANCE(A892,""PRICE"")"),530.55)</f>
        <v>530.55</v>
      </c>
      <c r="C892" s="14">
        <f>IFERROR(__xludf.DUMMYFUNCTION("GOOGLEFINANCE(A892,""PRICEOPEN"")"),515.8)</f>
        <v>515.8</v>
      </c>
      <c r="D892" s="14">
        <f>IFERROR(__xludf.DUMMYFUNCTION("GOOGLEFINANCE(A892,""HIGH"")"),533.9)</f>
        <v>533.9</v>
      </c>
      <c r="E892" s="14">
        <f>IFERROR(__xludf.DUMMYFUNCTION("GOOGLEFINANCE(A892,""LOW"")"),508.0)</f>
        <v>508</v>
      </c>
      <c r="F892" s="15" t="str">
        <f t="shared" si="8"/>
        <v/>
      </c>
      <c r="G892" s="16">
        <f>IFERROR(__xludf.DUMMYFUNCTION("GOOGLEFINANCE(A892,""CLOSEYEST"")"),510.4)</f>
        <v>510.4</v>
      </c>
      <c r="H892" s="17" t="str">
        <f t="shared" si="14"/>
        <v>GAP UP</v>
      </c>
      <c r="I892" s="18">
        <f t="shared" si="9"/>
        <v>517.4333333</v>
      </c>
      <c r="J892" s="19">
        <f t="shared" si="10"/>
        <v>526.8666667</v>
      </c>
      <c r="K892" s="19"/>
      <c r="L892" s="19">
        <f t="shared" si="11"/>
        <v>500.9666667</v>
      </c>
      <c r="M892" s="19">
        <f t="shared" si="12"/>
        <v>543.3333333</v>
      </c>
      <c r="N892" s="19">
        <f t="shared" si="13"/>
        <v>491.5333333</v>
      </c>
    </row>
    <row r="893" ht="24.75" customHeight="1">
      <c r="A893" s="21" t="s">
        <v>856</v>
      </c>
      <c r="B893" s="13" t="str">
        <f>IFERROR(__xludf.DUMMYFUNCTION("GOOGLEFINANCE(A893,""PRICE"")"),"#N/A")</f>
        <v>#N/A</v>
      </c>
      <c r="C893" s="14" t="str">
        <f>IFERROR(__xludf.DUMMYFUNCTION("GOOGLEFINANCE(A893,""PRICEOPEN"")"),"#N/A")</f>
        <v>#N/A</v>
      </c>
      <c r="D893" s="14" t="str">
        <f>IFERROR(__xludf.DUMMYFUNCTION("GOOGLEFINANCE(A893,""HIGH"")"),"#N/A")</f>
        <v>#N/A</v>
      </c>
      <c r="E893" s="14" t="str">
        <f>IFERROR(__xludf.DUMMYFUNCTION("GOOGLEFINANCE(A893,""LOW"")"),"#N/A")</f>
        <v>#N/A</v>
      </c>
      <c r="F893" s="15" t="str">
        <f t="shared" si="8"/>
        <v>#N/A</v>
      </c>
      <c r="G893" s="16" t="str">
        <f>IFERROR(__xludf.DUMMYFUNCTION("GOOGLEFINANCE(A893,""CLOSEYEST"")"),"#N/A")</f>
        <v>#N/A</v>
      </c>
      <c r="H893" s="17" t="str">
        <f t="shared" si="14"/>
        <v>#N/A</v>
      </c>
      <c r="I893" s="18" t="str">
        <f t="shared" si="9"/>
        <v>#N/A</v>
      </c>
      <c r="J893" s="19" t="str">
        <f t="shared" si="10"/>
        <v>#N/A</v>
      </c>
      <c r="K893" s="19"/>
      <c r="L893" s="19" t="str">
        <f t="shared" si="11"/>
        <v>#N/A</v>
      </c>
      <c r="M893" s="19" t="str">
        <f t="shared" si="12"/>
        <v>#N/A</v>
      </c>
      <c r="N893" s="19" t="str">
        <f t="shared" si="13"/>
        <v>#N/A</v>
      </c>
    </row>
    <row r="894" ht="24.75" customHeight="1">
      <c r="A894" s="21" t="s">
        <v>857</v>
      </c>
      <c r="B894" s="13">
        <f>IFERROR(__xludf.DUMMYFUNCTION("GOOGLEFINANCE(A894,""PRICE"")"),630.0)</f>
        <v>630</v>
      </c>
      <c r="C894" s="14">
        <f>IFERROR(__xludf.DUMMYFUNCTION("GOOGLEFINANCE(A894,""PRICEOPEN"")"),616.9)</f>
        <v>616.9</v>
      </c>
      <c r="D894" s="14">
        <f>IFERROR(__xludf.DUMMYFUNCTION("GOOGLEFINANCE(A894,""HIGH"")"),653.0)</f>
        <v>653</v>
      </c>
      <c r="E894" s="14">
        <f>IFERROR(__xludf.DUMMYFUNCTION("GOOGLEFINANCE(A894,""LOW"")"),616.9)</f>
        <v>616.9</v>
      </c>
      <c r="F894" s="15" t="str">
        <f t="shared" si="8"/>
        <v>BUY</v>
      </c>
      <c r="G894" s="16">
        <f>IFERROR(__xludf.DUMMYFUNCTION("GOOGLEFINANCE(A894,""CLOSEYEST"")"),616.9)</f>
        <v>616.9</v>
      </c>
      <c r="H894" s="17" t="str">
        <f t="shared" si="14"/>
        <v/>
      </c>
      <c r="I894" s="18">
        <f t="shared" si="9"/>
        <v>628.9333333</v>
      </c>
      <c r="J894" s="19">
        <f t="shared" si="10"/>
        <v>640.9666667</v>
      </c>
      <c r="K894" s="19"/>
      <c r="L894" s="19">
        <f t="shared" si="11"/>
        <v>604.8666667</v>
      </c>
      <c r="M894" s="19">
        <f t="shared" si="12"/>
        <v>665.0333333</v>
      </c>
      <c r="N894" s="19">
        <f t="shared" si="13"/>
        <v>592.8333333</v>
      </c>
    </row>
    <row r="895" ht="24.75" customHeight="1">
      <c r="A895" s="21" t="s">
        <v>858</v>
      </c>
      <c r="B895" s="13">
        <f>IFERROR(__xludf.DUMMYFUNCTION("GOOGLEFINANCE(A895,""PRICE"")"),745.0)</f>
        <v>745</v>
      </c>
      <c r="C895" s="14">
        <f>IFERROR(__xludf.DUMMYFUNCTION("GOOGLEFINANCE(A895,""PRICEOPEN"")"),747.7)</f>
        <v>747.7</v>
      </c>
      <c r="D895" s="14">
        <f>IFERROR(__xludf.DUMMYFUNCTION("GOOGLEFINANCE(A895,""HIGH"")"),754.8)</f>
        <v>754.8</v>
      </c>
      <c r="E895" s="14">
        <f>IFERROR(__xludf.DUMMYFUNCTION("GOOGLEFINANCE(A895,""LOW"")"),741.0)</f>
        <v>741</v>
      </c>
      <c r="F895" s="15" t="str">
        <f t="shared" si="8"/>
        <v/>
      </c>
      <c r="G895" s="16">
        <f>IFERROR(__xludf.DUMMYFUNCTION("GOOGLEFINANCE(A895,""CLOSEYEST"")"),747.7)</f>
        <v>747.7</v>
      </c>
      <c r="H895" s="17" t="str">
        <f t="shared" si="14"/>
        <v/>
      </c>
      <c r="I895" s="18">
        <f t="shared" si="9"/>
        <v>747.8333333</v>
      </c>
      <c r="J895" s="19">
        <f t="shared" si="10"/>
        <v>754.6666667</v>
      </c>
      <c r="K895" s="19"/>
      <c r="L895" s="19">
        <f t="shared" si="11"/>
        <v>740.8666667</v>
      </c>
      <c r="M895" s="19">
        <f t="shared" si="12"/>
        <v>761.6333333</v>
      </c>
      <c r="N895" s="19">
        <f t="shared" si="13"/>
        <v>734.0333333</v>
      </c>
    </row>
    <row r="896" ht="24.75" customHeight="1">
      <c r="A896" s="21" t="s">
        <v>859</v>
      </c>
      <c r="B896" s="13">
        <f>IFERROR(__xludf.DUMMYFUNCTION("GOOGLEFINANCE(A896,""PRICE"")"),1.99)</f>
        <v>1.99</v>
      </c>
      <c r="C896" s="14">
        <f>IFERROR(__xludf.DUMMYFUNCTION("GOOGLEFINANCE(A896,""PRICEOPEN"")"),2.02)</f>
        <v>2.02</v>
      </c>
      <c r="D896" s="14">
        <f>IFERROR(__xludf.DUMMYFUNCTION("GOOGLEFINANCE(A896,""HIGH"")"),2.13)</f>
        <v>2.13</v>
      </c>
      <c r="E896" s="14">
        <f>IFERROR(__xludf.DUMMYFUNCTION("GOOGLEFINANCE(A896,""LOW"")"),1.97)</f>
        <v>1.97</v>
      </c>
      <c r="F896" s="15" t="str">
        <f t="shared" si="8"/>
        <v/>
      </c>
      <c r="G896" s="16">
        <f>IFERROR(__xludf.DUMMYFUNCTION("GOOGLEFINANCE(A896,""CLOSEYEST"")"),2.0)</f>
        <v>2</v>
      </c>
      <c r="H896" s="17" t="str">
        <f t="shared" si="14"/>
        <v>GAP UP</v>
      </c>
      <c r="I896" s="18">
        <f t="shared" si="9"/>
        <v>2.033333333</v>
      </c>
      <c r="J896" s="19">
        <f t="shared" si="10"/>
        <v>2.096666667</v>
      </c>
      <c r="K896" s="19"/>
      <c r="L896" s="19">
        <f t="shared" si="11"/>
        <v>1.936666667</v>
      </c>
      <c r="M896" s="19">
        <f t="shared" si="12"/>
        <v>2.193333333</v>
      </c>
      <c r="N896" s="19">
        <f t="shared" si="13"/>
        <v>1.873333333</v>
      </c>
    </row>
    <row r="897" ht="24.75" customHeight="1">
      <c r="A897" s="21" t="s">
        <v>860</v>
      </c>
      <c r="B897" s="13">
        <f>IFERROR(__xludf.DUMMYFUNCTION("GOOGLEFINANCE(A897,""PRICE"")"),687.0)</f>
        <v>687</v>
      </c>
      <c r="C897" s="14">
        <f>IFERROR(__xludf.DUMMYFUNCTION("GOOGLEFINANCE(A897,""PRICEOPEN"")"),693.0)</f>
        <v>693</v>
      </c>
      <c r="D897" s="14">
        <f>IFERROR(__xludf.DUMMYFUNCTION("GOOGLEFINANCE(A897,""HIGH"")"),696.3)</f>
        <v>696.3</v>
      </c>
      <c r="E897" s="14">
        <f>IFERROR(__xludf.DUMMYFUNCTION("GOOGLEFINANCE(A897,""LOW"")"),685.5)</f>
        <v>685.5</v>
      </c>
      <c r="F897" s="15" t="str">
        <f t="shared" si="8"/>
        <v/>
      </c>
      <c r="G897" s="16">
        <f>IFERROR(__xludf.DUMMYFUNCTION("GOOGLEFINANCE(A897,""CLOSEYEST"")"),690.5)</f>
        <v>690.5</v>
      </c>
      <c r="H897" s="17" t="str">
        <f t="shared" si="14"/>
        <v/>
      </c>
      <c r="I897" s="18">
        <f t="shared" si="9"/>
        <v>690.7666667</v>
      </c>
      <c r="J897" s="19">
        <f t="shared" si="10"/>
        <v>696.0333333</v>
      </c>
      <c r="K897" s="19"/>
      <c r="L897" s="19">
        <f t="shared" si="11"/>
        <v>685.2333333</v>
      </c>
      <c r="M897" s="19">
        <f t="shared" si="12"/>
        <v>701.5666667</v>
      </c>
      <c r="N897" s="19">
        <f t="shared" si="13"/>
        <v>679.9666667</v>
      </c>
    </row>
    <row r="898" ht="24.75" customHeight="1">
      <c r="A898" s="21" t="s">
        <v>861</v>
      </c>
      <c r="B898" s="13">
        <f>IFERROR(__xludf.DUMMYFUNCTION("GOOGLEFINANCE(A898,""PRICE"")"),488.0)</f>
        <v>488</v>
      </c>
      <c r="C898" s="14">
        <f>IFERROR(__xludf.DUMMYFUNCTION("GOOGLEFINANCE(A898,""PRICEOPEN"")"),482.75)</f>
        <v>482.75</v>
      </c>
      <c r="D898" s="14">
        <f>IFERROR(__xludf.DUMMYFUNCTION("GOOGLEFINANCE(A898,""HIGH"")"),494.0)</f>
        <v>494</v>
      </c>
      <c r="E898" s="14">
        <f>IFERROR(__xludf.DUMMYFUNCTION("GOOGLEFINANCE(A898,""LOW"")"),479.7)</f>
        <v>479.7</v>
      </c>
      <c r="F898" s="15" t="str">
        <f t="shared" si="8"/>
        <v/>
      </c>
      <c r="G898" s="16">
        <f>IFERROR(__xludf.DUMMYFUNCTION("GOOGLEFINANCE(A898,""CLOSEYEST"")"),481.95)</f>
        <v>481.95</v>
      </c>
      <c r="H898" s="17" t="str">
        <f t="shared" si="14"/>
        <v/>
      </c>
      <c r="I898" s="18">
        <f t="shared" si="9"/>
        <v>485.2166667</v>
      </c>
      <c r="J898" s="19">
        <f t="shared" si="10"/>
        <v>490.7333333</v>
      </c>
      <c r="K898" s="19"/>
      <c r="L898" s="19">
        <f t="shared" si="11"/>
        <v>476.4333333</v>
      </c>
      <c r="M898" s="19">
        <f t="shared" si="12"/>
        <v>499.5166667</v>
      </c>
      <c r="N898" s="19">
        <f t="shared" si="13"/>
        <v>470.9166667</v>
      </c>
    </row>
    <row r="899" ht="24.75" customHeight="1">
      <c r="A899" s="21" t="s">
        <v>862</v>
      </c>
      <c r="B899" s="13">
        <f>IFERROR(__xludf.DUMMYFUNCTION("GOOGLEFINANCE(A899,""PRICE"")"),314.0)</f>
        <v>314</v>
      </c>
      <c r="C899" s="14">
        <f>IFERROR(__xludf.DUMMYFUNCTION("GOOGLEFINANCE(A899,""PRICEOPEN"")"),314.8)</f>
        <v>314.8</v>
      </c>
      <c r="D899" s="14">
        <f>IFERROR(__xludf.DUMMYFUNCTION("GOOGLEFINANCE(A899,""HIGH"")"),314.8)</f>
        <v>314.8</v>
      </c>
      <c r="E899" s="14">
        <f>IFERROR(__xludf.DUMMYFUNCTION("GOOGLEFINANCE(A899,""LOW"")"),310.05)</f>
        <v>310.05</v>
      </c>
      <c r="F899" s="15" t="str">
        <f t="shared" si="8"/>
        <v>SELL</v>
      </c>
      <c r="G899" s="16">
        <f>IFERROR(__xludf.DUMMYFUNCTION("GOOGLEFINANCE(A899,""CLOSEYEST"")"),313.3)</f>
        <v>313.3</v>
      </c>
      <c r="H899" s="17" t="str">
        <f t="shared" si="14"/>
        <v/>
      </c>
      <c r="I899" s="18">
        <f t="shared" si="9"/>
        <v>312.7166667</v>
      </c>
      <c r="J899" s="19">
        <f t="shared" si="10"/>
        <v>315.3833333</v>
      </c>
      <c r="K899" s="19"/>
      <c r="L899" s="19">
        <f t="shared" si="11"/>
        <v>310.6333333</v>
      </c>
      <c r="M899" s="19">
        <f t="shared" si="12"/>
        <v>317.4666667</v>
      </c>
      <c r="N899" s="19">
        <f t="shared" si="13"/>
        <v>307.9666667</v>
      </c>
    </row>
    <row r="900" ht="24.75" customHeight="1">
      <c r="A900" s="21" t="s">
        <v>863</v>
      </c>
      <c r="B900" s="13">
        <f>IFERROR(__xludf.DUMMYFUNCTION("GOOGLEFINANCE(A900,""PRICE"")"),0.03)</f>
        <v>0.03</v>
      </c>
      <c r="C900" s="14">
        <f>IFERROR(__xludf.DUMMYFUNCTION("GOOGLEFINANCE(A900,""PRICEOPEN"")"),0.03)</f>
        <v>0.03</v>
      </c>
      <c r="D900" s="14">
        <f>IFERROR(__xludf.DUMMYFUNCTION("GOOGLEFINANCE(A900,""HIGH"")"),0.03)</f>
        <v>0.03</v>
      </c>
      <c r="E900" s="14">
        <f>IFERROR(__xludf.DUMMYFUNCTION("GOOGLEFINANCE(A900,""LOW"")"),0.03)</f>
        <v>0.03</v>
      </c>
      <c r="F900" s="15" t="str">
        <f t="shared" si="8"/>
        <v>SELL</v>
      </c>
      <c r="G900" s="16">
        <f>IFERROR(__xludf.DUMMYFUNCTION("GOOGLEFINANCE(A900,""CLOSEYEST"")"),0.03)</f>
        <v>0.03</v>
      </c>
      <c r="H900" s="17" t="str">
        <f t="shared" si="14"/>
        <v/>
      </c>
      <c r="I900" s="18">
        <f t="shared" si="9"/>
        <v>0.03</v>
      </c>
      <c r="J900" s="19">
        <f t="shared" si="10"/>
        <v>0.03</v>
      </c>
      <c r="K900" s="19"/>
      <c r="L900" s="19">
        <f t="shared" si="11"/>
        <v>0.03</v>
      </c>
      <c r="M900" s="19">
        <f t="shared" si="12"/>
        <v>0.03</v>
      </c>
      <c r="N900" s="19">
        <f t="shared" si="13"/>
        <v>0.03</v>
      </c>
    </row>
    <row r="901" ht="24.75" customHeight="1">
      <c r="A901" s="21" t="s">
        <v>864</v>
      </c>
      <c r="B901" s="13">
        <f>IFERROR(__xludf.DUMMYFUNCTION("GOOGLEFINANCE(A901,""PRICE"")"),559.0)</f>
        <v>559</v>
      </c>
      <c r="C901" s="14">
        <f>IFERROR(__xludf.DUMMYFUNCTION("GOOGLEFINANCE(A901,""PRICEOPEN"")"),541.7)</f>
        <v>541.7</v>
      </c>
      <c r="D901" s="14">
        <f>IFERROR(__xludf.DUMMYFUNCTION("GOOGLEFINANCE(A901,""HIGH"")"),559.45)</f>
        <v>559.45</v>
      </c>
      <c r="E901" s="14">
        <f>IFERROR(__xludf.DUMMYFUNCTION("GOOGLEFINANCE(A901,""LOW"")"),536.6)</f>
        <v>536.6</v>
      </c>
      <c r="F901" s="15" t="str">
        <f t="shared" si="8"/>
        <v/>
      </c>
      <c r="G901" s="16">
        <f>IFERROR(__xludf.DUMMYFUNCTION("GOOGLEFINANCE(A901,""CLOSEYEST"")"),540.65)</f>
        <v>540.65</v>
      </c>
      <c r="H901" s="17" t="str">
        <f t="shared" si="14"/>
        <v/>
      </c>
      <c r="I901" s="18">
        <f t="shared" si="9"/>
        <v>545.5666667</v>
      </c>
      <c r="J901" s="19">
        <f t="shared" si="10"/>
        <v>554.5333333</v>
      </c>
      <c r="K901" s="19"/>
      <c r="L901" s="19">
        <f t="shared" si="11"/>
        <v>531.6833333</v>
      </c>
      <c r="M901" s="19">
        <f t="shared" si="12"/>
        <v>568.4166667</v>
      </c>
      <c r="N901" s="19">
        <f t="shared" si="13"/>
        <v>522.7166667</v>
      </c>
    </row>
    <row r="902" ht="24.75" customHeight="1">
      <c r="A902" s="21" t="s">
        <v>865</v>
      </c>
      <c r="B902" s="13">
        <f>IFERROR(__xludf.DUMMYFUNCTION("GOOGLEFINANCE(A902,""PRICE"")"),641.8)</f>
        <v>641.8</v>
      </c>
      <c r="C902" s="14">
        <f>IFERROR(__xludf.DUMMYFUNCTION("GOOGLEFINANCE(A902,""PRICEOPEN"")"),604.0)</f>
        <v>604</v>
      </c>
      <c r="D902" s="14">
        <f>IFERROR(__xludf.DUMMYFUNCTION("GOOGLEFINANCE(A902,""HIGH"")"),659.75)</f>
        <v>659.75</v>
      </c>
      <c r="E902" s="14">
        <f>IFERROR(__xludf.DUMMYFUNCTION("GOOGLEFINANCE(A902,""LOW"")"),603.45)</f>
        <v>603.45</v>
      </c>
      <c r="F902" s="15" t="str">
        <f t="shared" si="8"/>
        <v/>
      </c>
      <c r="G902" s="16">
        <f>IFERROR(__xludf.DUMMYFUNCTION("GOOGLEFINANCE(A902,""CLOSEYEST"")"),598.35)</f>
        <v>598.35</v>
      </c>
      <c r="H902" s="17" t="str">
        <f t="shared" si="14"/>
        <v/>
      </c>
      <c r="I902" s="18">
        <f t="shared" si="9"/>
        <v>620.5166667</v>
      </c>
      <c r="J902" s="19">
        <f t="shared" si="10"/>
        <v>637.5833333</v>
      </c>
      <c r="K902" s="19"/>
      <c r="L902" s="19">
        <f t="shared" si="11"/>
        <v>581.2833333</v>
      </c>
      <c r="M902" s="19">
        <f t="shared" si="12"/>
        <v>676.8166667</v>
      </c>
      <c r="N902" s="19">
        <f t="shared" si="13"/>
        <v>564.2166667</v>
      </c>
    </row>
    <row r="903" ht="24.75" customHeight="1">
      <c r="A903" s="21" t="s">
        <v>866</v>
      </c>
      <c r="B903" s="13">
        <f>IFERROR(__xludf.DUMMYFUNCTION("GOOGLEFINANCE(A903,""PRICE"")"),268.1)</f>
        <v>268.1</v>
      </c>
      <c r="C903" s="14">
        <f>IFERROR(__xludf.DUMMYFUNCTION("GOOGLEFINANCE(A903,""PRICEOPEN"")"),263.7)</f>
        <v>263.7</v>
      </c>
      <c r="D903" s="14">
        <f>IFERROR(__xludf.DUMMYFUNCTION("GOOGLEFINANCE(A903,""HIGH"")"),275.6)</f>
        <v>275.6</v>
      </c>
      <c r="E903" s="14">
        <f>IFERROR(__xludf.DUMMYFUNCTION("GOOGLEFINANCE(A903,""LOW"")"),260.5)</f>
        <v>260.5</v>
      </c>
      <c r="F903" s="15" t="str">
        <f t="shared" si="8"/>
        <v/>
      </c>
      <c r="G903" s="16">
        <f>IFERROR(__xludf.DUMMYFUNCTION("GOOGLEFINANCE(A903,""CLOSEYEST"")"),262.25)</f>
        <v>262.25</v>
      </c>
      <c r="H903" s="17" t="str">
        <f t="shared" si="14"/>
        <v/>
      </c>
      <c r="I903" s="18">
        <f t="shared" si="9"/>
        <v>266.1166667</v>
      </c>
      <c r="J903" s="19">
        <f t="shared" si="10"/>
        <v>271.7333333</v>
      </c>
      <c r="K903" s="19"/>
      <c r="L903" s="19">
        <f t="shared" si="11"/>
        <v>256.6333333</v>
      </c>
      <c r="M903" s="19">
        <f t="shared" si="12"/>
        <v>281.2166667</v>
      </c>
      <c r="N903" s="19">
        <f t="shared" si="13"/>
        <v>251.0166667</v>
      </c>
    </row>
    <row r="904" ht="24.75" customHeight="1">
      <c r="A904" s="21" t="s">
        <v>867</v>
      </c>
      <c r="B904" s="13">
        <f>IFERROR(__xludf.DUMMYFUNCTION("GOOGLEFINANCE(A904,""PRICE"")"),6985.0)</f>
        <v>6985</v>
      </c>
      <c r="C904" s="14">
        <f>IFERROR(__xludf.DUMMYFUNCTION("GOOGLEFINANCE(A904,""PRICEOPEN"")"),7194.0)</f>
        <v>7194</v>
      </c>
      <c r="D904" s="14">
        <f>IFERROR(__xludf.DUMMYFUNCTION("GOOGLEFINANCE(A904,""HIGH"")"),7213.0)</f>
        <v>7213</v>
      </c>
      <c r="E904" s="14">
        <f>IFERROR(__xludf.DUMMYFUNCTION("GOOGLEFINANCE(A904,""LOW"")"),6984.0)</f>
        <v>6984</v>
      </c>
      <c r="F904" s="15" t="str">
        <f t="shared" si="8"/>
        <v/>
      </c>
      <c r="G904" s="16">
        <f>IFERROR(__xludf.DUMMYFUNCTION("GOOGLEFINANCE(A904,""CLOSEYEST"")"),7101.5)</f>
        <v>7101.5</v>
      </c>
      <c r="H904" s="17" t="str">
        <f t="shared" si="14"/>
        <v>GAP UP</v>
      </c>
      <c r="I904" s="18">
        <f t="shared" si="9"/>
        <v>7099.5</v>
      </c>
      <c r="J904" s="19">
        <f t="shared" si="10"/>
        <v>7215</v>
      </c>
      <c r="K904" s="19"/>
      <c r="L904" s="19">
        <f t="shared" si="11"/>
        <v>6986</v>
      </c>
      <c r="M904" s="19">
        <f t="shared" si="12"/>
        <v>7328.5</v>
      </c>
      <c r="N904" s="19">
        <f t="shared" si="13"/>
        <v>6870.5</v>
      </c>
    </row>
    <row r="905" ht="24.75" customHeight="1">
      <c r="A905" s="21" t="s">
        <v>868</v>
      </c>
      <c r="B905" s="13">
        <f>IFERROR(__xludf.DUMMYFUNCTION("GOOGLEFINANCE(A905,""PRICE"")"),587.5)</f>
        <v>587.5</v>
      </c>
      <c r="C905" s="14">
        <f>IFERROR(__xludf.DUMMYFUNCTION("GOOGLEFINANCE(A905,""PRICEOPEN"")"),590.05)</f>
        <v>590.05</v>
      </c>
      <c r="D905" s="14">
        <f>IFERROR(__xludf.DUMMYFUNCTION("GOOGLEFINANCE(A905,""HIGH"")"),606.2)</f>
        <v>606.2</v>
      </c>
      <c r="E905" s="14">
        <f>IFERROR(__xludf.DUMMYFUNCTION("GOOGLEFINANCE(A905,""LOW"")"),581.6)</f>
        <v>581.6</v>
      </c>
      <c r="F905" s="15" t="str">
        <f t="shared" si="8"/>
        <v/>
      </c>
      <c r="G905" s="16">
        <f>IFERROR(__xludf.DUMMYFUNCTION("GOOGLEFINANCE(A905,""CLOSEYEST"")"),593.25)</f>
        <v>593.25</v>
      </c>
      <c r="H905" s="17" t="str">
        <f t="shared" si="14"/>
        <v/>
      </c>
      <c r="I905" s="18">
        <f t="shared" si="9"/>
        <v>593.6833333</v>
      </c>
      <c r="J905" s="19">
        <f t="shared" si="10"/>
        <v>605.7666667</v>
      </c>
      <c r="K905" s="19"/>
      <c r="L905" s="19">
        <f t="shared" si="11"/>
        <v>581.1666667</v>
      </c>
      <c r="M905" s="19">
        <f t="shared" si="12"/>
        <v>618.2833333</v>
      </c>
      <c r="N905" s="19">
        <f t="shared" si="13"/>
        <v>569.0833333</v>
      </c>
    </row>
    <row r="906" ht="24.75" customHeight="1">
      <c r="A906" s="21" t="s">
        <v>869</v>
      </c>
      <c r="B906" s="13" t="str">
        <f>IFERROR(__xludf.DUMMYFUNCTION("GOOGLEFINANCE(A906,""PRICE"")"),"#N/A")</f>
        <v>#N/A</v>
      </c>
      <c r="C906" s="14" t="str">
        <f>IFERROR(__xludf.DUMMYFUNCTION("GOOGLEFINANCE(A906,""PRICEOPEN"")"),"#N/A")</f>
        <v>#N/A</v>
      </c>
      <c r="D906" s="14" t="str">
        <f>IFERROR(__xludf.DUMMYFUNCTION("GOOGLEFINANCE(A906,""HIGH"")"),"#N/A")</f>
        <v>#N/A</v>
      </c>
      <c r="E906" s="14" t="str">
        <f>IFERROR(__xludf.DUMMYFUNCTION("GOOGLEFINANCE(A906,""LOW"")"),"#N/A")</f>
        <v>#N/A</v>
      </c>
      <c r="F906" s="15" t="str">
        <f t="shared" si="8"/>
        <v>#N/A</v>
      </c>
      <c r="G906" s="16" t="str">
        <f>IFERROR(__xludf.DUMMYFUNCTION("GOOGLEFINANCE(A906,""CLOSEYEST"")"),"#N/A")</f>
        <v>#N/A</v>
      </c>
      <c r="H906" s="17" t="str">
        <f t="shared" si="14"/>
        <v>#N/A</v>
      </c>
      <c r="I906" s="18" t="str">
        <f t="shared" si="9"/>
        <v>#N/A</v>
      </c>
      <c r="J906" s="19" t="str">
        <f t="shared" si="10"/>
        <v>#N/A</v>
      </c>
      <c r="K906" s="19"/>
      <c r="L906" s="19" t="str">
        <f t="shared" si="11"/>
        <v>#N/A</v>
      </c>
      <c r="M906" s="19" t="str">
        <f t="shared" si="12"/>
        <v>#N/A</v>
      </c>
      <c r="N906" s="19" t="str">
        <f t="shared" si="13"/>
        <v>#N/A</v>
      </c>
    </row>
    <row r="907" ht="24.75" customHeight="1">
      <c r="A907" s="21" t="s">
        <v>870</v>
      </c>
      <c r="B907" s="13">
        <f>IFERROR(__xludf.DUMMYFUNCTION("GOOGLEFINANCE(A907,""PRICE"")"),730.7)</f>
        <v>730.7</v>
      </c>
      <c r="C907" s="14">
        <f>IFERROR(__xludf.DUMMYFUNCTION("GOOGLEFINANCE(A907,""PRICEOPEN"")"),739.85)</f>
        <v>739.85</v>
      </c>
      <c r="D907" s="14">
        <f>IFERROR(__xludf.DUMMYFUNCTION("GOOGLEFINANCE(A907,""HIGH"")"),752.8)</f>
        <v>752.8</v>
      </c>
      <c r="E907" s="14">
        <f>IFERROR(__xludf.DUMMYFUNCTION("GOOGLEFINANCE(A907,""LOW"")"),727.2)</f>
        <v>727.2</v>
      </c>
      <c r="F907" s="15" t="str">
        <f t="shared" si="8"/>
        <v/>
      </c>
      <c r="G907" s="16">
        <f>IFERROR(__xludf.DUMMYFUNCTION("GOOGLEFINANCE(A907,""CLOSEYEST"")"),733.35)</f>
        <v>733.35</v>
      </c>
      <c r="H907" s="17" t="str">
        <f t="shared" si="14"/>
        <v/>
      </c>
      <c r="I907" s="18">
        <f t="shared" si="9"/>
        <v>737.7833333</v>
      </c>
      <c r="J907" s="19">
        <f t="shared" si="10"/>
        <v>748.3666667</v>
      </c>
      <c r="K907" s="19"/>
      <c r="L907" s="19">
        <f t="shared" si="11"/>
        <v>722.7666667</v>
      </c>
      <c r="M907" s="19">
        <f t="shared" si="12"/>
        <v>763.3833333</v>
      </c>
      <c r="N907" s="19">
        <f t="shared" si="13"/>
        <v>712.1833333</v>
      </c>
    </row>
    <row r="908" ht="24.75" customHeight="1">
      <c r="A908" s="21" t="s">
        <v>871</v>
      </c>
      <c r="B908" s="13" t="str">
        <f>IFERROR(__xludf.DUMMYFUNCTION("GOOGLEFINANCE(A908,""PRICE"")"),"#N/A")</f>
        <v>#N/A</v>
      </c>
      <c r="C908" s="14" t="str">
        <f>IFERROR(__xludf.DUMMYFUNCTION("GOOGLEFINANCE(A908,""PRICEOPEN"")"),"#N/A")</f>
        <v>#N/A</v>
      </c>
      <c r="D908" s="14" t="str">
        <f>IFERROR(__xludf.DUMMYFUNCTION("GOOGLEFINANCE(A908,""HIGH"")"),"#N/A")</f>
        <v>#N/A</v>
      </c>
      <c r="E908" s="14" t="str">
        <f>IFERROR(__xludf.DUMMYFUNCTION("GOOGLEFINANCE(A908,""LOW"")"),"#N/A")</f>
        <v>#N/A</v>
      </c>
      <c r="F908" s="15" t="str">
        <f t="shared" si="8"/>
        <v>#N/A</v>
      </c>
      <c r="G908" s="16" t="str">
        <f>IFERROR(__xludf.DUMMYFUNCTION("GOOGLEFINANCE(A908,""CLOSEYEST"")"),"#N/A")</f>
        <v>#N/A</v>
      </c>
      <c r="H908" s="17" t="str">
        <f t="shared" si="14"/>
        <v>#N/A</v>
      </c>
      <c r="I908" s="18" t="str">
        <f t="shared" si="9"/>
        <v>#N/A</v>
      </c>
      <c r="J908" s="19" t="str">
        <f t="shared" si="10"/>
        <v>#N/A</v>
      </c>
      <c r="K908" s="19"/>
      <c r="L908" s="19" t="str">
        <f t="shared" si="11"/>
        <v>#N/A</v>
      </c>
      <c r="M908" s="19" t="str">
        <f t="shared" si="12"/>
        <v>#N/A</v>
      </c>
      <c r="N908" s="19" t="str">
        <f t="shared" si="13"/>
        <v>#N/A</v>
      </c>
    </row>
    <row r="909" ht="24.75" customHeight="1">
      <c r="A909" s="21" t="s">
        <v>872</v>
      </c>
      <c r="B909" s="13">
        <f>IFERROR(__xludf.DUMMYFUNCTION("GOOGLEFINANCE(A909,""PRICE"")"),5.4)</f>
        <v>5.4</v>
      </c>
      <c r="C909" s="14">
        <f>IFERROR(__xludf.DUMMYFUNCTION("GOOGLEFINANCE(A909,""PRICEOPEN"")"),5.4)</f>
        <v>5.4</v>
      </c>
      <c r="D909" s="14">
        <f>IFERROR(__xludf.DUMMYFUNCTION("GOOGLEFINANCE(A909,""HIGH"")"),5.4)</f>
        <v>5.4</v>
      </c>
      <c r="E909" s="14">
        <f>IFERROR(__xludf.DUMMYFUNCTION("GOOGLEFINANCE(A909,""LOW"")"),5.3)</f>
        <v>5.3</v>
      </c>
      <c r="F909" s="15" t="str">
        <f t="shared" si="8"/>
        <v>SELL</v>
      </c>
      <c r="G909" s="16">
        <f>IFERROR(__xludf.DUMMYFUNCTION("GOOGLEFINANCE(A909,""CLOSEYEST"")"),5.5)</f>
        <v>5.5</v>
      </c>
      <c r="H909" s="17" t="str">
        <f t="shared" si="14"/>
        <v>GAP DOWN</v>
      </c>
      <c r="I909" s="18">
        <f t="shared" si="9"/>
        <v>5.4</v>
      </c>
      <c r="J909" s="19">
        <f t="shared" si="10"/>
        <v>5.5</v>
      </c>
      <c r="K909" s="19"/>
      <c r="L909" s="19">
        <f t="shared" si="11"/>
        <v>5.4</v>
      </c>
      <c r="M909" s="19">
        <f t="shared" si="12"/>
        <v>5.5</v>
      </c>
      <c r="N909" s="19">
        <f t="shared" si="13"/>
        <v>5.3</v>
      </c>
    </row>
    <row r="910" ht="24.75" customHeight="1">
      <c r="A910" s="21" t="s">
        <v>873</v>
      </c>
      <c r="B910" s="13">
        <f>IFERROR(__xludf.DUMMYFUNCTION("GOOGLEFINANCE(A910,""PRICE"")"),523.9)</f>
        <v>523.9</v>
      </c>
      <c r="C910" s="14">
        <f>IFERROR(__xludf.DUMMYFUNCTION("GOOGLEFINANCE(A910,""PRICEOPEN"")"),503.45)</f>
        <v>503.45</v>
      </c>
      <c r="D910" s="14">
        <f>IFERROR(__xludf.DUMMYFUNCTION("GOOGLEFINANCE(A910,""HIGH"")"),525.4)</f>
        <v>525.4</v>
      </c>
      <c r="E910" s="14">
        <f>IFERROR(__xludf.DUMMYFUNCTION("GOOGLEFINANCE(A910,""LOW"")"),502.1)</f>
        <v>502.1</v>
      </c>
      <c r="F910" s="15" t="str">
        <f t="shared" si="8"/>
        <v/>
      </c>
      <c r="G910" s="16">
        <f>IFERROR(__xludf.DUMMYFUNCTION("GOOGLEFINANCE(A910,""CLOSEYEST"")"),503.8)</f>
        <v>503.8</v>
      </c>
      <c r="H910" s="17" t="str">
        <f t="shared" si="14"/>
        <v/>
      </c>
      <c r="I910" s="18">
        <f t="shared" si="9"/>
        <v>510.4333333</v>
      </c>
      <c r="J910" s="19">
        <f t="shared" si="10"/>
        <v>518.7666667</v>
      </c>
      <c r="K910" s="19"/>
      <c r="L910" s="19">
        <f t="shared" si="11"/>
        <v>495.4666667</v>
      </c>
      <c r="M910" s="19">
        <f t="shared" si="12"/>
        <v>533.7333333</v>
      </c>
      <c r="N910" s="19">
        <f t="shared" si="13"/>
        <v>487.1333333</v>
      </c>
    </row>
    <row r="911" ht="24.75" customHeight="1">
      <c r="A911" s="21" t="s">
        <v>874</v>
      </c>
      <c r="B911" s="13">
        <f>IFERROR(__xludf.DUMMYFUNCTION("GOOGLEFINANCE(A911,""PRICE"")"),308.1)</f>
        <v>308.1</v>
      </c>
      <c r="C911" s="14">
        <f>IFERROR(__xludf.DUMMYFUNCTION("GOOGLEFINANCE(A911,""PRICEOPEN"")"),301.8)</f>
        <v>301.8</v>
      </c>
      <c r="D911" s="14">
        <f>IFERROR(__xludf.DUMMYFUNCTION("GOOGLEFINANCE(A911,""HIGH"")"),310.55)</f>
        <v>310.55</v>
      </c>
      <c r="E911" s="14">
        <f>IFERROR(__xludf.DUMMYFUNCTION("GOOGLEFINANCE(A911,""LOW"")"),301.8)</f>
        <v>301.8</v>
      </c>
      <c r="F911" s="15" t="str">
        <f t="shared" si="8"/>
        <v>BUY</v>
      </c>
      <c r="G911" s="16">
        <f>IFERROR(__xludf.DUMMYFUNCTION("GOOGLEFINANCE(A911,""CLOSEYEST"")"),300.95)</f>
        <v>300.95</v>
      </c>
      <c r="H911" s="17" t="str">
        <f t="shared" si="14"/>
        <v/>
      </c>
      <c r="I911" s="18">
        <f t="shared" si="9"/>
        <v>304.4333333</v>
      </c>
      <c r="J911" s="19">
        <f t="shared" si="10"/>
        <v>307.0666667</v>
      </c>
      <c r="K911" s="19"/>
      <c r="L911" s="19">
        <f t="shared" si="11"/>
        <v>298.3166667</v>
      </c>
      <c r="M911" s="19">
        <f t="shared" si="12"/>
        <v>313.1833333</v>
      </c>
      <c r="N911" s="19">
        <f t="shared" si="13"/>
        <v>295.6833333</v>
      </c>
    </row>
    <row r="912" ht="24.75" customHeight="1">
      <c r="A912" s="21" t="s">
        <v>875</v>
      </c>
      <c r="B912" s="13">
        <f>IFERROR(__xludf.DUMMYFUNCTION("GOOGLEFINANCE(A912,""PRICE"")"),183.0)</f>
        <v>183</v>
      </c>
      <c r="C912" s="14">
        <f>IFERROR(__xludf.DUMMYFUNCTION("GOOGLEFINANCE(A912,""PRICEOPEN"")"),175.62)</f>
        <v>175.62</v>
      </c>
      <c r="D912" s="14">
        <f>IFERROR(__xludf.DUMMYFUNCTION("GOOGLEFINANCE(A912,""HIGH"")"),184.0)</f>
        <v>184</v>
      </c>
      <c r="E912" s="14">
        <f>IFERROR(__xludf.DUMMYFUNCTION("GOOGLEFINANCE(A912,""LOW"")"),174.62)</f>
        <v>174.62</v>
      </c>
      <c r="F912" s="15" t="str">
        <f t="shared" si="8"/>
        <v/>
      </c>
      <c r="G912" s="16">
        <f>IFERROR(__xludf.DUMMYFUNCTION("GOOGLEFINANCE(A912,""CLOSEYEST"")"),175.62)</f>
        <v>175.62</v>
      </c>
      <c r="H912" s="17" t="str">
        <f t="shared" si="14"/>
        <v/>
      </c>
      <c r="I912" s="18">
        <f t="shared" si="9"/>
        <v>178.08</v>
      </c>
      <c r="J912" s="19">
        <f t="shared" si="10"/>
        <v>181.54</v>
      </c>
      <c r="K912" s="19"/>
      <c r="L912" s="19">
        <f t="shared" si="11"/>
        <v>172.16</v>
      </c>
      <c r="M912" s="19">
        <f t="shared" si="12"/>
        <v>187.46</v>
      </c>
      <c r="N912" s="19">
        <f t="shared" si="13"/>
        <v>168.7</v>
      </c>
    </row>
    <row r="913" ht="24.75" customHeight="1">
      <c r="A913" s="21" t="s">
        <v>876</v>
      </c>
      <c r="B913" s="13">
        <f>IFERROR(__xludf.DUMMYFUNCTION("GOOGLEFINANCE(A913,""PRICE"")"),487.9)</f>
        <v>487.9</v>
      </c>
      <c r="C913" s="14">
        <f>IFERROR(__xludf.DUMMYFUNCTION("GOOGLEFINANCE(A913,""PRICEOPEN"")"),469.7)</f>
        <v>469.7</v>
      </c>
      <c r="D913" s="14">
        <f>IFERROR(__xludf.DUMMYFUNCTION("GOOGLEFINANCE(A913,""HIGH"")"),487.9)</f>
        <v>487.9</v>
      </c>
      <c r="E913" s="14">
        <f>IFERROR(__xludf.DUMMYFUNCTION("GOOGLEFINANCE(A913,""LOW"")"),464.1)</f>
        <v>464.1</v>
      </c>
      <c r="F913" s="15" t="str">
        <f t="shared" si="8"/>
        <v/>
      </c>
      <c r="G913" s="16">
        <f>IFERROR(__xludf.DUMMYFUNCTION("GOOGLEFINANCE(A913,""CLOSEYEST"")"),465.65)</f>
        <v>465.65</v>
      </c>
      <c r="H913" s="17" t="str">
        <f t="shared" si="14"/>
        <v/>
      </c>
      <c r="I913" s="18">
        <f t="shared" si="9"/>
        <v>472.55</v>
      </c>
      <c r="J913" s="19">
        <f t="shared" si="10"/>
        <v>481</v>
      </c>
      <c r="K913" s="19"/>
      <c r="L913" s="19">
        <f t="shared" si="11"/>
        <v>457.2</v>
      </c>
      <c r="M913" s="19">
        <f t="shared" si="12"/>
        <v>496.35</v>
      </c>
      <c r="N913" s="19">
        <f t="shared" si="13"/>
        <v>448.75</v>
      </c>
    </row>
    <row r="914" ht="24.75" customHeight="1">
      <c r="A914" s="21" t="s">
        <v>877</v>
      </c>
      <c r="B914" s="13">
        <f>IFERROR(__xludf.DUMMYFUNCTION("GOOGLEFINANCE(A914,""PRICE"")"),849.3)</f>
        <v>849.3</v>
      </c>
      <c r="C914" s="14">
        <f>IFERROR(__xludf.DUMMYFUNCTION("GOOGLEFINANCE(A914,""PRICEOPEN"")"),864.0)</f>
        <v>864</v>
      </c>
      <c r="D914" s="14">
        <f>IFERROR(__xludf.DUMMYFUNCTION("GOOGLEFINANCE(A914,""HIGH"")"),869.55)</f>
        <v>869.55</v>
      </c>
      <c r="E914" s="14">
        <f>IFERROR(__xludf.DUMMYFUNCTION("GOOGLEFINANCE(A914,""LOW"")"),835.55)</f>
        <v>835.55</v>
      </c>
      <c r="F914" s="15" t="str">
        <f t="shared" si="8"/>
        <v/>
      </c>
      <c r="G914" s="16">
        <f>IFERROR(__xludf.DUMMYFUNCTION("GOOGLEFINANCE(A914,""CLOSEYEST"")"),859.85)</f>
        <v>859.85</v>
      </c>
      <c r="H914" s="17" t="str">
        <f t="shared" si="14"/>
        <v/>
      </c>
      <c r="I914" s="18">
        <f t="shared" si="9"/>
        <v>854.9833333</v>
      </c>
      <c r="J914" s="19">
        <f t="shared" si="10"/>
        <v>874.4166667</v>
      </c>
      <c r="K914" s="19"/>
      <c r="L914" s="19">
        <f t="shared" si="11"/>
        <v>840.4166667</v>
      </c>
      <c r="M914" s="19">
        <f t="shared" si="12"/>
        <v>888.9833333</v>
      </c>
      <c r="N914" s="19">
        <f t="shared" si="13"/>
        <v>820.9833333</v>
      </c>
    </row>
    <row r="915" ht="24.75" customHeight="1">
      <c r="A915" s="21" t="s">
        <v>878</v>
      </c>
      <c r="B915" s="13">
        <f>IFERROR(__xludf.DUMMYFUNCTION("GOOGLEFINANCE(A915,""PRICE"")"),19.69)</f>
        <v>19.69</v>
      </c>
      <c r="C915" s="14">
        <f>IFERROR(__xludf.DUMMYFUNCTION("GOOGLEFINANCE(A915,""PRICEOPEN"")"),19.57)</f>
        <v>19.57</v>
      </c>
      <c r="D915" s="14">
        <f>IFERROR(__xludf.DUMMYFUNCTION("GOOGLEFINANCE(A915,""HIGH"")"),19.88)</f>
        <v>19.88</v>
      </c>
      <c r="E915" s="14">
        <f>IFERROR(__xludf.DUMMYFUNCTION("GOOGLEFINANCE(A915,""LOW"")"),19.56)</f>
        <v>19.56</v>
      </c>
      <c r="F915" s="15" t="str">
        <f t="shared" si="8"/>
        <v/>
      </c>
      <c r="G915" s="16">
        <f>IFERROR(__xludf.DUMMYFUNCTION("GOOGLEFINANCE(A915,""CLOSEYEST"")"),19.48)</f>
        <v>19.48</v>
      </c>
      <c r="H915" s="17" t="str">
        <f t="shared" si="14"/>
        <v/>
      </c>
      <c r="I915" s="18">
        <f t="shared" si="9"/>
        <v>19.64</v>
      </c>
      <c r="J915" s="19">
        <f t="shared" si="10"/>
        <v>19.72</v>
      </c>
      <c r="K915" s="19"/>
      <c r="L915" s="19">
        <f t="shared" si="11"/>
        <v>19.4</v>
      </c>
      <c r="M915" s="19">
        <f t="shared" si="12"/>
        <v>19.96</v>
      </c>
      <c r="N915" s="19">
        <f t="shared" si="13"/>
        <v>19.32</v>
      </c>
    </row>
    <row r="916" ht="24.75" customHeight="1">
      <c r="A916" s="21" t="s">
        <v>879</v>
      </c>
      <c r="B916" s="13">
        <f>IFERROR(__xludf.DUMMYFUNCTION("GOOGLEFINANCE(A916,""PRICE"")"),865.0)</f>
        <v>865</v>
      </c>
      <c r="C916" s="14">
        <f>IFERROR(__xludf.DUMMYFUNCTION("GOOGLEFINANCE(A916,""PRICEOPEN"")"),850.0)</f>
        <v>850</v>
      </c>
      <c r="D916" s="14">
        <f>IFERROR(__xludf.DUMMYFUNCTION("GOOGLEFINANCE(A916,""HIGH"")"),865.0)</f>
        <v>865</v>
      </c>
      <c r="E916" s="14">
        <f>IFERROR(__xludf.DUMMYFUNCTION("GOOGLEFINANCE(A916,""LOW"")"),839.85)</f>
        <v>839.85</v>
      </c>
      <c r="F916" s="15" t="str">
        <f t="shared" si="8"/>
        <v/>
      </c>
      <c r="G916" s="16">
        <f>IFERROR(__xludf.DUMMYFUNCTION("GOOGLEFINANCE(A916,""CLOSEYEST"")"),843.55)</f>
        <v>843.55</v>
      </c>
      <c r="H916" s="17" t="str">
        <f t="shared" si="14"/>
        <v/>
      </c>
      <c r="I916" s="18">
        <f t="shared" si="9"/>
        <v>849.4666667</v>
      </c>
      <c r="J916" s="19">
        <f t="shared" si="10"/>
        <v>859.0833333</v>
      </c>
      <c r="K916" s="19"/>
      <c r="L916" s="19">
        <f t="shared" si="11"/>
        <v>833.9333333</v>
      </c>
      <c r="M916" s="19">
        <f t="shared" si="12"/>
        <v>874.6166667</v>
      </c>
      <c r="N916" s="19">
        <f t="shared" si="13"/>
        <v>824.3166667</v>
      </c>
    </row>
    <row r="917" ht="24.75" customHeight="1">
      <c r="A917" s="21" t="s">
        <v>880</v>
      </c>
      <c r="B917" s="13" t="str">
        <f>IFERROR(__xludf.DUMMYFUNCTION("GOOGLEFINANCE(A917,""PRICE"")"),"#N/A")</f>
        <v>#N/A</v>
      </c>
      <c r="C917" s="14" t="str">
        <f>IFERROR(__xludf.DUMMYFUNCTION("GOOGLEFINANCE(A917,""PRICEOPEN"")"),"#N/A")</f>
        <v>#N/A</v>
      </c>
      <c r="D917" s="14" t="str">
        <f>IFERROR(__xludf.DUMMYFUNCTION("GOOGLEFINANCE(A917,""HIGH"")"),"#N/A")</f>
        <v>#N/A</v>
      </c>
      <c r="E917" s="14" t="str">
        <f>IFERROR(__xludf.DUMMYFUNCTION("GOOGLEFINANCE(A917,""LOW"")"),"#N/A")</f>
        <v>#N/A</v>
      </c>
      <c r="F917" s="15" t="str">
        <f t="shared" si="8"/>
        <v>#N/A</v>
      </c>
      <c r="G917" s="16" t="str">
        <f>IFERROR(__xludf.DUMMYFUNCTION("GOOGLEFINANCE(A917,""CLOSEYEST"")"),"#N/A")</f>
        <v>#N/A</v>
      </c>
      <c r="H917" s="17" t="str">
        <f t="shared" si="14"/>
        <v>#N/A</v>
      </c>
      <c r="I917" s="18" t="str">
        <f t="shared" si="9"/>
        <v>#N/A</v>
      </c>
      <c r="J917" s="19" t="str">
        <f t="shared" si="10"/>
        <v>#N/A</v>
      </c>
      <c r="K917" s="19"/>
      <c r="L917" s="19" t="str">
        <f t="shared" si="11"/>
        <v>#N/A</v>
      </c>
      <c r="M917" s="19" t="str">
        <f t="shared" si="12"/>
        <v>#N/A</v>
      </c>
      <c r="N917" s="19" t="str">
        <f t="shared" si="13"/>
        <v>#N/A</v>
      </c>
    </row>
    <row r="918" ht="24.75" customHeight="1">
      <c r="A918" s="21" t="s">
        <v>881</v>
      </c>
      <c r="B918" s="13">
        <f>IFERROR(__xludf.DUMMYFUNCTION("GOOGLEFINANCE(A918,""PRICE"")"),735.75)</f>
        <v>735.75</v>
      </c>
      <c r="C918" s="14">
        <f>IFERROR(__xludf.DUMMYFUNCTION("GOOGLEFINANCE(A918,""PRICEOPEN"")"),728.8)</f>
        <v>728.8</v>
      </c>
      <c r="D918" s="14">
        <f>IFERROR(__xludf.DUMMYFUNCTION("GOOGLEFINANCE(A918,""HIGH"")"),738.9)</f>
        <v>738.9</v>
      </c>
      <c r="E918" s="14">
        <f>IFERROR(__xludf.DUMMYFUNCTION("GOOGLEFINANCE(A918,""LOW"")"),728.8)</f>
        <v>728.8</v>
      </c>
      <c r="F918" s="15" t="str">
        <f t="shared" si="8"/>
        <v>BUY</v>
      </c>
      <c r="G918" s="16">
        <f>IFERROR(__xludf.DUMMYFUNCTION("GOOGLEFINANCE(A918,""CLOSEYEST"")"),727.45)</f>
        <v>727.45</v>
      </c>
      <c r="H918" s="17" t="str">
        <f t="shared" si="14"/>
        <v/>
      </c>
      <c r="I918" s="18">
        <f t="shared" si="9"/>
        <v>731.7166667</v>
      </c>
      <c r="J918" s="19">
        <f t="shared" si="10"/>
        <v>734.6333333</v>
      </c>
      <c r="K918" s="19"/>
      <c r="L918" s="19">
        <f t="shared" si="11"/>
        <v>724.5333333</v>
      </c>
      <c r="M918" s="19">
        <f t="shared" si="12"/>
        <v>741.8166667</v>
      </c>
      <c r="N918" s="19">
        <f t="shared" si="13"/>
        <v>721.6166667</v>
      </c>
    </row>
    <row r="919" ht="24.75" customHeight="1">
      <c r="A919" s="21" t="s">
        <v>882</v>
      </c>
      <c r="B919" s="13">
        <f>IFERROR(__xludf.DUMMYFUNCTION("GOOGLEFINANCE(A919,""PRICE"")"),1007.5)</f>
        <v>1007.5</v>
      </c>
      <c r="C919" s="14">
        <f>IFERROR(__xludf.DUMMYFUNCTION("GOOGLEFINANCE(A919,""PRICEOPEN"")"),1010.95)</f>
        <v>1010.95</v>
      </c>
      <c r="D919" s="14">
        <f>IFERROR(__xludf.DUMMYFUNCTION("GOOGLEFINANCE(A919,""HIGH"")"),1020.0)</f>
        <v>1020</v>
      </c>
      <c r="E919" s="14">
        <f>IFERROR(__xludf.DUMMYFUNCTION("GOOGLEFINANCE(A919,""LOW"")"),992.4)</f>
        <v>992.4</v>
      </c>
      <c r="F919" s="15" t="str">
        <f t="shared" si="8"/>
        <v/>
      </c>
      <c r="G919" s="16">
        <f>IFERROR(__xludf.DUMMYFUNCTION("GOOGLEFINANCE(A919,""CLOSEYEST"")"),1003.35)</f>
        <v>1003.35</v>
      </c>
      <c r="H919" s="17" t="str">
        <f t="shared" si="14"/>
        <v/>
      </c>
      <c r="I919" s="18">
        <f t="shared" si="9"/>
        <v>1005.25</v>
      </c>
      <c r="J919" s="19">
        <f t="shared" si="10"/>
        <v>1018.1</v>
      </c>
      <c r="K919" s="19"/>
      <c r="L919" s="19">
        <f t="shared" si="11"/>
        <v>990.5</v>
      </c>
      <c r="M919" s="19">
        <f t="shared" si="12"/>
        <v>1032.85</v>
      </c>
      <c r="N919" s="19">
        <f t="shared" si="13"/>
        <v>977.65</v>
      </c>
    </row>
    <row r="920" ht="24.75" customHeight="1">
      <c r="A920" s="21" t="s">
        <v>883</v>
      </c>
      <c r="B920" s="13">
        <f>IFERROR(__xludf.DUMMYFUNCTION("GOOGLEFINANCE(A920,""PRICE"")"),503.75)</f>
        <v>503.75</v>
      </c>
      <c r="C920" s="14">
        <f>IFERROR(__xludf.DUMMYFUNCTION("GOOGLEFINANCE(A920,""PRICEOPEN"")"),504.0)</f>
        <v>504</v>
      </c>
      <c r="D920" s="14">
        <f>IFERROR(__xludf.DUMMYFUNCTION("GOOGLEFINANCE(A920,""HIGH"")"),515.95)</f>
        <v>515.95</v>
      </c>
      <c r="E920" s="14">
        <f>IFERROR(__xludf.DUMMYFUNCTION("GOOGLEFINANCE(A920,""LOW"")"),501.0)</f>
        <v>501</v>
      </c>
      <c r="F920" s="15" t="str">
        <f t="shared" si="8"/>
        <v/>
      </c>
      <c r="G920" s="16">
        <f>IFERROR(__xludf.DUMMYFUNCTION("GOOGLEFINANCE(A920,""CLOSEYEST"")"),510.8)</f>
        <v>510.8</v>
      </c>
      <c r="H920" s="17" t="str">
        <f t="shared" si="14"/>
        <v>GAP DOWN</v>
      </c>
      <c r="I920" s="18">
        <f t="shared" si="9"/>
        <v>509.25</v>
      </c>
      <c r="J920" s="19">
        <f t="shared" si="10"/>
        <v>517.5</v>
      </c>
      <c r="K920" s="19"/>
      <c r="L920" s="19">
        <f t="shared" si="11"/>
        <v>502.55</v>
      </c>
      <c r="M920" s="19">
        <f t="shared" si="12"/>
        <v>524.2</v>
      </c>
      <c r="N920" s="19">
        <f t="shared" si="13"/>
        <v>494.3</v>
      </c>
    </row>
    <row r="921" ht="24.75" customHeight="1">
      <c r="A921" s="21" t="s">
        <v>884</v>
      </c>
      <c r="B921" s="13">
        <f>IFERROR(__xludf.DUMMYFUNCTION("GOOGLEFINANCE(A921,""PRICE"")"),2780.0)</f>
        <v>2780</v>
      </c>
      <c r="C921" s="14">
        <f>IFERROR(__xludf.DUMMYFUNCTION("GOOGLEFINANCE(A921,""PRICEOPEN"")"),2759.0)</f>
        <v>2759</v>
      </c>
      <c r="D921" s="14">
        <f>IFERROR(__xludf.DUMMYFUNCTION("GOOGLEFINANCE(A921,""HIGH"")"),2780.0)</f>
        <v>2780</v>
      </c>
      <c r="E921" s="14">
        <f>IFERROR(__xludf.DUMMYFUNCTION("GOOGLEFINANCE(A921,""LOW"")"),2732.2)</f>
        <v>2732.2</v>
      </c>
      <c r="F921" s="15" t="str">
        <f t="shared" si="8"/>
        <v/>
      </c>
      <c r="G921" s="16">
        <f>IFERROR(__xludf.DUMMYFUNCTION("GOOGLEFINANCE(A921,""CLOSEYEST"")"),2739.9)</f>
        <v>2739.9</v>
      </c>
      <c r="H921" s="17" t="str">
        <f t="shared" si="14"/>
        <v/>
      </c>
      <c r="I921" s="18">
        <f t="shared" si="9"/>
        <v>2750.7</v>
      </c>
      <c r="J921" s="19">
        <f t="shared" si="10"/>
        <v>2769.2</v>
      </c>
      <c r="K921" s="19"/>
      <c r="L921" s="19">
        <f t="shared" si="11"/>
        <v>2721.4</v>
      </c>
      <c r="M921" s="19">
        <f t="shared" si="12"/>
        <v>2798.5</v>
      </c>
      <c r="N921" s="19">
        <f t="shared" si="13"/>
        <v>2702.9</v>
      </c>
    </row>
    <row r="922" ht="24.75" customHeight="1">
      <c r="A922" s="21" t="s">
        <v>885</v>
      </c>
      <c r="B922" s="13">
        <f>IFERROR(__xludf.DUMMYFUNCTION("GOOGLEFINANCE(A922,""PRICE"")"),256.5)</f>
        <v>256.5</v>
      </c>
      <c r="C922" s="14">
        <f>IFERROR(__xludf.DUMMYFUNCTION("GOOGLEFINANCE(A922,""PRICEOPEN"")"),258.55)</f>
        <v>258.55</v>
      </c>
      <c r="D922" s="14">
        <f>IFERROR(__xludf.DUMMYFUNCTION("GOOGLEFINANCE(A922,""HIGH"")"),262.2)</f>
        <v>262.2</v>
      </c>
      <c r="E922" s="14">
        <f>IFERROR(__xludf.DUMMYFUNCTION("GOOGLEFINANCE(A922,""LOW"")"),255.25)</f>
        <v>255.25</v>
      </c>
      <c r="F922" s="15" t="str">
        <f t="shared" si="8"/>
        <v/>
      </c>
      <c r="G922" s="16">
        <f>IFERROR(__xludf.DUMMYFUNCTION("GOOGLEFINANCE(A922,""CLOSEYEST"")"),258.55)</f>
        <v>258.55</v>
      </c>
      <c r="H922" s="17" t="str">
        <f t="shared" si="14"/>
        <v/>
      </c>
      <c r="I922" s="18">
        <f t="shared" si="9"/>
        <v>258.6666667</v>
      </c>
      <c r="J922" s="19">
        <f t="shared" si="10"/>
        <v>262.0833333</v>
      </c>
      <c r="K922" s="19"/>
      <c r="L922" s="19">
        <f t="shared" si="11"/>
        <v>255.1333333</v>
      </c>
      <c r="M922" s="19">
        <f t="shared" si="12"/>
        <v>265.6166667</v>
      </c>
      <c r="N922" s="19">
        <f t="shared" si="13"/>
        <v>251.7166667</v>
      </c>
    </row>
    <row r="923" ht="24.75" customHeight="1">
      <c r="A923" s="21" t="s">
        <v>886</v>
      </c>
      <c r="B923" s="13">
        <f>IFERROR(__xludf.DUMMYFUNCTION("GOOGLEFINANCE(A923,""PRICE"")"),99.85)</f>
        <v>99.85</v>
      </c>
      <c r="C923" s="14">
        <f>IFERROR(__xludf.DUMMYFUNCTION("GOOGLEFINANCE(A923,""PRICEOPEN"")"),99.3)</f>
        <v>99.3</v>
      </c>
      <c r="D923" s="14">
        <f>IFERROR(__xludf.DUMMYFUNCTION("GOOGLEFINANCE(A923,""HIGH"")"),100.41)</f>
        <v>100.41</v>
      </c>
      <c r="E923" s="14">
        <f>IFERROR(__xludf.DUMMYFUNCTION("GOOGLEFINANCE(A923,""LOW"")"),98.1)</f>
        <v>98.1</v>
      </c>
      <c r="F923" s="15" t="str">
        <f t="shared" si="8"/>
        <v/>
      </c>
      <c r="G923" s="16">
        <f>IFERROR(__xludf.DUMMYFUNCTION("GOOGLEFINANCE(A923,""CLOSEYEST"")"),100.1)</f>
        <v>100.1</v>
      </c>
      <c r="H923" s="17" t="str">
        <f t="shared" si="14"/>
        <v/>
      </c>
      <c r="I923" s="18">
        <f t="shared" si="9"/>
        <v>99.53666667</v>
      </c>
      <c r="J923" s="19">
        <f t="shared" si="10"/>
        <v>100.9733333</v>
      </c>
      <c r="K923" s="19"/>
      <c r="L923" s="19">
        <f t="shared" si="11"/>
        <v>98.66333333</v>
      </c>
      <c r="M923" s="19">
        <f t="shared" si="12"/>
        <v>101.8466667</v>
      </c>
      <c r="N923" s="19">
        <f t="shared" si="13"/>
        <v>97.22666667</v>
      </c>
    </row>
    <row r="924" ht="24.75" customHeight="1">
      <c r="A924" s="21" t="s">
        <v>887</v>
      </c>
      <c r="B924" s="13">
        <f>IFERROR(__xludf.DUMMYFUNCTION("GOOGLEFINANCE(A924,""PRICE"")"),86.5)</f>
        <v>86.5</v>
      </c>
      <c r="C924" s="14">
        <f>IFERROR(__xludf.DUMMYFUNCTION("GOOGLEFINANCE(A924,""PRICEOPEN"")"),85.02)</f>
        <v>85.02</v>
      </c>
      <c r="D924" s="14">
        <f>IFERROR(__xludf.DUMMYFUNCTION("GOOGLEFINANCE(A924,""HIGH"")"),87.84)</f>
        <v>87.84</v>
      </c>
      <c r="E924" s="14">
        <f>IFERROR(__xludf.DUMMYFUNCTION("GOOGLEFINANCE(A924,""LOW"")"),85.02)</f>
        <v>85.02</v>
      </c>
      <c r="F924" s="15" t="str">
        <f t="shared" si="8"/>
        <v>BUY</v>
      </c>
      <c r="G924" s="16">
        <f>IFERROR(__xludf.DUMMYFUNCTION("GOOGLEFINANCE(A924,""CLOSEYEST"")"),85.7)</f>
        <v>85.7</v>
      </c>
      <c r="H924" s="17" t="str">
        <f t="shared" si="14"/>
        <v/>
      </c>
      <c r="I924" s="18">
        <f t="shared" si="9"/>
        <v>86.18666667</v>
      </c>
      <c r="J924" s="19">
        <f t="shared" si="10"/>
        <v>87.35333333</v>
      </c>
      <c r="K924" s="19"/>
      <c r="L924" s="19">
        <f t="shared" si="11"/>
        <v>84.53333333</v>
      </c>
      <c r="M924" s="19">
        <f t="shared" si="12"/>
        <v>89.00666667</v>
      </c>
      <c r="N924" s="19">
        <f t="shared" si="13"/>
        <v>83.36666667</v>
      </c>
    </row>
    <row r="925" ht="24.75" customHeight="1">
      <c r="A925" s="21" t="s">
        <v>888</v>
      </c>
      <c r="B925" s="13">
        <f>IFERROR(__xludf.DUMMYFUNCTION("GOOGLEFINANCE(A925,""PRICE"")"),274.0)</f>
        <v>274</v>
      </c>
      <c r="C925" s="14">
        <f>IFERROR(__xludf.DUMMYFUNCTION("GOOGLEFINANCE(A925,""PRICEOPEN"")"),268.45)</f>
        <v>268.45</v>
      </c>
      <c r="D925" s="14">
        <f>IFERROR(__xludf.DUMMYFUNCTION("GOOGLEFINANCE(A925,""HIGH"")"),277.1)</f>
        <v>277.1</v>
      </c>
      <c r="E925" s="14">
        <f>IFERROR(__xludf.DUMMYFUNCTION("GOOGLEFINANCE(A925,""LOW"")"),263.85)</f>
        <v>263.85</v>
      </c>
      <c r="F925" s="15" t="str">
        <f t="shared" si="8"/>
        <v/>
      </c>
      <c r="G925" s="16">
        <f>IFERROR(__xludf.DUMMYFUNCTION("GOOGLEFINANCE(A925,""CLOSEYEST"")"),265.9)</f>
        <v>265.9</v>
      </c>
      <c r="H925" s="17" t="str">
        <f t="shared" si="14"/>
        <v/>
      </c>
      <c r="I925" s="18">
        <f t="shared" si="9"/>
        <v>268.95</v>
      </c>
      <c r="J925" s="19">
        <f t="shared" si="10"/>
        <v>274.05</v>
      </c>
      <c r="K925" s="19"/>
      <c r="L925" s="19">
        <f t="shared" si="11"/>
        <v>260.8</v>
      </c>
      <c r="M925" s="19">
        <f t="shared" si="12"/>
        <v>282.2</v>
      </c>
      <c r="N925" s="19">
        <f t="shared" si="13"/>
        <v>255.7</v>
      </c>
    </row>
    <row r="926" ht="24.75" customHeight="1">
      <c r="A926" s="21" t="s">
        <v>889</v>
      </c>
      <c r="B926" s="13">
        <f>IFERROR(__xludf.DUMMYFUNCTION("GOOGLEFINANCE(A926,""PRICE"")"),648.0)</f>
        <v>648</v>
      </c>
      <c r="C926" s="14">
        <f>IFERROR(__xludf.DUMMYFUNCTION("GOOGLEFINANCE(A926,""PRICEOPEN"")"),645.65)</f>
        <v>645.65</v>
      </c>
      <c r="D926" s="14">
        <f>IFERROR(__xludf.DUMMYFUNCTION("GOOGLEFINANCE(A926,""HIGH"")"),648.0)</f>
        <v>648</v>
      </c>
      <c r="E926" s="14">
        <f>IFERROR(__xludf.DUMMYFUNCTION("GOOGLEFINANCE(A926,""LOW"")"),637.3)</f>
        <v>637.3</v>
      </c>
      <c r="F926" s="15" t="str">
        <f t="shared" si="8"/>
        <v/>
      </c>
      <c r="G926" s="16">
        <f>IFERROR(__xludf.DUMMYFUNCTION("GOOGLEFINANCE(A926,""CLOSEYEST"")"),644.45)</f>
        <v>644.45</v>
      </c>
      <c r="H926" s="17" t="str">
        <f t="shared" si="14"/>
        <v/>
      </c>
      <c r="I926" s="18">
        <f t="shared" si="9"/>
        <v>643.25</v>
      </c>
      <c r="J926" s="19">
        <f t="shared" si="10"/>
        <v>649.2</v>
      </c>
      <c r="K926" s="19"/>
      <c r="L926" s="19">
        <f t="shared" si="11"/>
        <v>638.5</v>
      </c>
      <c r="M926" s="19">
        <f t="shared" si="12"/>
        <v>653.95</v>
      </c>
      <c r="N926" s="19">
        <f t="shared" si="13"/>
        <v>632.55</v>
      </c>
    </row>
    <row r="927" ht="24.75" customHeight="1">
      <c r="A927" s="21" t="s">
        <v>890</v>
      </c>
      <c r="B927" s="13">
        <f>IFERROR(__xludf.DUMMYFUNCTION("GOOGLEFINANCE(A927,""PRICE"")"),185.45)</f>
        <v>185.45</v>
      </c>
      <c r="C927" s="14">
        <f>IFERROR(__xludf.DUMMYFUNCTION("GOOGLEFINANCE(A927,""PRICEOPEN"")"),181.57)</f>
        <v>181.57</v>
      </c>
      <c r="D927" s="14">
        <f>IFERROR(__xludf.DUMMYFUNCTION("GOOGLEFINANCE(A927,""HIGH"")"),185.45)</f>
        <v>185.45</v>
      </c>
      <c r="E927" s="14">
        <f>IFERROR(__xludf.DUMMYFUNCTION("GOOGLEFINANCE(A927,""LOW"")"),181.57)</f>
        <v>181.57</v>
      </c>
      <c r="F927" s="15" t="str">
        <f t="shared" si="8"/>
        <v>BUY</v>
      </c>
      <c r="G927" s="16">
        <f>IFERROR(__xludf.DUMMYFUNCTION("GOOGLEFINANCE(A927,""CLOSEYEST"")"),181.99)</f>
        <v>181.99</v>
      </c>
      <c r="H927" s="17" t="str">
        <f t="shared" si="14"/>
        <v/>
      </c>
      <c r="I927" s="18">
        <f t="shared" si="9"/>
        <v>183.0033333</v>
      </c>
      <c r="J927" s="19">
        <f t="shared" si="10"/>
        <v>184.4366667</v>
      </c>
      <c r="K927" s="19"/>
      <c r="L927" s="19">
        <f t="shared" si="11"/>
        <v>180.5566667</v>
      </c>
      <c r="M927" s="19">
        <f t="shared" si="12"/>
        <v>186.8833333</v>
      </c>
      <c r="N927" s="19">
        <f t="shared" si="13"/>
        <v>179.1233333</v>
      </c>
    </row>
    <row r="928" ht="24.75" customHeight="1">
      <c r="A928" s="21" t="s">
        <v>891</v>
      </c>
      <c r="B928" s="13">
        <f>IFERROR(__xludf.DUMMYFUNCTION("GOOGLEFINANCE(A928,""PRICE"")"),13.39)</f>
        <v>13.39</v>
      </c>
      <c r="C928" s="14">
        <f>IFERROR(__xludf.DUMMYFUNCTION("GOOGLEFINANCE(A928,""PRICEOPEN"")"),13.12)</f>
        <v>13.12</v>
      </c>
      <c r="D928" s="14">
        <f>IFERROR(__xludf.DUMMYFUNCTION("GOOGLEFINANCE(A928,""HIGH"")"),13.64)</f>
        <v>13.64</v>
      </c>
      <c r="E928" s="14">
        <f>IFERROR(__xludf.DUMMYFUNCTION("GOOGLEFINANCE(A928,""LOW"")"),13.02)</f>
        <v>13.02</v>
      </c>
      <c r="F928" s="15" t="str">
        <f t="shared" si="8"/>
        <v/>
      </c>
      <c r="G928" s="16">
        <f>IFERROR(__xludf.DUMMYFUNCTION("GOOGLEFINANCE(A928,""CLOSEYEST"")"),12.68)</f>
        <v>12.68</v>
      </c>
      <c r="H928" s="17" t="str">
        <f t="shared" si="14"/>
        <v>GAP UP</v>
      </c>
      <c r="I928" s="18">
        <f t="shared" si="9"/>
        <v>13.11333333</v>
      </c>
      <c r="J928" s="19">
        <f t="shared" si="10"/>
        <v>13.20666667</v>
      </c>
      <c r="K928" s="19"/>
      <c r="L928" s="19">
        <f t="shared" si="11"/>
        <v>12.58666667</v>
      </c>
      <c r="M928" s="19">
        <f t="shared" si="12"/>
        <v>13.73333333</v>
      </c>
      <c r="N928" s="19">
        <f t="shared" si="13"/>
        <v>12.49333333</v>
      </c>
    </row>
    <row r="929" ht="24.75" customHeight="1">
      <c r="A929" s="21" t="s">
        <v>892</v>
      </c>
      <c r="B929" s="13">
        <f>IFERROR(__xludf.DUMMYFUNCTION("GOOGLEFINANCE(A929,""PRICE"")"),2192.8)</f>
        <v>2192.8</v>
      </c>
      <c r="C929" s="14">
        <f>IFERROR(__xludf.DUMMYFUNCTION("GOOGLEFINANCE(A929,""PRICEOPEN"")"),2204.4)</f>
        <v>2204.4</v>
      </c>
      <c r="D929" s="14">
        <f>IFERROR(__xludf.DUMMYFUNCTION("GOOGLEFINANCE(A929,""HIGH"")"),2210.4)</f>
        <v>2210.4</v>
      </c>
      <c r="E929" s="14">
        <f>IFERROR(__xludf.DUMMYFUNCTION("GOOGLEFINANCE(A929,""LOW"")"),2157.2)</f>
        <v>2157.2</v>
      </c>
      <c r="F929" s="15" t="str">
        <f t="shared" si="8"/>
        <v/>
      </c>
      <c r="G929" s="16">
        <f>IFERROR(__xludf.DUMMYFUNCTION("GOOGLEFINANCE(A929,""CLOSEYEST"")"),2192.9)</f>
        <v>2192.9</v>
      </c>
      <c r="H929" s="17" t="str">
        <f t="shared" si="14"/>
        <v/>
      </c>
      <c r="I929" s="18">
        <f t="shared" si="9"/>
        <v>2186.833333</v>
      </c>
      <c r="J929" s="19">
        <f t="shared" si="10"/>
        <v>2216.466667</v>
      </c>
      <c r="K929" s="19"/>
      <c r="L929" s="19">
        <f t="shared" si="11"/>
        <v>2163.266667</v>
      </c>
      <c r="M929" s="19">
        <f t="shared" si="12"/>
        <v>2240.033333</v>
      </c>
      <c r="N929" s="19">
        <f t="shared" si="13"/>
        <v>2133.633333</v>
      </c>
    </row>
    <row r="930" ht="24.75" customHeight="1">
      <c r="A930" s="21" t="s">
        <v>893</v>
      </c>
      <c r="B930" s="13">
        <f>IFERROR(__xludf.DUMMYFUNCTION("GOOGLEFINANCE(A930,""PRICE"")"),68.99)</f>
        <v>68.99</v>
      </c>
      <c r="C930" s="14">
        <f>IFERROR(__xludf.DUMMYFUNCTION("GOOGLEFINANCE(A930,""PRICEOPEN"")"),68.21)</f>
        <v>68.21</v>
      </c>
      <c r="D930" s="14">
        <f>IFERROR(__xludf.DUMMYFUNCTION("GOOGLEFINANCE(A930,""HIGH"")"),70.95)</f>
        <v>70.95</v>
      </c>
      <c r="E930" s="14">
        <f>IFERROR(__xludf.DUMMYFUNCTION("GOOGLEFINANCE(A930,""LOW"")"),67.5)</f>
        <v>67.5</v>
      </c>
      <c r="F930" s="15" t="str">
        <f t="shared" si="8"/>
        <v/>
      </c>
      <c r="G930" s="16">
        <f>IFERROR(__xludf.DUMMYFUNCTION("GOOGLEFINANCE(A930,""CLOSEYEST"")"),68.21)</f>
        <v>68.21</v>
      </c>
      <c r="H930" s="17" t="str">
        <f t="shared" si="14"/>
        <v/>
      </c>
      <c r="I930" s="18">
        <f t="shared" si="9"/>
        <v>68.88666667</v>
      </c>
      <c r="J930" s="19">
        <f t="shared" si="10"/>
        <v>70.27333333</v>
      </c>
      <c r="K930" s="19"/>
      <c r="L930" s="19">
        <f t="shared" si="11"/>
        <v>66.82333333</v>
      </c>
      <c r="M930" s="19">
        <f t="shared" si="12"/>
        <v>72.33666667</v>
      </c>
      <c r="N930" s="19">
        <f t="shared" si="13"/>
        <v>65.43666667</v>
      </c>
    </row>
    <row r="931" ht="24.75" customHeight="1">
      <c r="A931" s="21" t="s">
        <v>894</v>
      </c>
      <c r="B931" s="13">
        <f>IFERROR(__xludf.DUMMYFUNCTION("GOOGLEFINANCE(A931,""PRICE"")"),140.64)</f>
        <v>140.64</v>
      </c>
      <c r="C931" s="14">
        <f>IFERROR(__xludf.DUMMYFUNCTION("GOOGLEFINANCE(A931,""PRICEOPEN"")"),140.5)</f>
        <v>140.5</v>
      </c>
      <c r="D931" s="14">
        <f>IFERROR(__xludf.DUMMYFUNCTION("GOOGLEFINANCE(A931,""HIGH"")"),140.87)</f>
        <v>140.87</v>
      </c>
      <c r="E931" s="14">
        <f>IFERROR(__xludf.DUMMYFUNCTION("GOOGLEFINANCE(A931,""LOW"")"),139.01)</f>
        <v>139.01</v>
      </c>
      <c r="F931" s="15" t="str">
        <f t="shared" si="8"/>
        <v/>
      </c>
      <c r="G931" s="16">
        <f>IFERROR(__xludf.DUMMYFUNCTION("GOOGLEFINANCE(A931,""CLOSEYEST"")"),139.84)</f>
        <v>139.84</v>
      </c>
      <c r="H931" s="17" t="str">
        <f t="shared" si="14"/>
        <v/>
      </c>
      <c r="I931" s="18">
        <f t="shared" si="9"/>
        <v>139.9066667</v>
      </c>
      <c r="J931" s="19">
        <f t="shared" si="10"/>
        <v>140.8033333</v>
      </c>
      <c r="K931" s="19"/>
      <c r="L931" s="19">
        <f t="shared" si="11"/>
        <v>138.9433333</v>
      </c>
      <c r="M931" s="19">
        <f t="shared" si="12"/>
        <v>141.7666667</v>
      </c>
      <c r="N931" s="19">
        <f t="shared" si="13"/>
        <v>138.0466667</v>
      </c>
    </row>
    <row r="932" ht="24.75" customHeight="1">
      <c r="A932" s="21" t="s">
        <v>895</v>
      </c>
      <c r="B932" s="13">
        <f>IFERROR(__xludf.DUMMYFUNCTION("GOOGLEFINANCE(A932,""PRICE"")"),730.0)</f>
        <v>730</v>
      </c>
      <c r="C932" s="14">
        <f>IFERROR(__xludf.DUMMYFUNCTION("GOOGLEFINANCE(A932,""PRICEOPEN"")"),725.0)</f>
        <v>725</v>
      </c>
      <c r="D932" s="14">
        <f>IFERROR(__xludf.DUMMYFUNCTION("GOOGLEFINANCE(A932,""HIGH"")"),739.4)</f>
        <v>739.4</v>
      </c>
      <c r="E932" s="14">
        <f>IFERROR(__xludf.DUMMYFUNCTION("GOOGLEFINANCE(A932,""LOW"")"),718.65)</f>
        <v>718.65</v>
      </c>
      <c r="F932" s="15" t="str">
        <f t="shared" si="8"/>
        <v/>
      </c>
      <c r="G932" s="16">
        <f>IFERROR(__xludf.DUMMYFUNCTION("GOOGLEFINANCE(A932,""CLOSEYEST"")"),722.0)</f>
        <v>722</v>
      </c>
      <c r="H932" s="17" t="str">
        <f t="shared" si="14"/>
        <v/>
      </c>
      <c r="I932" s="18">
        <f t="shared" si="9"/>
        <v>726.6833333</v>
      </c>
      <c r="J932" s="19">
        <f t="shared" si="10"/>
        <v>734.7166667</v>
      </c>
      <c r="K932" s="19"/>
      <c r="L932" s="19">
        <f t="shared" si="11"/>
        <v>713.9666667</v>
      </c>
      <c r="M932" s="19">
        <f t="shared" si="12"/>
        <v>747.4333333</v>
      </c>
      <c r="N932" s="19">
        <f t="shared" si="13"/>
        <v>705.9333333</v>
      </c>
    </row>
    <row r="933" ht="24.75" customHeight="1">
      <c r="A933" s="21" t="s">
        <v>896</v>
      </c>
      <c r="B933" s="13">
        <f>IFERROR(__xludf.DUMMYFUNCTION("GOOGLEFINANCE(A933,""PRICE"")"),525.0)</f>
        <v>525</v>
      </c>
      <c r="C933" s="14">
        <f>IFERROR(__xludf.DUMMYFUNCTION("GOOGLEFINANCE(A933,""PRICEOPEN"")"),523.65)</f>
        <v>523.65</v>
      </c>
      <c r="D933" s="14">
        <f>IFERROR(__xludf.DUMMYFUNCTION("GOOGLEFINANCE(A933,""HIGH"")"),529.45)</f>
        <v>529.45</v>
      </c>
      <c r="E933" s="14">
        <f>IFERROR(__xludf.DUMMYFUNCTION("GOOGLEFINANCE(A933,""LOW"")"),520.2)</f>
        <v>520.2</v>
      </c>
      <c r="F933" s="15" t="str">
        <f t="shared" si="8"/>
        <v/>
      </c>
      <c r="G933" s="16">
        <f>IFERROR(__xludf.DUMMYFUNCTION("GOOGLEFINANCE(A933,""CLOSEYEST"")"),524.45)</f>
        <v>524.45</v>
      </c>
      <c r="H933" s="17" t="str">
        <f t="shared" si="14"/>
        <v/>
      </c>
      <c r="I933" s="18">
        <f t="shared" si="9"/>
        <v>524.7</v>
      </c>
      <c r="J933" s="19">
        <f t="shared" si="10"/>
        <v>529.2</v>
      </c>
      <c r="K933" s="19"/>
      <c r="L933" s="19">
        <f t="shared" si="11"/>
        <v>519.95</v>
      </c>
      <c r="M933" s="19">
        <f t="shared" si="12"/>
        <v>533.95</v>
      </c>
      <c r="N933" s="19">
        <f t="shared" si="13"/>
        <v>515.45</v>
      </c>
    </row>
    <row r="934" ht="24.75" customHeight="1">
      <c r="A934" s="21" t="s">
        <v>897</v>
      </c>
      <c r="B934" s="13">
        <f>IFERROR(__xludf.DUMMYFUNCTION("GOOGLEFINANCE(A934,""PRICE"")"),356.9)</f>
        <v>356.9</v>
      </c>
      <c r="C934" s="14">
        <f>IFERROR(__xludf.DUMMYFUNCTION("GOOGLEFINANCE(A934,""PRICEOPEN"")"),349.3)</f>
        <v>349.3</v>
      </c>
      <c r="D934" s="14">
        <f>IFERROR(__xludf.DUMMYFUNCTION("GOOGLEFINANCE(A934,""HIGH"")"),357.0)</f>
        <v>357</v>
      </c>
      <c r="E934" s="14">
        <f>IFERROR(__xludf.DUMMYFUNCTION("GOOGLEFINANCE(A934,""LOW"")"),349.2)</f>
        <v>349.2</v>
      </c>
      <c r="F934" s="15" t="str">
        <f t="shared" si="8"/>
        <v/>
      </c>
      <c r="G934" s="16">
        <f>IFERROR(__xludf.DUMMYFUNCTION("GOOGLEFINANCE(A934,""CLOSEYEST"")"),349.2)</f>
        <v>349.2</v>
      </c>
      <c r="H934" s="17" t="str">
        <f t="shared" si="14"/>
        <v/>
      </c>
      <c r="I934" s="18">
        <f t="shared" si="9"/>
        <v>351.8</v>
      </c>
      <c r="J934" s="19">
        <f t="shared" si="10"/>
        <v>354.4</v>
      </c>
      <c r="K934" s="19"/>
      <c r="L934" s="19">
        <f t="shared" si="11"/>
        <v>346.6</v>
      </c>
      <c r="M934" s="19">
        <f t="shared" si="12"/>
        <v>359.6</v>
      </c>
      <c r="N934" s="19">
        <f t="shared" si="13"/>
        <v>344</v>
      </c>
    </row>
    <row r="935" ht="24.75" customHeight="1">
      <c r="A935" s="21" t="s">
        <v>898</v>
      </c>
      <c r="B935" s="13">
        <f>IFERROR(__xludf.DUMMYFUNCTION("GOOGLEFINANCE(A935,""PRICE"")"),178.15)</f>
        <v>178.15</v>
      </c>
      <c r="C935" s="14">
        <f>IFERROR(__xludf.DUMMYFUNCTION("GOOGLEFINANCE(A935,""PRICEOPEN"")"),178.15)</f>
        <v>178.15</v>
      </c>
      <c r="D935" s="14">
        <f>IFERROR(__xludf.DUMMYFUNCTION("GOOGLEFINANCE(A935,""HIGH"")"),178.15)</f>
        <v>178.15</v>
      </c>
      <c r="E935" s="14">
        <f>IFERROR(__xludf.DUMMYFUNCTION("GOOGLEFINANCE(A935,""LOW"")"),178.15)</f>
        <v>178.15</v>
      </c>
      <c r="F935" s="15" t="str">
        <f t="shared" si="8"/>
        <v>SELL</v>
      </c>
      <c r="G935" s="16">
        <f>IFERROR(__xludf.DUMMYFUNCTION("GOOGLEFINANCE(A935,""CLOSEYEST"")"),187.53)</f>
        <v>187.53</v>
      </c>
      <c r="H935" s="17" t="str">
        <f t="shared" si="14"/>
        <v>GAP DOWN</v>
      </c>
      <c r="I935" s="18">
        <f t="shared" si="9"/>
        <v>181.2766667</v>
      </c>
      <c r="J935" s="19">
        <f t="shared" si="10"/>
        <v>184.4033333</v>
      </c>
      <c r="K935" s="19"/>
      <c r="L935" s="19">
        <f t="shared" si="11"/>
        <v>184.4033333</v>
      </c>
      <c r="M935" s="19">
        <f t="shared" si="12"/>
        <v>181.2766667</v>
      </c>
      <c r="N935" s="19">
        <f t="shared" si="13"/>
        <v>181.2766667</v>
      </c>
    </row>
    <row r="936" ht="24.75" customHeight="1">
      <c r="A936" s="21" t="s">
        <v>899</v>
      </c>
      <c r="B936" s="13">
        <f>IFERROR(__xludf.DUMMYFUNCTION("GOOGLEFINANCE(A936,""PRICE"")"),2675.0)</f>
        <v>2675</v>
      </c>
      <c r="C936" s="14">
        <f>IFERROR(__xludf.DUMMYFUNCTION("GOOGLEFINANCE(A936,""PRICEOPEN"")"),2699.9)</f>
        <v>2699.9</v>
      </c>
      <c r="D936" s="14">
        <f>IFERROR(__xludf.DUMMYFUNCTION("GOOGLEFINANCE(A936,""HIGH"")"),2699.9)</f>
        <v>2699.9</v>
      </c>
      <c r="E936" s="14">
        <f>IFERROR(__xludf.DUMMYFUNCTION("GOOGLEFINANCE(A936,""LOW"")"),2665.0)</f>
        <v>2665</v>
      </c>
      <c r="F936" s="15" t="str">
        <f t="shared" si="8"/>
        <v>SELL</v>
      </c>
      <c r="G936" s="16">
        <f>IFERROR(__xludf.DUMMYFUNCTION("GOOGLEFINANCE(A936,""CLOSEYEST"")"),2664.5)</f>
        <v>2664.5</v>
      </c>
      <c r="H936" s="17" t="str">
        <f t="shared" si="14"/>
        <v>GAP UP</v>
      </c>
      <c r="I936" s="18">
        <f t="shared" si="9"/>
        <v>2676.466667</v>
      </c>
      <c r="J936" s="19">
        <f t="shared" si="10"/>
        <v>2687.933333</v>
      </c>
      <c r="K936" s="19"/>
      <c r="L936" s="19">
        <f t="shared" si="11"/>
        <v>2653.033333</v>
      </c>
      <c r="M936" s="19">
        <f t="shared" si="12"/>
        <v>2711.366667</v>
      </c>
      <c r="N936" s="19">
        <f t="shared" si="13"/>
        <v>2641.566667</v>
      </c>
    </row>
    <row r="937" ht="24.75" customHeight="1">
      <c r="A937" s="21" t="s">
        <v>900</v>
      </c>
      <c r="B937" s="13">
        <f>IFERROR(__xludf.DUMMYFUNCTION("GOOGLEFINANCE(A937,""PRICE"")"),1425.0)</f>
        <v>1425</v>
      </c>
      <c r="C937" s="14">
        <f>IFERROR(__xludf.DUMMYFUNCTION("GOOGLEFINANCE(A937,""PRICEOPEN"")"),1440.0)</f>
        <v>1440</v>
      </c>
      <c r="D937" s="14">
        <f>IFERROR(__xludf.DUMMYFUNCTION("GOOGLEFINANCE(A937,""HIGH"")"),1449.0)</f>
        <v>1449</v>
      </c>
      <c r="E937" s="14">
        <f>IFERROR(__xludf.DUMMYFUNCTION("GOOGLEFINANCE(A937,""LOW"")"),1405.4)</f>
        <v>1405.4</v>
      </c>
      <c r="F937" s="15" t="str">
        <f t="shared" si="8"/>
        <v/>
      </c>
      <c r="G937" s="16">
        <f>IFERROR(__xludf.DUMMYFUNCTION("GOOGLEFINANCE(A937,""CLOSEYEST"")"),1433.6)</f>
        <v>1433.6</v>
      </c>
      <c r="H937" s="17" t="str">
        <f t="shared" si="14"/>
        <v/>
      </c>
      <c r="I937" s="18">
        <f t="shared" si="9"/>
        <v>1429.333333</v>
      </c>
      <c r="J937" s="19">
        <f t="shared" si="10"/>
        <v>1453.266667</v>
      </c>
      <c r="K937" s="19"/>
      <c r="L937" s="19">
        <f t="shared" si="11"/>
        <v>1409.666667</v>
      </c>
      <c r="M937" s="19">
        <f t="shared" si="12"/>
        <v>1472.933333</v>
      </c>
      <c r="N937" s="19">
        <f t="shared" si="13"/>
        <v>1385.733333</v>
      </c>
    </row>
    <row r="938" ht="24.75" customHeight="1">
      <c r="A938" s="21" t="s">
        <v>901</v>
      </c>
      <c r="B938" s="13">
        <f>IFERROR(__xludf.DUMMYFUNCTION("GOOGLEFINANCE(A938,""PRICE"")"),147.7)</f>
        <v>147.7</v>
      </c>
      <c r="C938" s="14">
        <f>IFERROR(__xludf.DUMMYFUNCTION("GOOGLEFINANCE(A938,""PRICEOPEN"")"),147.01)</f>
        <v>147.01</v>
      </c>
      <c r="D938" s="14">
        <f>IFERROR(__xludf.DUMMYFUNCTION("GOOGLEFINANCE(A938,""HIGH"")"),150.78)</f>
        <v>150.78</v>
      </c>
      <c r="E938" s="14">
        <f>IFERROR(__xludf.DUMMYFUNCTION("GOOGLEFINANCE(A938,""LOW"")"),147.0)</f>
        <v>147</v>
      </c>
      <c r="F938" s="15" t="str">
        <f t="shared" si="8"/>
        <v/>
      </c>
      <c r="G938" s="16">
        <f>IFERROR(__xludf.DUMMYFUNCTION("GOOGLEFINANCE(A938,""CLOSEYEST"")"),148.11)</f>
        <v>148.11</v>
      </c>
      <c r="H938" s="17" t="str">
        <f t="shared" si="14"/>
        <v/>
      </c>
      <c r="I938" s="18">
        <f t="shared" si="9"/>
        <v>148.63</v>
      </c>
      <c r="J938" s="19">
        <f t="shared" si="10"/>
        <v>150.26</v>
      </c>
      <c r="K938" s="19"/>
      <c r="L938" s="19">
        <f t="shared" si="11"/>
        <v>146.48</v>
      </c>
      <c r="M938" s="19">
        <f t="shared" si="12"/>
        <v>152.41</v>
      </c>
      <c r="N938" s="19">
        <f t="shared" si="13"/>
        <v>144.85</v>
      </c>
    </row>
    <row r="939" ht="24.75" customHeight="1">
      <c r="A939" s="21" t="s">
        <v>902</v>
      </c>
      <c r="B939" s="13">
        <f>IFERROR(__xludf.DUMMYFUNCTION("GOOGLEFINANCE(A939,""PRICE"")"),1218.0)</f>
        <v>1218</v>
      </c>
      <c r="C939" s="14">
        <f>IFERROR(__xludf.DUMMYFUNCTION("GOOGLEFINANCE(A939,""PRICEOPEN"")"),1211.1)</f>
        <v>1211.1</v>
      </c>
      <c r="D939" s="14">
        <f>IFERROR(__xludf.DUMMYFUNCTION("GOOGLEFINANCE(A939,""HIGH"")"),1238.2)</f>
        <v>1238.2</v>
      </c>
      <c r="E939" s="14">
        <f>IFERROR(__xludf.DUMMYFUNCTION("GOOGLEFINANCE(A939,""LOW"")"),1206.6)</f>
        <v>1206.6</v>
      </c>
      <c r="F939" s="15" t="str">
        <f t="shared" si="8"/>
        <v/>
      </c>
      <c r="G939" s="16">
        <f>IFERROR(__xludf.DUMMYFUNCTION("GOOGLEFINANCE(A939,""CLOSEYEST"")"),1206.3)</f>
        <v>1206.3</v>
      </c>
      <c r="H939" s="17" t="str">
        <f t="shared" si="14"/>
        <v/>
      </c>
      <c r="I939" s="18">
        <f t="shared" si="9"/>
        <v>1217.033333</v>
      </c>
      <c r="J939" s="19">
        <f t="shared" si="10"/>
        <v>1227.466667</v>
      </c>
      <c r="K939" s="19"/>
      <c r="L939" s="19">
        <f t="shared" si="11"/>
        <v>1195.866667</v>
      </c>
      <c r="M939" s="19">
        <f t="shared" si="12"/>
        <v>1248.633333</v>
      </c>
      <c r="N939" s="19">
        <f t="shared" si="13"/>
        <v>1185.433333</v>
      </c>
    </row>
    <row r="940" ht="24.75" customHeight="1">
      <c r="A940" s="21" t="s">
        <v>903</v>
      </c>
      <c r="B940" s="13">
        <f>IFERROR(__xludf.DUMMYFUNCTION("GOOGLEFINANCE(A940,""PRICE"")"),71.2)</f>
        <v>71.2</v>
      </c>
      <c r="C940" s="14">
        <f>IFERROR(__xludf.DUMMYFUNCTION("GOOGLEFINANCE(A940,""PRICEOPEN"")"),72.59)</f>
        <v>72.59</v>
      </c>
      <c r="D940" s="14">
        <f>IFERROR(__xludf.DUMMYFUNCTION("GOOGLEFINANCE(A940,""HIGH"")"),72.79)</f>
        <v>72.79</v>
      </c>
      <c r="E940" s="14">
        <f>IFERROR(__xludf.DUMMYFUNCTION("GOOGLEFINANCE(A940,""LOW"")"),71.0)</f>
        <v>71</v>
      </c>
      <c r="F940" s="15" t="str">
        <f t="shared" si="8"/>
        <v/>
      </c>
      <c r="G940" s="16">
        <f>IFERROR(__xludf.DUMMYFUNCTION("GOOGLEFINANCE(A940,""CLOSEYEST"")"),72.35)</f>
        <v>72.35</v>
      </c>
      <c r="H940" s="17" t="str">
        <f t="shared" si="14"/>
        <v/>
      </c>
      <c r="I940" s="18">
        <f t="shared" si="9"/>
        <v>72.04666667</v>
      </c>
      <c r="J940" s="19">
        <f t="shared" si="10"/>
        <v>73.09333333</v>
      </c>
      <c r="K940" s="19"/>
      <c r="L940" s="19">
        <f t="shared" si="11"/>
        <v>71.30333333</v>
      </c>
      <c r="M940" s="19">
        <f t="shared" si="12"/>
        <v>73.83666667</v>
      </c>
      <c r="N940" s="19">
        <f t="shared" si="13"/>
        <v>70.25666667</v>
      </c>
    </row>
    <row r="941" ht="24.75" customHeight="1">
      <c r="A941" s="21" t="s">
        <v>904</v>
      </c>
      <c r="B941" s="13">
        <f>IFERROR(__xludf.DUMMYFUNCTION("GOOGLEFINANCE(A941,""PRICE"")"),209.0)</f>
        <v>209</v>
      </c>
      <c r="C941" s="14">
        <f>IFERROR(__xludf.DUMMYFUNCTION("GOOGLEFINANCE(A941,""PRICEOPEN"")"),208.79)</f>
        <v>208.79</v>
      </c>
      <c r="D941" s="14">
        <f>IFERROR(__xludf.DUMMYFUNCTION("GOOGLEFINANCE(A941,""HIGH"")"),211.0)</f>
        <v>211</v>
      </c>
      <c r="E941" s="14">
        <f>IFERROR(__xludf.DUMMYFUNCTION("GOOGLEFINANCE(A941,""LOW"")"),204.5)</f>
        <v>204.5</v>
      </c>
      <c r="F941" s="15" t="str">
        <f t="shared" si="8"/>
        <v/>
      </c>
      <c r="G941" s="16">
        <f>IFERROR(__xludf.DUMMYFUNCTION("GOOGLEFINANCE(A941,""CLOSEYEST"")"),207.05)</f>
        <v>207.05</v>
      </c>
      <c r="H941" s="17" t="str">
        <f t="shared" si="14"/>
        <v/>
      </c>
      <c r="I941" s="18">
        <f t="shared" si="9"/>
        <v>207.5166667</v>
      </c>
      <c r="J941" s="19">
        <f t="shared" si="10"/>
        <v>210.5333333</v>
      </c>
      <c r="K941" s="19"/>
      <c r="L941" s="19">
        <f t="shared" si="11"/>
        <v>204.0333333</v>
      </c>
      <c r="M941" s="19">
        <f t="shared" si="12"/>
        <v>214.0166667</v>
      </c>
      <c r="N941" s="19">
        <f t="shared" si="13"/>
        <v>201.0166667</v>
      </c>
    </row>
    <row r="942" ht="24.75" customHeight="1">
      <c r="A942" s="21" t="s">
        <v>905</v>
      </c>
      <c r="B942" s="13">
        <f>IFERROR(__xludf.DUMMYFUNCTION("GOOGLEFINANCE(A942,""PRICE"")"),823.5)</f>
        <v>823.5</v>
      </c>
      <c r="C942" s="14">
        <f>IFERROR(__xludf.DUMMYFUNCTION("GOOGLEFINANCE(A942,""PRICEOPEN"")"),827.9)</f>
        <v>827.9</v>
      </c>
      <c r="D942" s="14">
        <f>IFERROR(__xludf.DUMMYFUNCTION("GOOGLEFINANCE(A942,""HIGH"")"),831.05)</f>
        <v>831.05</v>
      </c>
      <c r="E942" s="14">
        <f>IFERROR(__xludf.DUMMYFUNCTION("GOOGLEFINANCE(A942,""LOW"")"),819.0)</f>
        <v>819</v>
      </c>
      <c r="F942" s="15" t="str">
        <f t="shared" si="8"/>
        <v/>
      </c>
      <c r="G942" s="16">
        <f>IFERROR(__xludf.DUMMYFUNCTION("GOOGLEFINANCE(A942,""CLOSEYEST"")"),823.55)</f>
        <v>823.55</v>
      </c>
      <c r="H942" s="17" t="str">
        <f t="shared" si="14"/>
        <v/>
      </c>
      <c r="I942" s="18">
        <f t="shared" si="9"/>
        <v>824.5333333</v>
      </c>
      <c r="J942" s="19">
        <f t="shared" si="10"/>
        <v>830.0666667</v>
      </c>
      <c r="K942" s="19"/>
      <c r="L942" s="19">
        <f t="shared" si="11"/>
        <v>818.0166667</v>
      </c>
      <c r="M942" s="19">
        <f t="shared" si="12"/>
        <v>836.5833333</v>
      </c>
      <c r="N942" s="19">
        <f t="shared" si="13"/>
        <v>812.4833333</v>
      </c>
    </row>
    <row r="943" ht="24.75" customHeight="1">
      <c r="A943" s="21" t="s">
        <v>906</v>
      </c>
      <c r="B943" s="13">
        <f>IFERROR(__xludf.DUMMYFUNCTION("GOOGLEFINANCE(A943,""PRICE"")"),289.0)</f>
        <v>289</v>
      </c>
      <c r="C943" s="14">
        <f>IFERROR(__xludf.DUMMYFUNCTION("GOOGLEFINANCE(A943,""PRICEOPEN"")"),279.0)</f>
        <v>279</v>
      </c>
      <c r="D943" s="14">
        <f>IFERROR(__xludf.DUMMYFUNCTION("GOOGLEFINANCE(A943,""HIGH"")"),290.0)</f>
        <v>290</v>
      </c>
      <c r="E943" s="14">
        <f>IFERROR(__xludf.DUMMYFUNCTION("GOOGLEFINANCE(A943,""LOW"")"),278.05)</f>
        <v>278.05</v>
      </c>
      <c r="F943" s="15" t="str">
        <f t="shared" si="8"/>
        <v/>
      </c>
      <c r="G943" s="16">
        <f>IFERROR(__xludf.DUMMYFUNCTION("GOOGLEFINANCE(A943,""CLOSEYEST"")"),282.85)</f>
        <v>282.85</v>
      </c>
      <c r="H943" s="17" t="str">
        <f t="shared" si="14"/>
        <v>GAP DOWN</v>
      </c>
      <c r="I943" s="18">
        <f t="shared" si="9"/>
        <v>283.6333333</v>
      </c>
      <c r="J943" s="19">
        <f t="shared" si="10"/>
        <v>289.2166667</v>
      </c>
      <c r="K943" s="19"/>
      <c r="L943" s="19">
        <f t="shared" si="11"/>
        <v>277.2666667</v>
      </c>
      <c r="M943" s="19">
        <f t="shared" si="12"/>
        <v>295.5833333</v>
      </c>
      <c r="N943" s="19">
        <f t="shared" si="13"/>
        <v>271.6833333</v>
      </c>
    </row>
    <row r="944" ht="24.75" customHeight="1">
      <c r="A944" s="21" t="s">
        <v>907</v>
      </c>
      <c r="B944" s="13">
        <f>IFERROR(__xludf.DUMMYFUNCTION("GOOGLEFINANCE(A944,""PRICE"")"),414.4)</f>
        <v>414.4</v>
      </c>
      <c r="C944" s="14">
        <f>IFERROR(__xludf.DUMMYFUNCTION("GOOGLEFINANCE(A944,""PRICEOPEN"")"),403.0)</f>
        <v>403</v>
      </c>
      <c r="D944" s="14">
        <f>IFERROR(__xludf.DUMMYFUNCTION("GOOGLEFINANCE(A944,""HIGH"")"),425.0)</f>
        <v>425</v>
      </c>
      <c r="E944" s="14">
        <f>IFERROR(__xludf.DUMMYFUNCTION("GOOGLEFINANCE(A944,""LOW"")"),398.5)</f>
        <v>398.5</v>
      </c>
      <c r="F944" s="15" t="str">
        <f t="shared" si="8"/>
        <v/>
      </c>
      <c r="G944" s="16">
        <f>IFERROR(__xludf.DUMMYFUNCTION("GOOGLEFINANCE(A944,""CLOSEYEST"")"),401.0)</f>
        <v>401</v>
      </c>
      <c r="H944" s="17" t="str">
        <f t="shared" si="14"/>
        <v/>
      </c>
      <c r="I944" s="18">
        <f t="shared" si="9"/>
        <v>408.1666667</v>
      </c>
      <c r="J944" s="19">
        <f t="shared" si="10"/>
        <v>417.8333333</v>
      </c>
      <c r="K944" s="19"/>
      <c r="L944" s="19">
        <f t="shared" si="11"/>
        <v>391.3333333</v>
      </c>
      <c r="M944" s="19">
        <f t="shared" si="12"/>
        <v>434.6666667</v>
      </c>
      <c r="N944" s="19">
        <f t="shared" si="13"/>
        <v>381.6666667</v>
      </c>
    </row>
    <row r="945" ht="24.75" customHeight="1">
      <c r="A945" s="21" t="s">
        <v>908</v>
      </c>
      <c r="B945" s="13">
        <f>IFERROR(__xludf.DUMMYFUNCTION("GOOGLEFINANCE(A945,""PRICE"")"),41.0)</f>
        <v>41</v>
      </c>
      <c r="C945" s="14">
        <f>IFERROR(__xludf.DUMMYFUNCTION("GOOGLEFINANCE(A945,""PRICEOPEN"")"),41.42)</f>
        <v>41.42</v>
      </c>
      <c r="D945" s="14">
        <f>IFERROR(__xludf.DUMMYFUNCTION("GOOGLEFINANCE(A945,""HIGH"")"),42.2)</f>
        <v>42.2</v>
      </c>
      <c r="E945" s="14">
        <f>IFERROR(__xludf.DUMMYFUNCTION("GOOGLEFINANCE(A945,""LOW"")"),40.8)</f>
        <v>40.8</v>
      </c>
      <c r="F945" s="15" t="str">
        <f t="shared" si="8"/>
        <v/>
      </c>
      <c r="G945" s="16">
        <f>IFERROR(__xludf.DUMMYFUNCTION("GOOGLEFINANCE(A945,""CLOSEYEST"")"),41.42)</f>
        <v>41.42</v>
      </c>
      <c r="H945" s="17" t="str">
        <f t="shared" si="14"/>
        <v/>
      </c>
      <c r="I945" s="18">
        <f t="shared" si="9"/>
        <v>41.47333333</v>
      </c>
      <c r="J945" s="19">
        <f t="shared" si="10"/>
        <v>42.14666667</v>
      </c>
      <c r="K945" s="19"/>
      <c r="L945" s="19">
        <f t="shared" si="11"/>
        <v>40.74666667</v>
      </c>
      <c r="M945" s="19">
        <f t="shared" si="12"/>
        <v>42.87333333</v>
      </c>
      <c r="N945" s="19">
        <f t="shared" si="13"/>
        <v>40.07333333</v>
      </c>
    </row>
    <row r="946" ht="24.75" customHeight="1">
      <c r="A946" s="21" t="s">
        <v>909</v>
      </c>
      <c r="B946" s="13">
        <f>IFERROR(__xludf.DUMMYFUNCTION("GOOGLEFINANCE(A946,""PRICE"")"),1050.0)</f>
        <v>1050</v>
      </c>
      <c r="C946" s="14">
        <f>IFERROR(__xludf.DUMMYFUNCTION("GOOGLEFINANCE(A946,""PRICEOPEN"")"),1008.75)</f>
        <v>1008.75</v>
      </c>
      <c r="D946" s="14">
        <f>IFERROR(__xludf.DUMMYFUNCTION("GOOGLEFINANCE(A946,""HIGH"")"),1050.0)</f>
        <v>1050</v>
      </c>
      <c r="E946" s="14">
        <f>IFERROR(__xludf.DUMMYFUNCTION("GOOGLEFINANCE(A946,""LOW"")"),1008.05)</f>
        <v>1008.05</v>
      </c>
      <c r="F946" s="15" t="str">
        <f t="shared" si="8"/>
        <v/>
      </c>
      <c r="G946" s="16">
        <f>IFERROR(__xludf.DUMMYFUNCTION("GOOGLEFINANCE(A946,""CLOSEYEST"")"),1003.85)</f>
        <v>1003.85</v>
      </c>
      <c r="H946" s="17" t="str">
        <f t="shared" si="14"/>
        <v/>
      </c>
      <c r="I946" s="18">
        <f t="shared" si="9"/>
        <v>1020.633333</v>
      </c>
      <c r="J946" s="19">
        <f t="shared" si="10"/>
        <v>1033.216667</v>
      </c>
      <c r="K946" s="19"/>
      <c r="L946" s="19">
        <f t="shared" si="11"/>
        <v>991.2666667</v>
      </c>
      <c r="M946" s="19">
        <f t="shared" si="12"/>
        <v>1062.583333</v>
      </c>
      <c r="N946" s="19">
        <f t="shared" si="13"/>
        <v>978.6833333</v>
      </c>
    </row>
    <row r="947" ht="24.75" customHeight="1">
      <c r="A947" s="21" t="s">
        <v>910</v>
      </c>
      <c r="B947" s="13">
        <f>IFERROR(__xludf.DUMMYFUNCTION("GOOGLEFINANCE(A947,""PRICE"")"),2.24)</f>
        <v>2.24</v>
      </c>
      <c r="C947" s="14">
        <f>IFERROR(__xludf.DUMMYFUNCTION("GOOGLEFINANCE(A947,""PRICEOPEN"")"),2.26)</f>
        <v>2.26</v>
      </c>
      <c r="D947" s="14">
        <f>IFERROR(__xludf.DUMMYFUNCTION("GOOGLEFINANCE(A947,""HIGH"")"),2.3)</f>
        <v>2.3</v>
      </c>
      <c r="E947" s="14">
        <f>IFERROR(__xludf.DUMMYFUNCTION("GOOGLEFINANCE(A947,""LOW"")"),2.22)</f>
        <v>2.22</v>
      </c>
      <c r="F947" s="15" t="str">
        <f t="shared" si="8"/>
        <v/>
      </c>
      <c r="G947" s="16">
        <f>IFERROR(__xludf.DUMMYFUNCTION("GOOGLEFINANCE(A947,""CLOSEYEST"")"),2.26)</f>
        <v>2.26</v>
      </c>
      <c r="H947" s="17" t="str">
        <f t="shared" si="14"/>
        <v/>
      </c>
      <c r="I947" s="18">
        <f t="shared" si="9"/>
        <v>2.26</v>
      </c>
      <c r="J947" s="19">
        <f t="shared" si="10"/>
        <v>2.3</v>
      </c>
      <c r="K947" s="19"/>
      <c r="L947" s="19">
        <f t="shared" si="11"/>
        <v>2.22</v>
      </c>
      <c r="M947" s="19">
        <f t="shared" si="12"/>
        <v>2.34</v>
      </c>
      <c r="N947" s="19">
        <f t="shared" si="13"/>
        <v>2.18</v>
      </c>
    </row>
    <row r="948" ht="24.75" customHeight="1">
      <c r="A948" s="21" t="s">
        <v>911</v>
      </c>
      <c r="B948" s="13">
        <f>IFERROR(__xludf.DUMMYFUNCTION("GOOGLEFINANCE(A948,""PRICE"")"),1136.0)</f>
        <v>1136</v>
      </c>
      <c r="C948" s="14">
        <f>IFERROR(__xludf.DUMMYFUNCTION("GOOGLEFINANCE(A948,""PRICEOPEN"")"),1135.2)</f>
        <v>1135.2</v>
      </c>
      <c r="D948" s="14">
        <f>IFERROR(__xludf.DUMMYFUNCTION("GOOGLEFINANCE(A948,""HIGH"")"),1158.3)</f>
        <v>1158.3</v>
      </c>
      <c r="E948" s="14">
        <f>IFERROR(__xludf.DUMMYFUNCTION("GOOGLEFINANCE(A948,""LOW"")"),1122.2)</f>
        <v>1122.2</v>
      </c>
      <c r="F948" s="15" t="str">
        <f t="shared" si="8"/>
        <v/>
      </c>
      <c r="G948" s="16">
        <f>IFERROR(__xludf.DUMMYFUNCTION("GOOGLEFINANCE(A948,""CLOSEYEST"")"),1131.0)</f>
        <v>1131</v>
      </c>
      <c r="H948" s="17" t="str">
        <f t="shared" si="14"/>
        <v/>
      </c>
      <c r="I948" s="18">
        <f t="shared" si="9"/>
        <v>1137.166667</v>
      </c>
      <c r="J948" s="19">
        <f t="shared" si="10"/>
        <v>1152.133333</v>
      </c>
      <c r="K948" s="19"/>
      <c r="L948" s="19">
        <f t="shared" si="11"/>
        <v>1116.033333</v>
      </c>
      <c r="M948" s="19">
        <f t="shared" si="12"/>
        <v>1173.266667</v>
      </c>
      <c r="N948" s="19">
        <f t="shared" si="13"/>
        <v>1101.066667</v>
      </c>
    </row>
    <row r="949" ht="24.75" customHeight="1">
      <c r="A949" s="21" t="s">
        <v>912</v>
      </c>
      <c r="B949" s="13">
        <f>IFERROR(__xludf.DUMMYFUNCTION("GOOGLEFINANCE(A949,""PRICE"")"),1299.8)</f>
        <v>1299.8</v>
      </c>
      <c r="C949" s="14">
        <f>IFERROR(__xludf.DUMMYFUNCTION("GOOGLEFINANCE(A949,""PRICEOPEN"")"),1336.5)</f>
        <v>1336.5</v>
      </c>
      <c r="D949" s="14">
        <f>IFERROR(__xludf.DUMMYFUNCTION("GOOGLEFINANCE(A949,""HIGH"")"),1336.5)</f>
        <v>1336.5</v>
      </c>
      <c r="E949" s="14">
        <f>IFERROR(__xludf.DUMMYFUNCTION("GOOGLEFINANCE(A949,""LOW"")"),1291.0)</f>
        <v>1291</v>
      </c>
      <c r="F949" s="15" t="str">
        <f t="shared" si="8"/>
        <v>SELL</v>
      </c>
      <c r="G949" s="16">
        <f>IFERROR(__xludf.DUMMYFUNCTION("GOOGLEFINANCE(A949,""CLOSEYEST"")"),1318.1)</f>
        <v>1318.1</v>
      </c>
      <c r="H949" s="17" t="str">
        <f t="shared" si="14"/>
        <v>GAP UP</v>
      </c>
      <c r="I949" s="18">
        <f t="shared" si="9"/>
        <v>1315.2</v>
      </c>
      <c r="J949" s="19">
        <f t="shared" si="10"/>
        <v>1339.4</v>
      </c>
      <c r="K949" s="19"/>
      <c r="L949" s="19">
        <f t="shared" si="11"/>
        <v>1293.9</v>
      </c>
      <c r="M949" s="19">
        <f t="shared" si="12"/>
        <v>1360.7</v>
      </c>
      <c r="N949" s="19">
        <f t="shared" si="13"/>
        <v>1269.7</v>
      </c>
    </row>
    <row r="950" ht="24.75" customHeight="1">
      <c r="A950" s="21" t="s">
        <v>913</v>
      </c>
      <c r="B950" s="13">
        <f>IFERROR(__xludf.DUMMYFUNCTION("GOOGLEFINANCE(A950,""PRICE"")"),594.95)</f>
        <v>594.95</v>
      </c>
      <c r="C950" s="14">
        <f>IFERROR(__xludf.DUMMYFUNCTION("GOOGLEFINANCE(A950,""PRICEOPEN"")"),588.35)</f>
        <v>588.35</v>
      </c>
      <c r="D950" s="14">
        <f>IFERROR(__xludf.DUMMYFUNCTION("GOOGLEFINANCE(A950,""HIGH"")"),595.55)</f>
        <v>595.55</v>
      </c>
      <c r="E950" s="14">
        <f>IFERROR(__xludf.DUMMYFUNCTION("GOOGLEFINANCE(A950,""LOW"")"),584.85)</f>
        <v>584.85</v>
      </c>
      <c r="F950" s="15" t="str">
        <f t="shared" si="8"/>
        <v/>
      </c>
      <c r="G950" s="16">
        <f>IFERROR(__xludf.DUMMYFUNCTION("GOOGLEFINANCE(A950,""CLOSEYEST"")"),588.35)</f>
        <v>588.35</v>
      </c>
      <c r="H950" s="17" t="str">
        <f t="shared" si="14"/>
        <v/>
      </c>
      <c r="I950" s="18">
        <f t="shared" si="9"/>
        <v>589.5833333</v>
      </c>
      <c r="J950" s="19">
        <f t="shared" si="10"/>
        <v>594.3166667</v>
      </c>
      <c r="K950" s="19"/>
      <c r="L950" s="19">
        <f t="shared" si="11"/>
        <v>583.6166667</v>
      </c>
      <c r="M950" s="19">
        <f t="shared" si="12"/>
        <v>600.2833333</v>
      </c>
      <c r="N950" s="19">
        <f t="shared" si="13"/>
        <v>578.8833333</v>
      </c>
    </row>
    <row r="951" ht="24.75" customHeight="1">
      <c r="A951" s="21" t="s">
        <v>914</v>
      </c>
      <c r="B951" s="13">
        <f>IFERROR(__xludf.DUMMYFUNCTION("GOOGLEFINANCE(A951,""PRICE"")"),516.0)</f>
        <v>516</v>
      </c>
      <c r="C951" s="14">
        <f>IFERROR(__xludf.DUMMYFUNCTION("GOOGLEFINANCE(A951,""PRICEOPEN"")"),497.85)</f>
        <v>497.85</v>
      </c>
      <c r="D951" s="14">
        <f>IFERROR(__xludf.DUMMYFUNCTION("GOOGLEFINANCE(A951,""HIGH"")"),516.0)</f>
        <v>516</v>
      </c>
      <c r="E951" s="14">
        <f>IFERROR(__xludf.DUMMYFUNCTION("GOOGLEFINANCE(A951,""LOW"")"),494.0)</f>
        <v>494</v>
      </c>
      <c r="F951" s="15" t="str">
        <f t="shared" si="8"/>
        <v/>
      </c>
      <c r="G951" s="16">
        <f>IFERROR(__xludf.DUMMYFUNCTION("GOOGLEFINANCE(A951,""CLOSEYEST"")"),493.45)</f>
        <v>493.45</v>
      </c>
      <c r="H951" s="17" t="str">
        <f t="shared" si="14"/>
        <v/>
      </c>
      <c r="I951" s="18">
        <f t="shared" si="9"/>
        <v>501.15</v>
      </c>
      <c r="J951" s="19">
        <f t="shared" si="10"/>
        <v>508.3</v>
      </c>
      <c r="K951" s="19"/>
      <c r="L951" s="19">
        <f t="shared" si="11"/>
        <v>486.3</v>
      </c>
      <c r="M951" s="19">
        <f t="shared" si="12"/>
        <v>523.15</v>
      </c>
      <c r="N951" s="19">
        <f t="shared" si="13"/>
        <v>479.15</v>
      </c>
    </row>
    <row r="952" ht="24.75" customHeight="1">
      <c r="A952" s="21" t="s">
        <v>915</v>
      </c>
      <c r="B952" s="13">
        <f>IFERROR(__xludf.DUMMYFUNCTION("GOOGLEFINANCE(A952,""PRICE"")"),69.73)</f>
        <v>69.73</v>
      </c>
      <c r="C952" s="14">
        <f>IFERROR(__xludf.DUMMYFUNCTION("GOOGLEFINANCE(A952,""PRICEOPEN"")"),69.4)</f>
        <v>69.4</v>
      </c>
      <c r="D952" s="14">
        <f>IFERROR(__xludf.DUMMYFUNCTION("GOOGLEFINANCE(A952,""HIGH"")"),69.9)</f>
        <v>69.9</v>
      </c>
      <c r="E952" s="14">
        <f>IFERROR(__xludf.DUMMYFUNCTION("GOOGLEFINANCE(A952,""LOW"")"),68.81)</f>
        <v>68.81</v>
      </c>
      <c r="F952" s="15" t="str">
        <f t="shared" si="8"/>
        <v/>
      </c>
      <c r="G952" s="16">
        <f>IFERROR(__xludf.DUMMYFUNCTION("GOOGLEFINANCE(A952,""CLOSEYEST"")"),69.37)</f>
        <v>69.37</v>
      </c>
      <c r="H952" s="17" t="str">
        <f t="shared" si="14"/>
        <v/>
      </c>
      <c r="I952" s="18">
        <f t="shared" si="9"/>
        <v>69.36</v>
      </c>
      <c r="J952" s="19">
        <f t="shared" si="10"/>
        <v>69.91</v>
      </c>
      <c r="K952" s="19"/>
      <c r="L952" s="19">
        <f t="shared" si="11"/>
        <v>68.82</v>
      </c>
      <c r="M952" s="19">
        <f t="shared" si="12"/>
        <v>70.45</v>
      </c>
      <c r="N952" s="19">
        <f t="shared" si="13"/>
        <v>68.27</v>
      </c>
    </row>
    <row r="953" ht="24.75" customHeight="1">
      <c r="A953" s="21" t="s">
        <v>916</v>
      </c>
      <c r="B953" s="13">
        <f>IFERROR(__xludf.DUMMYFUNCTION("GOOGLEFINANCE(A953,""PRICE"")"),282.1)</f>
        <v>282.1</v>
      </c>
      <c r="C953" s="14">
        <f>IFERROR(__xludf.DUMMYFUNCTION("GOOGLEFINANCE(A953,""PRICEOPEN"")"),277.45)</f>
        <v>277.45</v>
      </c>
      <c r="D953" s="14">
        <f>IFERROR(__xludf.DUMMYFUNCTION("GOOGLEFINANCE(A953,""HIGH"")"),284.4)</f>
        <v>284.4</v>
      </c>
      <c r="E953" s="14">
        <f>IFERROR(__xludf.DUMMYFUNCTION("GOOGLEFINANCE(A953,""LOW"")"),275.15)</f>
        <v>275.15</v>
      </c>
      <c r="F953" s="15" t="str">
        <f t="shared" si="8"/>
        <v/>
      </c>
      <c r="G953" s="16">
        <f>IFERROR(__xludf.DUMMYFUNCTION("GOOGLEFINANCE(A953,""CLOSEYEST"")"),276.75)</f>
        <v>276.75</v>
      </c>
      <c r="H953" s="17" t="str">
        <f t="shared" si="14"/>
        <v/>
      </c>
      <c r="I953" s="18">
        <f t="shared" si="9"/>
        <v>278.7666667</v>
      </c>
      <c r="J953" s="19">
        <f t="shared" si="10"/>
        <v>282.3833333</v>
      </c>
      <c r="K953" s="19"/>
      <c r="L953" s="19">
        <f t="shared" si="11"/>
        <v>273.1333333</v>
      </c>
      <c r="M953" s="19">
        <f t="shared" si="12"/>
        <v>288.0166667</v>
      </c>
      <c r="N953" s="19">
        <f t="shared" si="13"/>
        <v>269.5166667</v>
      </c>
    </row>
    <row r="954" ht="24.75" customHeight="1">
      <c r="A954" s="21" t="s">
        <v>917</v>
      </c>
      <c r="B954" s="13">
        <f>IFERROR(__xludf.DUMMYFUNCTION("GOOGLEFINANCE(A954,""PRICE"")"),111.99)</f>
        <v>111.99</v>
      </c>
      <c r="C954" s="14">
        <f>IFERROR(__xludf.DUMMYFUNCTION("GOOGLEFINANCE(A954,""PRICEOPEN"")"),111.6)</f>
        <v>111.6</v>
      </c>
      <c r="D954" s="14">
        <f>IFERROR(__xludf.DUMMYFUNCTION("GOOGLEFINANCE(A954,""HIGH"")"),113.04)</f>
        <v>113.04</v>
      </c>
      <c r="E954" s="14">
        <f>IFERROR(__xludf.DUMMYFUNCTION("GOOGLEFINANCE(A954,""LOW"")"),110.73)</f>
        <v>110.73</v>
      </c>
      <c r="F954" s="15" t="str">
        <f t="shared" si="8"/>
        <v/>
      </c>
      <c r="G954" s="16">
        <f>IFERROR(__xludf.DUMMYFUNCTION("GOOGLEFINANCE(A954,""CLOSEYEST"")"),111.32)</f>
        <v>111.32</v>
      </c>
      <c r="H954" s="17" t="str">
        <f t="shared" si="14"/>
        <v/>
      </c>
      <c r="I954" s="18">
        <f t="shared" si="9"/>
        <v>111.6966667</v>
      </c>
      <c r="J954" s="19">
        <f t="shared" si="10"/>
        <v>112.6633333</v>
      </c>
      <c r="K954" s="19"/>
      <c r="L954" s="19">
        <f t="shared" si="11"/>
        <v>110.3533333</v>
      </c>
      <c r="M954" s="19">
        <f t="shared" si="12"/>
        <v>114.0066667</v>
      </c>
      <c r="N954" s="19">
        <f t="shared" si="13"/>
        <v>109.3866667</v>
      </c>
    </row>
    <row r="955" ht="24.75" customHeight="1">
      <c r="A955" s="21" t="s">
        <v>918</v>
      </c>
      <c r="B955" s="13" t="str">
        <f>IFERROR(__xludf.DUMMYFUNCTION("GOOGLEFINANCE(A955,""PRICE"")"),"#N/A")</f>
        <v>#N/A</v>
      </c>
      <c r="C955" s="14" t="str">
        <f>IFERROR(__xludf.DUMMYFUNCTION("GOOGLEFINANCE(A955,""PRICEOPEN"")"),"#N/A")</f>
        <v>#N/A</v>
      </c>
      <c r="D955" s="14" t="str">
        <f>IFERROR(__xludf.DUMMYFUNCTION("GOOGLEFINANCE(A955,""HIGH"")"),"#N/A")</f>
        <v>#N/A</v>
      </c>
      <c r="E955" s="14" t="str">
        <f>IFERROR(__xludf.DUMMYFUNCTION("GOOGLEFINANCE(A955,""LOW"")"),"#N/A")</f>
        <v>#N/A</v>
      </c>
      <c r="F955" s="15" t="str">
        <f t="shared" si="8"/>
        <v>#N/A</v>
      </c>
      <c r="G955" s="16" t="str">
        <f>IFERROR(__xludf.DUMMYFUNCTION("GOOGLEFINANCE(A955,""CLOSEYEST"")"),"#N/A")</f>
        <v>#N/A</v>
      </c>
      <c r="H955" s="17" t="str">
        <f t="shared" si="14"/>
        <v>#N/A</v>
      </c>
      <c r="I955" s="18" t="str">
        <f t="shared" si="9"/>
        <v>#N/A</v>
      </c>
      <c r="J955" s="19" t="str">
        <f t="shared" si="10"/>
        <v>#N/A</v>
      </c>
      <c r="K955" s="19"/>
      <c r="L955" s="19" t="str">
        <f t="shared" si="11"/>
        <v>#N/A</v>
      </c>
      <c r="M955" s="19" t="str">
        <f t="shared" si="12"/>
        <v>#N/A</v>
      </c>
      <c r="N955" s="19" t="str">
        <f t="shared" si="13"/>
        <v>#N/A</v>
      </c>
    </row>
    <row r="956" ht="24.75" customHeight="1">
      <c r="A956" s="21" t="s">
        <v>919</v>
      </c>
      <c r="B956" s="13">
        <f>IFERROR(__xludf.DUMMYFUNCTION("GOOGLEFINANCE(A956,""PRICE"")"),288.25)</f>
        <v>288.25</v>
      </c>
      <c r="C956" s="14">
        <f>IFERROR(__xludf.DUMMYFUNCTION("GOOGLEFINANCE(A956,""PRICEOPEN"")"),284.4)</f>
        <v>284.4</v>
      </c>
      <c r="D956" s="14">
        <f>IFERROR(__xludf.DUMMYFUNCTION("GOOGLEFINANCE(A956,""HIGH"")"),288.8)</f>
        <v>288.8</v>
      </c>
      <c r="E956" s="14">
        <f>IFERROR(__xludf.DUMMYFUNCTION("GOOGLEFINANCE(A956,""LOW"")"),282.7)</f>
        <v>282.7</v>
      </c>
      <c r="F956" s="15" t="str">
        <f t="shared" si="8"/>
        <v/>
      </c>
      <c r="G956" s="16">
        <f>IFERROR(__xludf.DUMMYFUNCTION("GOOGLEFINANCE(A956,""CLOSEYEST"")"),283.05)</f>
        <v>283.05</v>
      </c>
      <c r="H956" s="17" t="str">
        <f t="shared" si="14"/>
        <v/>
      </c>
      <c r="I956" s="18">
        <f t="shared" si="9"/>
        <v>284.85</v>
      </c>
      <c r="J956" s="19">
        <f t="shared" si="10"/>
        <v>287</v>
      </c>
      <c r="K956" s="19"/>
      <c r="L956" s="19">
        <f t="shared" si="11"/>
        <v>280.9</v>
      </c>
      <c r="M956" s="19">
        <f t="shared" si="12"/>
        <v>290.95</v>
      </c>
      <c r="N956" s="19">
        <f t="shared" si="13"/>
        <v>278.75</v>
      </c>
    </row>
    <row r="957" ht="24.75" customHeight="1">
      <c r="A957" s="21" t="s">
        <v>920</v>
      </c>
      <c r="B957" s="13">
        <f>IFERROR(__xludf.DUMMYFUNCTION("GOOGLEFINANCE(A957,""PRICE"")"),11.6)</f>
        <v>11.6</v>
      </c>
      <c r="C957" s="14">
        <f>IFERROR(__xludf.DUMMYFUNCTION("GOOGLEFINANCE(A957,""PRICEOPEN"")"),11.56)</f>
        <v>11.56</v>
      </c>
      <c r="D957" s="14">
        <f>IFERROR(__xludf.DUMMYFUNCTION("GOOGLEFINANCE(A957,""HIGH"")"),11.65)</f>
        <v>11.65</v>
      </c>
      <c r="E957" s="14">
        <f>IFERROR(__xludf.DUMMYFUNCTION("GOOGLEFINANCE(A957,""LOW"")"),11.45)</f>
        <v>11.45</v>
      </c>
      <c r="F957" s="15" t="str">
        <f t="shared" si="8"/>
        <v/>
      </c>
      <c r="G957" s="16">
        <f>IFERROR(__xludf.DUMMYFUNCTION("GOOGLEFINANCE(A957,""CLOSEYEST"")"),11.57)</f>
        <v>11.57</v>
      </c>
      <c r="H957" s="17" t="str">
        <f t="shared" si="14"/>
        <v/>
      </c>
      <c r="I957" s="18">
        <f t="shared" si="9"/>
        <v>11.55666667</v>
      </c>
      <c r="J957" s="19">
        <f t="shared" si="10"/>
        <v>11.66333333</v>
      </c>
      <c r="K957" s="19"/>
      <c r="L957" s="19">
        <f t="shared" si="11"/>
        <v>11.46333333</v>
      </c>
      <c r="M957" s="19">
        <f t="shared" si="12"/>
        <v>11.75666667</v>
      </c>
      <c r="N957" s="19">
        <f t="shared" si="13"/>
        <v>11.35666667</v>
      </c>
    </row>
    <row r="958" ht="24.75" customHeight="1">
      <c r="A958" s="21" t="s">
        <v>921</v>
      </c>
      <c r="B958" s="13">
        <f>IFERROR(__xludf.DUMMYFUNCTION("GOOGLEFINANCE(A958,""PRICE"")"),1.86)</f>
        <v>1.86</v>
      </c>
      <c r="C958" s="14">
        <f>IFERROR(__xludf.DUMMYFUNCTION("GOOGLEFINANCE(A958,""PRICEOPEN"")"),1.85)</f>
        <v>1.85</v>
      </c>
      <c r="D958" s="14">
        <f>IFERROR(__xludf.DUMMYFUNCTION("GOOGLEFINANCE(A958,""HIGH"")"),1.87)</f>
        <v>1.87</v>
      </c>
      <c r="E958" s="14">
        <f>IFERROR(__xludf.DUMMYFUNCTION("GOOGLEFINANCE(A958,""LOW"")"),1.73)</f>
        <v>1.73</v>
      </c>
      <c r="F958" s="15" t="str">
        <f t="shared" si="8"/>
        <v/>
      </c>
      <c r="G958" s="16">
        <f>IFERROR(__xludf.DUMMYFUNCTION("GOOGLEFINANCE(A958,""CLOSEYEST"")"),1.79)</f>
        <v>1.79</v>
      </c>
      <c r="H958" s="17" t="str">
        <f t="shared" si="14"/>
        <v>GAP UP</v>
      </c>
      <c r="I958" s="18">
        <f t="shared" si="9"/>
        <v>1.796666667</v>
      </c>
      <c r="J958" s="19">
        <f t="shared" si="10"/>
        <v>1.863333333</v>
      </c>
      <c r="K958" s="19"/>
      <c r="L958" s="19">
        <f t="shared" si="11"/>
        <v>1.723333333</v>
      </c>
      <c r="M958" s="19">
        <f t="shared" si="12"/>
        <v>1.936666667</v>
      </c>
      <c r="N958" s="19">
        <f t="shared" si="13"/>
        <v>1.656666667</v>
      </c>
    </row>
    <row r="959" ht="24.75" customHeight="1">
      <c r="A959" s="21" t="s">
        <v>922</v>
      </c>
      <c r="B959" s="13">
        <f>IFERROR(__xludf.DUMMYFUNCTION("GOOGLEFINANCE(A959,""PRICE"")"),387.85)</f>
        <v>387.85</v>
      </c>
      <c r="C959" s="14">
        <f>IFERROR(__xludf.DUMMYFUNCTION("GOOGLEFINANCE(A959,""PRICEOPEN"")"),375.0)</f>
        <v>375</v>
      </c>
      <c r="D959" s="14">
        <f>IFERROR(__xludf.DUMMYFUNCTION("GOOGLEFINANCE(A959,""HIGH"")"),393.3)</f>
        <v>393.3</v>
      </c>
      <c r="E959" s="14">
        <f>IFERROR(__xludf.DUMMYFUNCTION("GOOGLEFINANCE(A959,""LOW"")"),375.0)</f>
        <v>375</v>
      </c>
      <c r="F959" s="15" t="str">
        <f t="shared" si="8"/>
        <v>BUY</v>
      </c>
      <c r="G959" s="16">
        <f>IFERROR(__xludf.DUMMYFUNCTION("GOOGLEFINANCE(A959,""CLOSEYEST"")"),376.65)</f>
        <v>376.65</v>
      </c>
      <c r="H959" s="17" t="str">
        <f t="shared" si="14"/>
        <v/>
      </c>
      <c r="I959" s="18">
        <f t="shared" si="9"/>
        <v>381.65</v>
      </c>
      <c r="J959" s="19">
        <f t="shared" si="10"/>
        <v>388.3</v>
      </c>
      <c r="K959" s="19"/>
      <c r="L959" s="19">
        <f t="shared" si="11"/>
        <v>370</v>
      </c>
      <c r="M959" s="19">
        <f t="shared" si="12"/>
        <v>399.95</v>
      </c>
      <c r="N959" s="19">
        <f t="shared" si="13"/>
        <v>363.35</v>
      </c>
    </row>
    <row r="960" ht="24.75" customHeight="1">
      <c r="A960" s="21" t="s">
        <v>923</v>
      </c>
      <c r="B960" s="13">
        <f>IFERROR(__xludf.DUMMYFUNCTION("GOOGLEFINANCE(A960,""PRICE"")"),268.0)</f>
        <v>268</v>
      </c>
      <c r="C960" s="14">
        <f>IFERROR(__xludf.DUMMYFUNCTION("GOOGLEFINANCE(A960,""PRICEOPEN"")"),260.0)</f>
        <v>260</v>
      </c>
      <c r="D960" s="14">
        <f>IFERROR(__xludf.DUMMYFUNCTION("GOOGLEFINANCE(A960,""HIGH"")"),270.0)</f>
        <v>270</v>
      </c>
      <c r="E960" s="14">
        <f>IFERROR(__xludf.DUMMYFUNCTION("GOOGLEFINANCE(A960,""LOW"")"),257.29)</f>
        <v>257.29</v>
      </c>
      <c r="F960" s="15" t="str">
        <f t="shared" si="8"/>
        <v/>
      </c>
      <c r="G960" s="16">
        <f>IFERROR(__xludf.DUMMYFUNCTION("GOOGLEFINANCE(A960,""CLOSEYEST"")"),257.97)</f>
        <v>257.97</v>
      </c>
      <c r="H960" s="17" t="str">
        <f t="shared" si="14"/>
        <v/>
      </c>
      <c r="I960" s="18">
        <f t="shared" si="9"/>
        <v>261.7533333</v>
      </c>
      <c r="J960" s="19">
        <f t="shared" si="10"/>
        <v>266.2166667</v>
      </c>
      <c r="K960" s="19"/>
      <c r="L960" s="19">
        <f t="shared" si="11"/>
        <v>253.5066667</v>
      </c>
      <c r="M960" s="19">
        <f t="shared" si="12"/>
        <v>274.4633333</v>
      </c>
      <c r="N960" s="19">
        <f t="shared" si="13"/>
        <v>249.0433333</v>
      </c>
    </row>
    <row r="961" ht="24.75" customHeight="1">
      <c r="A961" s="21" t="s">
        <v>924</v>
      </c>
      <c r="B961" s="13">
        <f>IFERROR(__xludf.DUMMYFUNCTION("GOOGLEFINANCE(A961,""PRICE"")"),487.0)</f>
        <v>487</v>
      </c>
      <c r="C961" s="14">
        <f>IFERROR(__xludf.DUMMYFUNCTION("GOOGLEFINANCE(A961,""PRICEOPEN"")"),482.0)</f>
        <v>482</v>
      </c>
      <c r="D961" s="14">
        <f>IFERROR(__xludf.DUMMYFUNCTION("GOOGLEFINANCE(A961,""HIGH"")"),487.25)</f>
        <v>487.25</v>
      </c>
      <c r="E961" s="14">
        <f>IFERROR(__xludf.DUMMYFUNCTION("GOOGLEFINANCE(A961,""LOW"")"),475.15)</f>
        <v>475.15</v>
      </c>
      <c r="F961" s="15" t="str">
        <f t="shared" si="8"/>
        <v/>
      </c>
      <c r="G961" s="16">
        <f>IFERROR(__xludf.DUMMYFUNCTION("GOOGLEFINANCE(A961,""CLOSEYEST"")"),477.75)</f>
        <v>477.75</v>
      </c>
      <c r="H961" s="17" t="str">
        <f t="shared" si="14"/>
        <v/>
      </c>
      <c r="I961" s="18">
        <f t="shared" si="9"/>
        <v>480.05</v>
      </c>
      <c r="J961" s="19">
        <f t="shared" si="10"/>
        <v>484.95</v>
      </c>
      <c r="K961" s="19"/>
      <c r="L961" s="19">
        <f t="shared" si="11"/>
        <v>472.85</v>
      </c>
      <c r="M961" s="19">
        <f t="shared" si="12"/>
        <v>492.15</v>
      </c>
      <c r="N961" s="19">
        <f t="shared" si="13"/>
        <v>467.95</v>
      </c>
    </row>
    <row r="962" ht="24.75" customHeight="1">
      <c r="A962" s="21" t="s">
        <v>925</v>
      </c>
      <c r="B962" s="13">
        <f>IFERROR(__xludf.DUMMYFUNCTION("GOOGLEFINANCE(A962,""PRICE"")"),498.9)</f>
        <v>498.9</v>
      </c>
      <c r="C962" s="14">
        <f>IFERROR(__xludf.DUMMYFUNCTION("GOOGLEFINANCE(A962,""PRICEOPEN"")"),504.95)</f>
        <v>504.95</v>
      </c>
      <c r="D962" s="14">
        <f>IFERROR(__xludf.DUMMYFUNCTION("GOOGLEFINANCE(A962,""HIGH"")"),509.7)</f>
        <v>509.7</v>
      </c>
      <c r="E962" s="14">
        <f>IFERROR(__xludf.DUMMYFUNCTION("GOOGLEFINANCE(A962,""LOW"")"),491.3)</f>
        <v>491.3</v>
      </c>
      <c r="F962" s="15" t="str">
        <f t="shared" si="8"/>
        <v/>
      </c>
      <c r="G962" s="16">
        <f>IFERROR(__xludf.DUMMYFUNCTION("GOOGLEFINANCE(A962,""CLOSEYEST"")"),504.1)</f>
        <v>504.1</v>
      </c>
      <c r="H962" s="17" t="str">
        <f t="shared" si="14"/>
        <v/>
      </c>
      <c r="I962" s="18">
        <f t="shared" si="9"/>
        <v>501.7</v>
      </c>
      <c r="J962" s="19">
        <f t="shared" si="10"/>
        <v>512.1</v>
      </c>
      <c r="K962" s="19"/>
      <c r="L962" s="19">
        <f t="shared" si="11"/>
        <v>493.7</v>
      </c>
      <c r="M962" s="19">
        <f t="shared" si="12"/>
        <v>520.1</v>
      </c>
      <c r="N962" s="19">
        <f t="shared" si="13"/>
        <v>483.3</v>
      </c>
    </row>
    <row r="963" ht="24.75" customHeight="1">
      <c r="A963" s="21" t="s">
        <v>926</v>
      </c>
      <c r="B963" s="13">
        <f>IFERROR(__xludf.DUMMYFUNCTION("GOOGLEFINANCE(A963,""PRICE"")"),90.42)</f>
        <v>90.42</v>
      </c>
      <c r="C963" s="14">
        <f>IFERROR(__xludf.DUMMYFUNCTION("GOOGLEFINANCE(A963,""PRICEOPEN"")"),91.7)</f>
        <v>91.7</v>
      </c>
      <c r="D963" s="14">
        <f>IFERROR(__xludf.DUMMYFUNCTION("GOOGLEFINANCE(A963,""HIGH"")"),92.32)</f>
        <v>92.32</v>
      </c>
      <c r="E963" s="14">
        <f>IFERROR(__xludf.DUMMYFUNCTION("GOOGLEFINANCE(A963,""LOW"")"),90.4)</f>
        <v>90.4</v>
      </c>
      <c r="F963" s="15" t="str">
        <f t="shared" si="8"/>
        <v/>
      </c>
      <c r="G963" s="16">
        <f>IFERROR(__xludf.DUMMYFUNCTION("GOOGLEFINANCE(A963,""CLOSEYEST"")"),91.64)</f>
        <v>91.64</v>
      </c>
      <c r="H963" s="17" t="str">
        <f t="shared" si="14"/>
        <v/>
      </c>
      <c r="I963" s="18">
        <f t="shared" si="9"/>
        <v>91.45333333</v>
      </c>
      <c r="J963" s="19">
        <f t="shared" si="10"/>
        <v>92.50666667</v>
      </c>
      <c r="K963" s="19"/>
      <c r="L963" s="19">
        <f t="shared" si="11"/>
        <v>90.58666667</v>
      </c>
      <c r="M963" s="19">
        <f t="shared" si="12"/>
        <v>93.37333333</v>
      </c>
      <c r="N963" s="19">
        <f t="shared" si="13"/>
        <v>89.53333333</v>
      </c>
    </row>
    <row r="964" ht="24.75" customHeight="1">
      <c r="A964" s="21" t="s">
        <v>927</v>
      </c>
      <c r="B964" s="13">
        <f>IFERROR(__xludf.DUMMYFUNCTION("GOOGLEFINANCE(A964,""PRICE"")"),8.72)</f>
        <v>8.72</v>
      </c>
      <c r="C964" s="14">
        <f>IFERROR(__xludf.DUMMYFUNCTION("GOOGLEFINANCE(A964,""PRICEOPEN"")"),8.58)</f>
        <v>8.58</v>
      </c>
      <c r="D964" s="14">
        <f>IFERROR(__xludf.DUMMYFUNCTION("GOOGLEFINANCE(A964,""HIGH"")"),8.82)</f>
        <v>8.82</v>
      </c>
      <c r="E964" s="14">
        <f>IFERROR(__xludf.DUMMYFUNCTION("GOOGLEFINANCE(A964,""LOW"")"),8.57)</f>
        <v>8.57</v>
      </c>
      <c r="F964" s="15" t="str">
        <f t="shared" si="8"/>
        <v/>
      </c>
      <c r="G964" s="16">
        <f>IFERROR(__xludf.DUMMYFUNCTION("GOOGLEFINANCE(A964,""CLOSEYEST"")"),8.4)</f>
        <v>8.4</v>
      </c>
      <c r="H964" s="17" t="str">
        <f t="shared" si="14"/>
        <v>GAP UP</v>
      </c>
      <c r="I964" s="18">
        <f t="shared" si="9"/>
        <v>8.596666667</v>
      </c>
      <c r="J964" s="19">
        <f t="shared" si="10"/>
        <v>8.623333333</v>
      </c>
      <c r="K964" s="19"/>
      <c r="L964" s="19">
        <f t="shared" si="11"/>
        <v>8.373333333</v>
      </c>
      <c r="M964" s="19">
        <f t="shared" si="12"/>
        <v>8.846666667</v>
      </c>
      <c r="N964" s="19">
        <f t="shared" si="13"/>
        <v>8.346666667</v>
      </c>
    </row>
    <row r="965" ht="24.75" customHeight="1">
      <c r="A965" s="21" t="s">
        <v>928</v>
      </c>
      <c r="B965" s="13">
        <f>IFERROR(__xludf.DUMMYFUNCTION("GOOGLEFINANCE(A965,""PRICE"")"),199.85)</f>
        <v>199.85</v>
      </c>
      <c r="C965" s="14">
        <f>IFERROR(__xludf.DUMMYFUNCTION("GOOGLEFINANCE(A965,""PRICEOPEN"")"),199.89)</f>
        <v>199.89</v>
      </c>
      <c r="D965" s="14">
        <f>IFERROR(__xludf.DUMMYFUNCTION("GOOGLEFINANCE(A965,""HIGH"")"),200.5)</f>
        <v>200.5</v>
      </c>
      <c r="E965" s="14">
        <f>IFERROR(__xludf.DUMMYFUNCTION("GOOGLEFINANCE(A965,""LOW"")"),197.75)</f>
        <v>197.75</v>
      </c>
      <c r="F965" s="15" t="str">
        <f t="shared" si="8"/>
        <v/>
      </c>
      <c r="G965" s="16">
        <f>IFERROR(__xludf.DUMMYFUNCTION("GOOGLEFINANCE(A965,""CLOSEYEST"")"),198.2)</f>
        <v>198.2</v>
      </c>
      <c r="H965" s="17" t="str">
        <f t="shared" si="14"/>
        <v/>
      </c>
      <c r="I965" s="18">
        <f t="shared" si="9"/>
        <v>198.8166667</v>
      </c>
      <c r="J965" s="19">
        <f t="shared" si="10"/>
        <v>199.8833333</v>
      </c>
      <c r="K965" s="19"/>
      <c r="L965" s="19">
        <f t="shared" si="11"/>
        <v>197.1333333</v>
      </c>
      <c r="M965" s="19">
        <f t="shared" si="12"/>
        <v>201.5666667</v>
      </c>
      <c r="N965" s="19">
        <f t="shared" si="13"/>
        <v>196.0666667</v>
      </c>
    </row>
    <row r="966" ht="24.75" customHeight="1">
      <c r="A966" s="21" t="s">
        <v>929</v>
      </c>
      <c r="B966" s="13">
        <f>IFERROR(__xludf.DUMMYFUNCTION("GOOGLEFINANCE(A966,""PRICE"")"),178.8)</f>
        <v>178.8</v>
      </c>
      <c r="C966" s="14">
        <f>IFERROR(__xludf.DUMMYFUNCTION("GOOGLEFINANCE(A966,""PRICEOPEN"")"),173.29)</f>
        <v>173.29</v>
      </c>
      <c r="D966" s="14">
        <f>IFERROR(__xludf.DUMMYFUNCTION("GOOGLEFINANCE(A966,""HIGH"")"),181.9)</f>
        <v>181.9</v>
      </c>
      <c r="E966" s="14">
        <f>IFERROR(__xludf.DUMMYFUNCTION("GOOGLEFINANCE(A966,""LOW"")"),173.29)</f>
        <v>173.29</v>
      </c>
      <c r="F966" s="15" t="str">
        <f t="shared" si="8"/>
        <v>BUY</v>
      </c>
      <c r="G966" s="16">
        <f>IFERROR(__xludf.DUMMYFUNCTION("GOOGLEFINANCE(A966,""CLOSEYEST"")"),173.29)</f>
        <v>173.29</v>
      </c>
      <c r="H966" s="17" t="str">
        <f t="shared" si="14"/>
        <v/>
      </c>
      <c r="I966" s="18">
        <f t="shared" si="9"/>
        <v>176.16</v>
      </c>
      <c r="J966" s="19">
        <f t="shared" si="10"/>
        <v>179.03</v>
      </c>
      <c r="K966" s="19"/>
      <c r="L966" s="19">
        <f t="shared" si="11"/>
        <v>170.42</v>
      </c>
      <c r="M966" s="19">
        <f t="shared" si="12"/>
        <v>184.77</v>
      </c>
      <c r="N966" s="19">
        <f t="shared" si="13"/>
        <v>167.55</v>
      </c>
    </row>
    <row r="967" ht="24.75" customHeight="1">
      <c r="A967" s="21" t="s">
        <v>930</v>
      </c>
      <c r="B967" s="13">
        <f>IFERROR(__xludf.DUMMYFUNCTION("GOOGLEFINANCE(A967,""PRICE"")"),169.5)</f>
        <v>169.5</v>
      </c>
      <c r="C967" s="14">
        <f>IFERROR(__xludf.DUMMYFUNCTION("GOOGLEFINANCE(A967,""PRICEOPEN"")"),166.95)</f>
        <v>166.95</v>
      </c>
      <c r="D967" s="14">
        <f>IFERROR(__xludf.DUMMYFUNCTION("GOOGLEFINANCE(A967,""HIGH"")"),171.04)</f>
        <v>171.04</v>
      </c>
      <c r="E967" s="14">
        <f>IFERROR(__xludf.DUMMYFUNCTION("GOOGLEFINANCE(A967,""LOW"")"),165.73)</f>
        <v>165.73</v>
      </c>
      <c r="F967" s="15" t="str">
        <f t="shared" si="8"/>
        <v/>
      </c>
      <c r="G967" s="16">
        <f>IFERROR(__xludf.DUMMYFUNCTION("GOOGLEFINANCE(A967,""CLOSEYEST"")"),166.19)</f>
        <v>166.19</v>
      </c>
      <c r="H967" s="17" t="str">
        <f t="shared" si="14"/>
        <v/>
      </c>
      <c r="I967" s="18">
        <f t="shared" si="9"/>
        <v>167.6533333</v>
      </c>
      <c r="J967" s="19">
        <f t="shared" si="10"/>
        <v>169.5766667</v>
      </c>
      <c r="K967" s="19"/>
      <c r="L967" s="19">
        <f t="shared" si="11"/>
        <v>164.2666667</v>
      </c>
      <c r="M967" s="19">
        <f t="shared" si="12"/>
        <v>172.9633333</v>
      </c>
      <c r="N967" s="19">
        <f t="shared" si="13"/>
        <v>162.3433333</v>
      </c>
    </row>
    <row r="968" ht="24.75" customHeight="1">
      <c r="A968" s="21" t="s">
        <v>931</v>
      </c>
      <c r="B968" s="13">
        <f>IFERROR(__xludf.DUMMYFUNCTION("GOOGLEFINANCE(A968,""PRICE"")"),81.35)</f>
        <v>81.35</v>
      </c>
      <c r="C968" s="14">
        <f>IFERROR(__xludf.DUMMYFUNCTION("GOOGLEFINANCE(A968,""PRICEOPEN"")"),78.45)</f>
        <v>78.45</v>
      </c>
      <c r="D968" s="14">
        <f>IFERROR(__xludf.DUMMYFUNCTION("GOOGLEFINANCE(A968,""HIGH"")"),82.15)</f>
        <v>82.15</v>
      </c>
      <c r="E968" s="14">
        <f>IFERROR(__xludf.DUMMYFUNCTION("GOOGLEFINANCE(A968,""LOW"")"),78.45)</f>
        <v>78.45</v>
      </c>
      <c r="F968" s="15" t="str">
        <f t="shared" si="8"/>
        <v>BUY</v>
      </c>
      <c r="G968" s="16">
        <f>IFERROR(__xludf.DUMMYFUNCTION("GOOGLEFINANCE(A968,""CLOSEYEST"")"),78.45)</f>
        <v>78.45</v>
      </c>
      <c r="H968" s="17" t="str">
        <f t="shared" si="14"/>
        <v/>
      </c>
      <c r="I968" s="18">
        <f t="shared" si="9"/>
        <v>79.68333333</v>
      </c>
      <c r="J968" s="19">
        <f t="shared" si="10"/>
        <v>80.91666667</v>
      </c>
      <c r="K968" s="19"/>
      <c r="L968" s="19">
        <f t="shared" si="11"/>
        <v>77.21666667</v>
      </c>
      <c r="M968" s="19">
        <f t="shared" si="12"/>
        <v>83.38333333</v>
      </c>
      <c r="N968" s="19">
        <f t="shared" si="13"/>
        <v>75.98333333</v>
      </c>
    </row>
    <row r="969" ht="24.75" customHeight="1">
      <c r="A969" s="21" t="s">
        <v>932</v>
      </c>
      <c r="B969" s="13">
        <f>IFERROR(__xludf.DUMMYFUNCTION("GOOGLEFINANCE(A969,""PRICE"")"),196.16)</f>
        <v>196.16</v>
      </c>
      <c r="C969" s="14">
        <f>IFERROR(__xludf.DUMMYFUNCTION("GOOGLEFINANCE(A969,""PRICEOPEN"")"),203.7)</f>
        <v>203.7</v>
      </c>
      <c r="D969" s="14">
        <f>IFERROR(__xludf.DUMMYFUNCTION("GOOGLEFINANCE(A969,""HIGH"")"),203.7)</f>
        <v>203.7</v>
      </c>
      <c r="E969" s="14">
        <f>IFERROR(__xludf.DUMMYFUNCTION("GOOGLEFINANCE(A969,""LOW"")"),196.01)</f>
        <v>196.01</v>
      </c>
      <c r="F969" s="15" t="str">
        <f t="shared" si="8"/>
        <v>SELL</v>
      </c>
      <c r="G969" s="16">
        <f>IFERROR(__xludf.DUMMYFUNCTION("GOOGLEFINANCE(A969,""CLOSEYEST"")"),198.9)</f>
        <v>198.9</v>
      </c>
      <c r="H969" s="17" t="str">
        <f t="shared" si="14"/>
        <v>GAP UP</v>
      </c>
      <c r="I969" s="18">
        <f t="shared" si="9"/>
        <v>199.5366667</v>
      </c>
      <c r="J969" s="19">
        <f t="shared" si="10"/>
        <v>203.0633333</v>
      </c>
      <c r="K969" s="19"/>
      <c r="L969" s="19">
        <f t="shared" si="11"/>
        <v>195.3733333</v>
      </c>
      <c r="M969" s="19">
        <f t="shared" si="12"/>
        <v>207.2266667</v>
      </c>
      <c r="N969" s="19">
        <f t="shared" si="13"/>
        <v>191.8466667</v>
      </c>
    </row>
    <row r="970" ht="24.75" customHeight="1">
      <c r="A970" s="21" t="s">
        <v>933</v>
      </c>
      <c r="B970" s="13">
        <f>IFERROR(__xludf.DUMMYFUNCTION("GOOGLEFINANCE(A970,""PRICE"")"),1.45)</f>
        <v>1.45</v>
      </c>
      <c r="C970" s="14">
        <f>IFERROR(__xludf.DUMMYFUNCTION("GOOGLEFINANCE(A970,""PRICEOPEN"")"),1.4)</f>
        <v>1.4</v>
      </c>
      <c r="D970" s="14">
        <f>IFERROR(__xludf.DUMMYFUNCTION("GOOGLEFINANCE(A970,""HIGH"")"),1.45)</f>
        <v>1.45</v>
      </c>
      <c r="E970" s="14">
        <f>IFERROR(__xludf.DUMMYFUNCTION("GOOGLEFINANCE(A970,""LOW"")"),1.38)</f>
        <v>1.38</v>
      </c>
      <c r="F970" s="15" t="str">
        <f t="shared" si="8"/>
        <v/>
      </c>
      <c r="G970" s="16">
        <f>IFERROR(__xludf.DUMMYFUNCTION("GOOGLEFINANCE(A970,""CLOSEYEST"")"),1.39)</f>
        <v>1.39</v>
      </c>
      <c r="H970" s="17" t="str">
        <f t="shared" si="14"/>
        <v/>
      </c>
      <c r="I970" s="18">
        <f t="shared" si="9"/>
        <v>1.406666667</v>
      </c>
      <c r="J970" s="19">
        <f t="shared" si="10"/>
        <v>1.433333333</v>
      </c>
      <c r="K970" s="19"/>
      <c r="L970" s="19">
        <f t="shared" si="11"/>
        <v>1.363333333</v>
      </c>
      <c r="M970" s="19">
        <f t="shared" si="12"/>
        <v>1.476666667</v>
      </c>
      <c r="N970" s="19">
        <f t="shared" si="13"/>
        <v>1.336666667</v>
      </c>
    </row>
    <row r="971" ht="24.75" customHeight="1">
      <c r="A971" s="21" t="s">
        <v>934</v>
      </c>
      <c r="B971" s="13" t="str">
        <f>IFERROR(__xludf.DUMMYFUNCTION("GOOGLEFINANCE(A971,""PRICE"")"),"#N/A")</f>
        <v>#N/A</v>
      </c>
      <c r="C971" s="14" t="str">
        <f>IFERROR(__xludf.DUMMYFUNCTION("GOOGLEFINANCE(A971,""PRICEOPEN"")"),"#N/A")</f>
        <v>#N/A</v>
      </c>
      <c r="D971" s="14" t="str">
        <f>IFERROR(__xludf.DUMMYFUNCTION("GOOGLEFINANCE(A971,""HIGH"")"),"#N/A")</f>
        <v>#N/A</v>
      </c>
      <c r="E971" s="14" t="str">
        <f>IFERROR(__xludf.DUMMYFUNCTION("GOOGLEFINANCE(A971,""LOW"")"),"#N/A")</f>
        <v>#N/A</v>
      </c>
      <c r="F971" s="15" t="str">
        <f t="shared" si="8"/>
        <v>#N/A</v>
      </c>
      <c r="G971" s="16" t="str">
        <f>IFERROR(__xludf.DUMMYFUNCTION("GOOGLEFINANCE(A971,""CLOSEYEST"")"),"#N/A")</f>
        <v>#N/A</v>
      </c>
      <c r="H971" s="17" t="str">
        <f t="shared" si="14"/>
        <v>#N/A</v>
      </c>
      <c r="I971" s="18" t="str">
        <f t="shared" si="9"/>
        <v>#N/A</v>
      </c>
      <c r="J971" s="19" t="str">
        <f t="shared" si="10"/>
        <v>#N/A</v>
      </c>
      <c r="K971" s="19"/>
      <c r="L971" s="19" t="str">
        <f t="shared" si="11"/>
        <v>#N/A</v>
      </c>
      <c r="M971" s="19" t="str">
        <f t="shared" si="12"/>
        <v>#N/A</v>
      </c>
      <c r="N971" s="19" t="str">
        <f t="shared" si="13"/>
        <v>#N/A</v>
      </c>
    </row>
    <row r="972" ht="24.75" customHeight="1">
      <c r="A972" s="21" t="s">
        <v>935</v>
      </c>
      <c r="B972" s="13">
        <f>IFERROR(__xludf.DUMMYFUNCTION("GOOGLEFINANCE(A972,""PRICE"")"),95.66)</f>
        <v>95.66</v>
      </c>
      <c r="C972" s="14">
        <f>IFERROR(__xludf.DUMMYFUNCTION("GOOGLEFINANCE(A972,""PRICEOPEN"")"),93.1)</f>
        <v>93.1</v>
      </c>
      <c r="D972" s="14">
        <f>IFERROR(__xludf.DUMMYFUNCTION("GOOGLEFINANCE(A972,""HIGH"")"),96.5)</f>
        <v>96.5</v>
      </c>
      <c r="E972" s="14">
        <f>IFERROR(__xludf.DUMMYFUNCTION("GOOGLEFINANCE(A972,""LOW"")"),91.66)</f>
        <v>91.66</v>
      </c>
      <c r="F972" s="15" t="str">
        <f t="shared" si="8"/>
        <v/>
      </c>
      <c r="G972" s="16">
        <f>IFERROR(__xludf.DUMMYFUNCTION("GOOGLEFINANCE(A972,""CLOSEYEST"")"),92.11)</f>
        <v>92.11</v>
      </c>
      <c r="H972" s="17" t="str">
        <f t="shared" si="14"/>
        <v>GAP UP</v>
      </c>
      <c r="I972" s="18">
        <f t="shared" si="9"/>
        <v>93.42333333</v>
      </c>
      <c r="J972" s="19">
        <f t="shared" si="10"/>
        <v>95.18666667</v>
      </c>
      <c r="K972" s="19"/>
      <c r="L972" s="19">
        <f t="shared" si="11"/>
        <v>90.34666667</v>
      </c>
      <c r="M972" s="19">
        <f t="shared" si="12"/>
        <v>98.26333333</v>
      </c>
      <c r="N972" s="19">
        <f t="shared" si="13"/>
        <v>88.58333333</v>
      </c>
    </row>
    <row r="973" ht="24.75" customHeight="1">
      <c r="A973" s="21" t="s">
        <v>936</v>
      </c>
      <c r="B973" s="13">
        <f>IFERROR(__xludf.DUMMYFUNCTION("GOOGLEFINANCE(A973,""PRICE"")"),652.5)</f>
        <v>652.5</v>
      </c>
      <c r="C973" s="14">
        <f>IFERROR(__xludf.DUMMYFUNCTION("GOOGLEFINANCE(A973,""PRICEOPEN"")"),666.35)</f>
        <v>666.35</v>
      </c>
      <c r="D973" s="14">
        <f>IFERROR(__xludf.DUMMYFUNCTION("GOOGLEFINANCE(A973,""HIGH"")"),666.8)</f>
        <v>666.8</v>
      </c>
      <c r="E973" s="14">
        <f>IFERROR(__xludf.DUMMYFUNCTION("GOOGLEFINANCE(A973,""LOW"")"),650.5)</f>
        <v>650.5</v>
      </c>
      <c r="F973" s="15" t="str">
        <f t="shared" si="8"/>
        <v/>
      </c>
      <c r="G973" s="16">
        <f>IFERROR(__xludf.DUMMYFUNCTION("GOOGLEFINANCE(A973,""CLOSEYEST"")"),663.05)</f>
        <v>663.05</v>
      </c>
      <c r="H973" s="17" t="str">
        <f t="shared" si="14"/>
        <v/>
      </c>
      <c r="I973" s="18">
        <f t="shared" si="9"/>
        <v>660.1166667</v>
      </c>
      <c r="J973" s="19">
        <f t="shared" si="10"/>
        <v>669.7333333</v>
      </c>
      <c r="K973" s="19"/>
      <c r="L973" s="19">
        <f t="shared" si="11"/>
        <v>653.4333333</v>
      </c>
      <c r="M973" s="19">
        <f t="shared" si="12"/>
        <v>676.4166667</v>
      </c>
      <c r="N973" s="19">
        <f t="shared" si="13"/>
        <v>643.8166667</v>
      </c>
    </row>
    <row r="974" ht="24.75" customHeight="1">
      <c r="A974" s="21" t="s">
        <v>937</v>
      </c>
      <c r="B974" s="13">
        <f>IFERROR(__xludf.DUMMYFUNCTION("GOOGLEFINANCE(A974,""PRICE"")"),403.0)</f>
        <v>403</v>
      </c>
      <c r="C974" s="14">
        <f>IFERROR(__xludf.DUMMYFUNCTION("GOOGLEFINANCE(A974,""PRICEOPEN"")"),415.0)</f>
        <v>415</v>
      </c>
      <c r="D974" s="14">
        <f>IFERROR(__xludf.DUMMYFUNCTION("GOOGLEFINANCE(A974,""HIGH"")"),416.05)</f>
        <v>416.05</v>
      </c>
      <c r="E974" s="14">
        <f>IFERROR(__xludf.DUMMYFUNCTION("GOOGLEFINANCE(A974,""LOW"")"),401.55)</f>
        <v>401.55</v>
      </c>
      <c r="F974" s="15" t="str">
        <f t="shared" si="8"/>
        <v/>
      </c>
      <c r="G974" s="16">
        <f>IFERROR(__xludf.DUMMYFUNCTION("GOOGLEFINANCE(A974,""CLOSEYEST"")"),410.25)</f>
        <v>410.25</v>
      </c>
      <c r="H974" s="17" t="str">
        <f t="shared" si="14"/>
        <v>GAP UP</v>
      </c>
      <c r="I974" s="18">
        <f t="shared" si="9"/>
        <v>409.2833333</v>
      </c>
      <c r="J974" s="19">
        <f t="shared" si="10"/>
        <v>417.0166667</v>
      </c>
      <c r="K974" s="19"/>
      <c r="L974" s="19">
        <f t="shared" si="11"/>
        <v>402.5166667</v>
      </c>
      <c r="M974" s="19">
        <f t="shared" si="12"/>
        <v>423.7833333</v>
      </c>
      <c r="N974" s="19">
        <f t="shared" si="13"/>
        <v>394.7833333</v>
      </c>
    </row>
    <row r="975" ht="24.75" customHeight="1">
      <c r="A975" s="21" t="s">
        <v>938</v>
      </c>
      <c r="B975" s="13">
        <f>IFERROR(__xludf.DUMMYFUNCTION("GOOGLEFINANCE(A975,""PRICE"")"),433.0)</f>
        <v>433</v>
      </c>
      <c r="C975" s="14">
        <f>IFERROR(__xludf.DUMMYFUNCTION("GOOGLEFINANCE(A975,""PRICEOPEN"")"),432.0)</f>
        <v>432</v>
      </c>
      <c r="D975" s="14">
        <f>IFERROR(__xludf.DUMMYFUNCTION("GOOGLEFINANCE(A975,""HIGH"")"),433.45)</f>
        <v>433.45</v>
      </c>
      <c r="E975" s="14">
        <f>IFERROR(__xludf.DUMMYFUNCTION("GOOGLEFINANCE(A975,""LOW"")"),426.45)</f>
        <v>426.45</v>
      </c>
      <c r="F975" s="15" t="str">
        <f t="shared" si="8"/>
        <v/>
      </c>
      <c r="G975" s="16">
        <f>IFERROR(__xludf.DUMMYFUNCTION("GOOGLEFINANCE(A975,""CLOSEYEST"")"),426.5)</f>
        <v>426.5</v>
      </c>
      <c r="H975" s="17" t="str">
        <f t="shared" si="14"/>
        <v>GAP UP</v>
      </c>
      <c r="I975" s="18">
        <f t="shared" si="9"/>
        <v>428.8</v>
      </c>
      <c r="J975" s="19">
        <f t="shared" si="10"/>
        <v>431.15</v>
      </c>
      <c r="K975" s="19"/>
      <c r="L975" s="19">
        <f t="shared" si="11"/>
        <v>424.15</v>
      </c>
      <c r="M975" s="19">
        <f t="shared" si="12"/>
        <v>435.8</v>
      </c>
      <c r="N975" s="19">
        <f t="shared" si="13"/>
        <v>421.8</v>
      </c>
    </row>
    <row r="976" ht="24.75" customHeight="1">
      <c r="A976" s="21" t="s">
        <v>939</v>
      </c>
      <c r="B976" s="13">
        <f>IFERROR(__xludf.DUMMYFUNCTION("GOOGLEFINANCE(A976,""PRICE"")"),1.32)</f>
        <v>1.32</v>
      </c>
      <c r="C976" s="14">
        <f>IFERROR(__xludf.DUMMYFUNCTION("GOOGLEFINANCE(A976,""PRICEOPEN"")"),1.32)</f>
        <v>1.32</v>
      </c>
      <c r="D976" s="14">
        <f>IFERROR(__xludf.DUMMYFUNCTION("GOOGLEFINANCE(A976,""HIGH"")"),1.32)</f>
        <v>1.32</v>
      </c>
      <c r="E976" s="14">
        <f>IFERROR(__xludf.DUMMYFUNCTION("GOOGLEFINANCE(A976,""LOW"")"),1.32)</f>
        <v>1.32</v>
      </c>
      <c r="F976" s="15" t="str">
        <f t="shared" si="8"/>
        <v>SELL</v>
      </c>
      <c r="G976" s="16">
        <f>IFERROR(__xludf.DUMMYFUNCTION("GOOGLEFINANCE(A976,""CLOSEYEST"")"),1.32)</f>
        <v>1.32</v>
      </c>
      <c r="H976" s="17" t="str">
        <f t="shared" si="14"/>
        <v/>
      </c>
      <c r="I976" s="18">
        <f t="shared" si="9"/>
        <v>1.32</v>
      </c>
      <c r="J976" s="19">
        <f t="shared" si="10"/>
        <v>1.32</v>
      </c>
      <c r="K976" s="19"/>
      <c r="L976" s="19">
        <f t="shared" si="11"/>
        <v>1.32</v>
      </c>
      <c r="M976" s="19">
        <f t="shared" si="12"/>
        <v>1.32</v>
      </c>
      <c r="N976" s="19">
        <f t="shared" si="13"/>
        <v>1.32</v>
      </c>
    </row>
    <row r="977" ht="24.75" customHeight="1">
      <c r="A977" s="21" t="s">
        <v>940</v>
      </c>
      <c r="B977" s="13">
        <f>IFERROR(__xludf.DUMMYFUNCTION("GOOGLEFINANCE(A977,""PRICE"")"),5310.0)</f>
        <v>5310</v>
      </c>
      <c r="C977" s="14">
        <f>IFERROR(__xludf.DUMMYFUNCTION("GOOGLEFINANCE(A977,""PRICEOPEN"")"),5140.0)</f>
        <v>5140</v>
      </c>
      <c r="D977" s="14">
        <f>IFERROR(__xludf.DUMMYFUNCTION("GOOGLEFINANCE(A977,""HIGH"")"),5345.0)</f>
        <v>5345</v>
      </c>
      <c r="E977" s="14">
        <f>IFERROR(__xludf.DUMMYFUNCTION("GOOGLEFINANCE(A977,""LOW"")"),5076.5)</f>
        <v>5076.5</v>
      </c>
      <c r="F977" s="15" t="str">
        <f t="shared" si="8"/>
        <v/>
      </c>
      <c r="G977" s="16">
        <f>IFERROR(__xludf.DUMMYFUNCTION("GOOGLEFINANCE(A977,""CLOSEYEST"")"),5118.0)</f>
        <v>5118</v>
      </c>
      <c r="H977" s="17" t="str">
        <f t="shared" si="14"/>
        <v/>
      </c>
      <c r="I977" s="18">
        <f t="shared" si="9"/>
        <v>5179.833333</v>
      </c>
      <c r="J977" s="19">
        <f t="shared" si="10"/>
        <v>5283.166667</v>
      </c>
      <c r="K977" s="19"/>
      <c r="L977" s="19">
        <f t="shared" si="11"/>
        <v>5014.666667</v>
      </c>
      <c r="M977" s="19">
        <f t="shared" si="12"/>
        <v>5448.333333</v>
      </c>
      <c r="N977" s="19">
        <f t="shared" si="13"/>
        <v>4911.333333</v>
      </c>
    </row>
    <row r="978" ht="24.75" customHeight="1">
      <c r="A978" s="21" t="s">
        <v>941</v>
      </c>
      <c r="B978" s="13">
        <f>IFERROR(__xludf.DUMMYFUNCTION("GOOGLEFINANCE(A978,""PRICE"")"),294.5)</f>
        <v>294.5</v>
      </c>
      <c r="C978" s="14">
        <f>IFERROR(__xludf.DUMMYFUNCTION("GOOGLEFINANCE(A978,""PRICEOPEN"")"),295.85)</f>
        <v>295.85</v>
      </c>
      <c r="D978" s="14">
        <f>IFERROR(__xludf.DUMMYFUNCTION("GOOGLEFINANCE(A978,""HIGH"")"),303.0)</f>
        <v>303</v>
      </c>
      <c r="E978" s="14">
        <f>IFERROR(__xludf.DUMMYFUNCTION("GOOGLEFINANCE(A978,""LOW"")"),291.05)</f>
        <v>291.05</v>
      </c>
      <c r="F978" s="15" t="str">
        <f t="shared" si="8"/>
        <v/>
      </c>
      <c r="G978" s="16">
        <f>IFERROR(__xludf.DUMMYFUNCTION("GOOGLEFINANCE(A978,""CLOSEYEST"")"),295.85)</f>
        <v>295.85</v>
      </c>
      <c r="H978" s="17" t="str">
        <f t="shared" si="14"/>
        <v/>
      </c>
      <c r="I978" s="18">
        <f t="shared" si="9"/>
        <v>296.6333333</v>
      </c>
      <c r="J978" s="19">
        <f t="shared" si="10"/>
        <v>302.2166667</v>
      </c>
      <c r="K978" s="19"/>
      <c r="L978" s="19">
        <f t="shared" si="11"/>
        <v>290.2666667</v>
      </c>
      <c r="M978" s="19">
        <f t="shared" si="12"/>
        <v>308.5833333</v>
      </c>
      <c r="N978" s="19">
        <f t="shared" si="13"/>
        <v>284.6833333</v>
      </c>
    </row>
    <row r="979" ht="24.75" customHeight="1">
      <c r="A979" s="21" t="s">
        <v>942</v>
      </c>
      <c r="B979" s="13" t="str">
        <f>IFERROR(__xludf.DUMMYFUNCTION("GOOGLEFINANCE(A979,""PRICE"")"),"#N/A")</f>
        <v>#N/A</v>
      </c>
      <c r="C979" s="14" t="str">
        <f>IFERROR(__xludf.DUMMYFUNCTION("GOOGLEFINANCE(A979,""PRICEOPEN"")"),"#N/A")</f>
        <v>#N/A</v>
      </c>
      <c r="D979" s="14" t="str">
        <f>IFERROR(__xludf.DUMMYFUNCTION("GOOGLEFINANCE(A979,""HIGH"")"),"#N/A")</f>
        <v>#N/A</v>
      </c>
      <c r="E979" s="14" t="str">
        <f>IFERROR(__xludf.DUMMYFUNCTION("GOOGLEFINANCE(A979,""LOW"")"),"#N/A")</f>
        <v>#N/A</v>
      </c>
      <c r="F979" s="15" t="str">
        <f t="shared" si="8"/>
        <v>#N/A</v>
      </c>
      <c r="G979" s="16" t="str">
        <f>IFERROR(__xludf.DUMMYFUNCTION("GOOGLEFINANCE(A979,""CLOSEYEST"")"),"#N/A")</f>
        <v>#N/A</v>
      </c>
      <c r="H979" s="17" t="str">
        <f t="shared" si="14"/>
        <v>#N/A</v>
      </c>
      <c r="I979" s="18" t="str">
        <f t="shared" si="9"/>
        <v>#N/A</v>
      </c>
      <c r="J979" s="19" t="str">
        <f t="shared" si="10"/>
        <v>#N/A</v>
      </c>
      <c r="K979" s="19"/>
      <c r="L979" s="19" t="str">
        <f t="shared" si="11"/>
        <v>#N/A</v>
      </c>
      <c r="M979" s="19" t="str">
        <f t="shared" si="12"/>
        <v>#N/A</v>
      </c>
      <c r="N979" s="19" t="str">
        <f t="shared" si="13"/>
        <v>#N/A</v>
      </c>
    </row>
    <row r="980" ht="24.75" customHeight="1">
      <c r="A980" s="21" t="s">
        <v>943</v>
      </c>
      <c r="B980" s="13">
        <f>IFERROR(__xludf.DUMMYFUNCTION("GOOGLEFINANCE(A980,""PRICE"")"),9155.0)</f>
        <v>9155</v>
      </c>
      <c r="C980" s="14">
        <f>IFERROR(__xludf.DUMMYFUNCTION("GOOGLEFINANCE(A980,""PRICEOPEN"")"),8880.0)</f>
        <v>8880</v>
      </c>
      <c r="D980" s="14">
        <f>IFERROR(__xludf.DUMMYFUNCTION("GOOGLEFINANCE(A980,""HIGH"")"),9270.5)</f>
        <v>9270.5</v>
      </c>
      <c r="E980" s="14">
        <f>IFERROR(__xludf.DUMMYFUNCTION("GOOGLEFINANCE(A980,""LOW"")"),8800.0)</f>
        <v>8800</v>
      </c>
      <c r="F980" s="15" t="str">
        <f t="shared" si="8"/>
        <v/>
      </c>
      <c r="G980" s="16">
        <f>IFERROR(__xludf.DUMMYFUNCTION("GOOGLEFINANCE(A980,""CLOSEYEST"")"),8882.5)</f>
        <v>8882.5</v>
      </c>
      <c r="H980" s="17" t="str">
        <f t="shared" si="14"/>
        <v/>
      </c>
      <c r="I980" s="18">
        <f t="shared" si="9"/>
        <v>8984.333333</v>
      </c>
      <c r="J980" s="19">
        <f t="shared" si="10"/>
        <v>9168.666667</v>
      </c>
      <c r="K980" s="19"/>
      <c r="L980" s="19">
        <f t="shared" si="11"/>
        <v>8698.166667</v>
      </c>
      <c r="M980" s="19">
        <f t="shared" si="12"/>
        <v>9454.833333</v>
      </c>
      <c r="N980" s="19">
        <f t="shared" si="13"/>
        <v>8513.833333</v>
      </c>
    </row>
    <row r="981" ht="24.75" customHeight="1">
      <c r="A981" s="21" t="s">
        <v>944</v>
      </c>
      <c r="B981" s="13">
        <f>IFERROR(__xludf.DUMMYFUNCTION("GOOGLEFINANCE(A981,""PRICE"")"),751.0)</f>
        <v>751</v>
      </c>
      <c r="C981" s="14">
        <f>IFERROR(__xludf.DUMMYFUNCTION("GOOGLEFINANCE(A981,""PRICEOPEN"")"),740.0)</f>
        <v>740</v>
      </c>
      <c r="D981" s="14">
        <f>IFERROR(__xludf.DUMMYFUNCTION("GOOGLEFINANCE(A981,""HIGH"")"),757.9)</f>
        <v>757.9</v>
      </c>
      <c r="E981" s="14">
        <f>IFERROR(__xludf.DUMMYFUNCTION("GOOGLEFINANCE(A981,""LOW"")"),740.0)</f>
        <v>740</v>
      </c>
      <c r="F981" s="15" t="str">
        <f t="shared" si="8"/>
        <v>BUY</v>
      </c>
      <c r="G981" s="16">
        <f>IFERROR(__xludf.DUMMYFUNCTION("GOOGLEFINANCE(A981,""CLOSEYEST"")"),744.15)</f>
        <v>744.15</v>
      </c>
      <c r="H981" s="17" t="str">
        <f t="shared" si="14"/>
        <v/>
      </c>
      <c r="I981" s="18">
        <f t="shared" si="9"/>
        <v>747.35</v>
      </c>
      <c r="J981" s="19">
        <f t="shared" si="10"/>
        <v>754.7</v>
      </c>
      <c r="K981" s="19"/>
      <c r="L981" s="19">
        <f t="shared" si="11"/>
        <v>736.8</v>
      </c>
      <c r="M981" s="19">
        <f t="shared" si="12"/>
        <v>765.25</v>
      </c>
      <c r="N981" s="19">
        <f t="shared" si="13"/>
        <v>729.45</v>
      </c>
    </row>
    <row r="982" ht="24.75" customHeight="1">
      <c r="A982" s="21" t="s">
        <v>945</v>
      </c>
      <c r="B982" s="13">
        <f>IFERROR(__xludf.DUMMYFUNCTION("GOOGLEFINANCE(A982,""PRICE"")"),484.0)</f>
        <v>484</v>
      </c>
      <c r="C982" s="14">
        <f>IFERROR(__xludf.DUMMYFUNCTION("GOOGLEFINANCE(A982,""PRICEOPEN"")"),489.75)</f>
        <v>489.75</v>
      </c>
      <c r="D982" s="14">
        <f>IFERROR(__xludf.DUMMYFUNCTION("GOOGLEFINANCE(A982,""HIGH"")"),489.75)</f>
        <v>489.75</v>
      </c>
      <c r="E982" s="14">
        <f>IFERROR(__xludf.DUMMYFUNCTION("GOOGLEFINANCE(A982,""LOW"")"),480.95)</f>
        <v>480.95</v>
      </c>
      <c r="F982" s="15" t="str">
        <f t="shared" si="8"/>
        <v>SELL</v>
      </c>
      <c r="G982" s="16">
        <f>IFERROR(__xludf.DUMMYFUNCTION("GOOGLEFINANCE(A982,""CLOSEYEST"")"),487.2)</f>
        <v>487.2</v>
      </c>
      <c r="H982" s="17" t="str">
        <f t="shared" si="14"/>
        <v/>
      </c>
      <c r="I982" s="18">
        <f t="shared" si="9"/>
        <v>485.9666667</v>
      </c>
      <c r="J982" s="19">
        <f t="shared" si="10"/>
        <v>490.9833333</v>
      </c>
      <c r="K982" s="19"/>
      <c r="L982" s="19">
        <f t="shared" si="11"/>
        <v>482.1833333</v>
      </c>
      <c r="M982" s="19">
        <f t="shared" si="12"/>
        <v>494.7666667</v>
      </c>
      <c r="N982" s="19">
        <f t="shared" si="13"/>
        <v>477.1666667</v>
      </c>
    </row>
    <row r="983" ht="24.75" customHeight="1">
      <c r="A983" s="21" t="s">
        <v>946</v>
      </c>
      <c r="B983" s="13">
        <f>IFERROR(__xludf.DUMMYFUNCTION("GOOGLEFINANCE(A983,""PRICE"")"),101.3)</f>
        <v>101.3</v>
      </c>
      <c r="C983" s="14">
        <f>IFERROR(__xludf.DUMMYFUNCTION("GOOGLEFINANCE(A983,""PRICEOPEN"")"),96.42)</f>
        <v>96.42</v>
      </c>
      <c r="D983" s="14">
        <f>IFERROR(__xludf.DUMMYFUNCTION("GOOGLEFINANCE(A983,""HIGH"")"),103.97)</f>
        <v>103.97</v>
      </c>
      <c r="E983" s="14">
        <f>IFERROR(__xludf.DUMMYFUNCTION("GOOGLEFINANCE(A983,""LOW"")"),96.41)</f>
        <v>96.41</v>
      </c>
      <c r="F983" s="15" t="str">
        <f t="shared" si="8"/>
        <v/>
      </c>
      <c r="G983" s="16">
        <f>IFERROR(__xludf.DUMMYFUNCTION("GOOGLEFINANCE(A983,""CLOSEYEST"")"),96.42)</f>
        <v>96.42</v>
      </c>
      <c r="H983" s="17" t="str">
        <f t="shared" si="14"/>
        <v/>
      </c>
      <c r="I983" s="18">
        <f t="shared" si="9"/>
        <v>98.93333333</v>
      </c>
      <c r="J983" s="19">
        <f t="shared" si="10"/>
        <v>101.4566667</v>
      </c>
      <c r="K983" s="19"/>
      <c r="L983" s="19">
        <f t="shared" si="11"/>
        <v>93.89666667</v>
      </c>
      <c r="M983" s="19">
        <f t="shared" si="12"/>
        <v>106.4933333</v>
      </c>
      <c r="N983" s="19">
        <f t="shared" si="13"/>
        <v>91.37333333</v>
      </c>
    </row>
    <row r="984" ht="24.75" customHeight="1">
      <c r="A984" s="21" t="s">
        <v>947</v>
      </c>
      <c r="B984" s="13" t="str">
        <f>IFERROR(__xludf.DUMMYFUNCTION("GOOGLEFINANCE(A984,""PRICE"")"),"#N/A")</f>
        <v>#N/A</v>
      </c>
      <c r="C984" s="14" t="str">
        <f>IFERROR(__xludf.DUMMYFUNCTION("GOOGLEFINANCE(A984,""PRICEOPEN"")"),"#N/A")</f>
        <v>#N/A</v>
      </c>
      <c r="D984" s="14" t="str">
        <f>IFERROR(__xludf.DUMMYFUNCTION("GOOGLEFINANCE(A984,""HIGH"")"),"#N/A")</f>
        <v>#N/A</v>
      </c>
      <c r="E984" s="14" t="str">
        <f>IFERROR(__xludf.DUMMYFUNCTION("GOOGLEFINANCE(A984,""LOW"")"),"#N/A")</f>
        <v>#N/A</v>
      </c>
      <c r="F984" s="15" t="str">
        <f t="shared" si="8"/>
        <v>#N/A</v>
      </c>
      <c r="G984" s="16" t="str">
        <f>IFERROR(__xludf.DUMMYFUNCTION("GOOGLEFINANCE(A984,""CLOSEYEST"")"),"#N/A")</f>
        <v>#N/A</v>
      </c>
      <c r="H984" s="17" t="str">
        <f t="shared" si="14"/>
        <v>#N/A</v>
      </c>
      <c r="I984" s="18" t="str">
        <f t="shared" si="9"/>
        <v>#N/A</v>
      </c>
      <c r="J984" s="19" t="str">
        <f t="shared" si="10"/>
        <v>#N/A</v>
      </c>
      <c r="K984" s="19"/>
      <c r="L984" s="19" t="str">
        <f t="shared" si="11"/>
        <v>#N/A</v>
      </c>
      <c r="M984" s="19" t="str">
        <f t="shared" si="12"/>
        <v>#N/A</v>
      </c>
      <c r="N984" s="19" t="str">
        <f t="shared" si="13"/>
        <v>#N/A</v>
      </c>
    </row>
    <row r="985" ht="24.75" customHeight="1">
      <c r="A985" s="21" t="s">
        <v>948</v>
      </c>
      <c r="B985" s="13">
        <f>IFERROR(__xludf.DUMMYFUNCTION("GOOGLEFINANCE(A985,""PRICE"")"),27.5)</f>
        <v>27.5</v>
      </c>
      <c r="C985" s="14">
        <f>IFERROR(__xludf.DUMMYFUNCTION("GOOGLEFINANCE(A985,""PRICEOPEN"")"),27.55)</f>
        <v>27.55</v>
      </c>
      <c r="D985" s="14">
        <f>IFERROR(__xludf.DUMMYFUNCTION("GOOGLEFINANCE(A985,""HIGH"")"),27.86)</f>
        <v>27.86</v>
      </c>
      <c r="E985" s="14">
        <f>IFERROR(__xludf.DUMMYFUNCTION("GOOGLEFINANCE(A985,""LOW"")"),26.5)</f>
        <v>26.5</v>
      </c>
      <c r="F985" s="15" t="str">
        <f t="shared" si="8"/>
        <v/>
      </c>
      <c r="G985" s="16">
        <f>IFERROR(__xludf.DUMMYFUNCTION("GOOGLEFINANCE(A985,""CLOSEYEST"")"),26.78)</f>
        <v>26.78</v>
      </c>
      <c r="H985" s="17" t="str">
        <f t="shared" si="14"/>
        <v>GAP UP</v>
      </c>
      <c r="I985" s="18">
        <f t="shared" si="9"/>
        <v>27.04666667</v>
      </c>
      <c r="J985" s="19">
        <f t="shared" si="10"/>
        <v>27.59333333</v>
      </c>
      <c r="K985" s="19"/>
      <c r="L985" s="19">
        <f t="shared" si="11"/>
        <v>26.23333333</v>
      </c>
      <c r="M985" s="19">
        <f t="shared" si="12"/>
        <v>28.40666667</v>
      </c>
      <c r="N985" s="19">
        <f t="shared" si="13"/>
        <v>25.68666667</v>
      </c>
    </row>
    <row r="986" ht="24.75" customHeight="1">
      <c r="A986" s="21" t="s">
        <v>949</v>
      </c>
      <c r="B986" s="13">
        <f>IFERROR(__xludf.DUMMYFUNCTION("GOOGLEFINANCE(A986,""PRICE"")"),150.0)</f>
        <v>150</v>
      </c>
      <c r="C986" s="14">
        <f>IFERROR(__xludf.DUMMYFUNCTION("GOOGLEFINANCE(A986,""PRICEOPEN"")"),150.19)</f>
        <v>150.19</v>
      </c>
      <c r="D986" s="14">
        <f>IFERROR(__xludf.DUMMYFUNCTION("GOOGLEFINANCE(A986,""HIGH"")"),152.0)</f>
        <v>152</v>
      </c>
      <c r="E986" s="14">
        <f>IFERROR(__xludf.DUMMYFUNCTION("GOOGLEFINANCE(A986,""LOW"")"),149.1)</f>
        <v>149.1</v>
      </c>
      <c r="F986" s="15" t="str">
        <f t="shared" si="8"/>
        <v/>
      </c>
      <c r="G986" s="16">
        <f>IFERROR(__xludf.DUMMYFUNCTION("GOOGLEFINANCE(A986,""CLOSEYEST"")"),149.1)</f>
        <v>149.1</v>
      </c>
      <c r="H986" s="17" t="str">
        <f t="shared" si="14"/>
        <v/>
      </c>
      <c r="I986" s="18">
        <f t="shared" si="9"/>
        <v>150.0666667</v>
      </c>
      <c r="J986" s="19">
        <f t="shared" si="10"/>
        <v>151.0333333</v>
      </c>
      <c r="K986" s="19"/>
      <c r="L986" s="19">
        <f t="shared" si="11"/>
        <v>148.1333333</v>
      </c>
      <c r="M986" s="19">
        <f t="shared" si="12"/>
        <v>152.9666667</v>
      </c>
      <c r="N986" s="19">
        <f t="shared" si="13"/>
        <v>147.1666667</v>
      </c>
    </row>
    <row r="987" ht="24.75" customHeight="1">
      <c r="A987" s="21" t="s">
        <v>950</v>
      </c>
      <c r="B987" s="13">
        <f>IFERROR(__xludf.DUMMYFUNCTION("GOOGLEFINANCE(A987,""PRICE"")"),2315.0)</f>
        <v>2315</v>
      </c>
      <c r="C987" s="14">
        <f>IFERROR(__xludf.DUMMYFUNCTION("GOOGLEFINANCE(A987,""PRICEOPEN"")"),2361.1)</f>
        <v>2361.1</v>
      </c>
      <c r="D987" s="14">
        <f>IFERROR(__xludf.DUMMYFUNCTION("GOOGLEFINANCE(A987,""HIGH"")"),2362.6)</f>
        <v>2362.6</v>
      </c>
      <c r="E987" s="14">
        <f>IFERROR(__xludf.DUMMYFUNCTION("GOOGLEFINANCE(A987,""LOW"")"),2315.0)</f>
        <v>2315</v>
      </c>
      <c r="F987" s="15" t="str">
        <f t="shared" si="8"/>
        <v/>
      </c>
      <c r="G987" s="16">
        <f>IFERROR(__xludf.DUMMYFUNCTION("GOOGLEFINANCE(A987,""CLOSEYEST"")"),2323.2)</f>
        <v>2323.2</v>
      </c>
      <c r="H987" s="17" t="str">
        <f t="shared" si="14"/>
        <v>GAP UP</v>
      </c>
      <c r="I987" s="18">
        <f t="shared" si="9"/>
        <v>2333.6</v>
      </c>
      <c r="J987" s="19">
        <f t="shared" si="10"/>
        <v>2352.2</v>
      </c>
      <c r="K987" s="19"/>
      <c r="L987" s="19">
        <f t="shared" si="11"/>
        <v>2304.6</v>
      </c>
      <c r="M987" s="19">
        <f t="shared" si="12"/>
        <v>2381.2</v>
      </c>
      <c r="N987" s="19">
        <f t="shared" si="13"/>
        <v>2286</v>
      </c>
    </row>
    <row r="988" ht="24.75" customHeight="1">
      <c r="A988" s="21" t="s">
        <v>951</v>
      </c>
      <c r="B988" s="13">
        <f>IFERROR(__xludf.DUMMYFUNCTION("GOOGLEFINANCE(A988,""PRICE"")"),384.0)</f>
        <v>384</v>
      </c>
      <c r="C988" s="14">
        <f>IFERROR(__xludf.DUMMYFUNCTION("GOOGLEFINANCE(A988,""PRICEOPEN"")"),384.8)</f>
        <v>384.8</v>
      </c>
      <c r="D988" s="14">
        <f>IFERROR(__xludf.DUMMYFUNCTION("GOOGLEFINANCE(A988,""HIGH"")"),390.0)</f>
        <v>390</v>
      </c>
      <c r="E988" s="14">
        <f>IFERROR(__xludf.DUMMYFUNCTION("GOOGLEFINANCE(A988,""LOW"")"),377.9)</f>
        <v>377.9</v>
      </c>
      <c r="F988" s="15" t="str">
        <f t="shared" si="8"/>
        <v/>
      </c>
      <c r="G988" s="16">
        <f>IFERROR(__xludf.DUMMYFUNCTION("GOOGLEFINANCE(A988,""CLOSEYEST"")"),383.95)</f>
        <v>383.95</v>
      </c>
      <c r="H988" s="17" t="str">
        <f t="shared" si="14"/>
        <v/>
      </c>
      <c r="I988" s="18">
        <f t="shared" si="9"/>
        <v>383.95</v>
      </c>
      <c r="J988" s="19">
        <f t="shared" si="10"/>
        <v>390</v>
      </c>
      <c r="K988" s="19"/>
      <c r="L988" s="19">
        <f t="shared" si="11"/>
        <v>377.9</v>
      </c>
      <c r="M988" s="19">
        <f t="shared" si="12"/>
        <v>396.05</v>
      </c>
      <c r="N988" s="19">
        <f t="shared" si="13"/>
        <v>371.85</v>
      </c>
    </row>
    <row r="989" ht="24.75" customHeight="1">
      <c r="A989" s="21" t="s">
        <v>952</v>
      </c>
      <c r="B989" s="13">
        <f>IFERROR(__xludf.DUMMYFUNCTION("GOOGLEFINANCE(A989,""PRICE"")"),264.7)</f>
        <v>264.7</v>
      </c>
      <c r="C989" s="14">
        <f>IFERROR(__xludf.DUMMYFUNCTION("GOOGLEFINANCE(A989,""PRICEOPEN"")"),259.9)</f>
        <v>259.9</v>
      </c>
      <c r="D989" s="14">
        <f>IFERROR(__xludf.DUMMYFUNCTION("GOOGLEFINANCE(A989,""HIGH"")"),267.5)</f>
        <v>267.5</v>
      </c>
      <c r="E989" s="14">
        <f>IFERROR(__xludf.DUMMYFUNCTION("GOOGLEFINANCE(A989,""LOW"")"),255.0)</f>
        <v>255</v>
      </c>
      <c r="F989" s="15" t="str">
        <f t="shared" si="8"/>
        <v/>
      </c>
      <c r="G989" s="16">
        <f>IFERROR(__xludf.DUMMYFUNCTION("GOOGLEFINANCE(A989,""CLOSEYEST"")"),258.1)</f>
        <v>258.1</v>
      </c>
      <c r="H989" s="17" t="str">
        <f t="shared" si="14"/>
        <v/>
      </c>
      <c r="I989" s="18">
        <f t="shared" si="9"/>
        <v>260.2</v>
      </c>
      <c r="J989" s="19">
        <f t="shared" si="10"/>
        <v>265.4</v>
      </c>
      <c r="K989" s="19"/>
      <c r="L989" s="19">
        <f t="shared" si="11"/>
        <v>252.9</v>
      </c>
      <c r="M989" s="19">
        <f t="shared" si="12"/>
        <v>272.7</v>
      </c>
      <c r="N989" s="19">
        <f t="shared" si="13"/>
        <v>247.7</v>
      </c>
    </row>
    <row r="990" ht="24.75" customHeight="1">
      <c r="A990" s="21" t="s">
        <v>953</v>
      </c>
      <c r="B990" s="13">
        <f>IFERROR(__xludf.DUMMYFUNCTION("GOOGLEFINANCE(A990,""PRICE"")"),151.41)</f>
        <v>151.41</v>
      </c>
      <c r="C990" s="14">
        <f>IFERROR(__xludf.DUMMYFUNCTION("GOOGLEFINANCE(A990,""PRICEOPEN"")"),152.98)</f>
        <v>152.98</v>
      </c>
      <c r="D990" s="14">
        <f>IFERROR(__xludf.DUMMYFUNCTION("GOOGLEFINANCE(A990,""HIGH"")"),153.95)</f>
        <v>153.95</v>
      </c>
      <c r="E990" s="14">
        <f>IFERROR(__xludf.DUMMYFUNCTION("GOOGLEFINANCE(A990,""LOW"")"),150.86)</f>
        <v>150.86</v>
      </c>
      <c r="F990" s="15" t="str">
        <f t="shared" si="8"/>
        <v/>
      </c>
      <c r="G990" s="16">
        <f>IFERROR(__xludf.DUMMYFUNCTION("GOOGLEFINANCE(A990,""CLOSEYEST"")"),152.98)</f>
        <v>152.98</v>
      </c>
      <c r="H990" s="17" t="str">
        <f t="shared" si="14"/>
        <v/>
      </c>
      <c r="I990" s="18">
        <f t="shared" si="9"/>
        <v>152.5966667</v>
      </c>
      <c r="J990" s="19">
        <f t="shared" si="10"/>
        <v>154.3333333</v>
      </c>
      <c r="K990" s="19"/>
      <c r="L990" s="19">
        <f t="shared" si="11"/>
        <v>151.2433333</v>
      </c>
      <c r="M990" s="19">
        <f t="shared" si="12"/>
        <v>155.6866667</v>
      </c>
      <c r="N990" s="19">
        <f t="shared" si="13"/>
        <v>149.5066667</v>
      </c>
    </row>
    <row r="991" ht="24.75" customHeight="1">
      <c r="A991" s="21" t="s">
        <v>954</v>
      </c>
      <c r="B991" s="13">
        <f>IFERROR(__xludf.DUMMYFUNCTION("GOOGLEFINANCE(A991,""PRICE"")"),109.49)</f>
        <v>109.49</v>
      </c>
      <c r="C991" s="14">
        <f>IFERROR(__xludf.DUMMYFUNCTION("GOOGLEFINANCE(A991,""PRICEOPEN"")"),104.0)</f>
        <v>104</v>
      </c>
      <c r="D991" s="14">
        <f>IFERROR(__xludf.DUMMYFUNCTION("GOOGLEFINANCE(A991,""HIGH"")"),111.0)</f>
        <v>111</v>
      </c>
      <c r="E991" s="14">
        <f>IFERROR(__xludf.DUMMYFUNCTION("GOOGLEFINANCE(A991,""LOW"")"),104.0)</f>
        <v>104</v>
      </c>
      <c r="F991" s="15" t="str">
        <f t="shared" si="8"/>
        <v>BUY</v>
      </c>
      <c r="G991" s="16">
        <f>IFERROR(__xludf.DUMMYFUNCTION("GOOGLEFINANCE(A991,""CLOSEYEST"")"),107.33)</f>
        <v>107.33</v>
      </c>
      <c r="H991" s="17" t="str">
        <f t="shared" si="14"/>
        <v>GAP DOWN</v>
      </c>
      <c r="I991" s="18">
        <f t="shared" si="9"/>
        <v>107.4433333</v>
      </c>
      <c r="J991" s="19">
        <f t="shared" si="10"/>
        <v>110.8866667</v>
      </c>
      <c r="K991" s="19"/>
      <c r="L991" s="19">
        <f t="shared" si="11"/>
        <v>103.8866667</v>
      </c>
      <c r="M991" s="19">
        <f t="shared" si="12"/>
        <v>114.4433333</v>
      </c>
      <c r="N991" s="19">
        <f t="shared" si="13"/>
        <v>100.4433333</v>
      </c>
    </row>
    <row r="992" ht="24.75" customHeight="1">
      <c r="A992" s="21" t="s">
        <v>955</v>
      </c>
      <c r="B992" s="13">
        <f>IFERROR(__xludf.DUMMYFUNCTION("GOOGLEFINANCE(A992,""PRICE"")"),1.02)</f>
        <v>1.02</v>
      </c>
      <c r="C992" s="14" t="str">
        <f>IFERROR(__xludf.DUMMYFUNCTION("GOOGLEFINANCE(A992,""PRICEOPEN"")"),"#N/A")</f>
        <v>#N/A</v>
      </c>
      <c r="D992" s="14" t="str">
        <f>IFERROR(__xludf.DUMMYFUNCTION("GOOGLEFINANCE(A992,""HIGH"")"),"#N/A")</f>
        <v>#N/A</v>
      </c>
      <c r="E992" s="14" t="str">
        <f>IFERROR(__xludf.DUMMYFUNCTION("GOOGLEFINANCE(A992,""LOW"")"),"#N/A")</f>
        <v>#N/A</v>
      </c>
      <c r="F992" s="15" t="str">
        <f t="shared" si="8"/>
        <v>#N/A</v>
      </c>
      <c r="G992" s="16">
        <f>IFERROR(__xludf.DUMMYFUNCTION("GOOGLEFINANCE(A992,""CLOSEYEST"")"),1.02)</f>
        <v>1.02</v>
      </c>
      <c r="H992" s="17" t="str">
        <f t="shared" si="14"/>
        <v>#N/A</v>
      </c>
      <c r="I992" s="18" t="str">
        <f t="shared" si="9"/>
        <v>#N/A</v>
      </c>
      <c r="J992" s="19" t="str">
        <f t="shared" si="10"/>
        <v>#N/A</v>
      </c>
      <c r="K992" s="19"/>
      <c r="L992" s="19" t="str">
        <f t="shared" si="11"/>
        <v>#N/A</v>
      </c>
      <c r="M992" s="19" t="str">
        <f t="shared" si="12"/>
        <v>#N/A</v>
      </c>
      <c r="N992" s="19" t="str">
        <f t="shared" si="13"/>
        <v>#N/A</v>
      </c>
    </row>
    <row r="993" ht="24.75" customHeight="1">
      <c r="A993" s="21" t="s">
        <v>956</v>
      </c>
      <c r="B993" s="13">
        <f>IFERROR(__xludf.DUMMYFUNCTION("GOOGLEFINANCE(A993,""PRICE"")"),181.82)</f>
        <v>181.82</v>
      </c>
      <c r="C993" s="14">
        <f>IFERROR(__xludf.DUMMYFUNCTION("GOOGLEFINANCE(A993,""PRICEOPEN"")"),182.1)</f>
        <v>182.1</v>
      </c>
      <c r="D993" s="14">
        <f>IFERROR(__xludf.DUMMYFUNCTION("GOOGLEFINANCE(A993,""HIGH"")"),182.1)</f>
        <v>182.1</v>
      </c>
      <c r="E993" s="14">
        <f>IFERROR(__xludf.DUMMYFUNCTION("GOOGLEFINANCE(A993,""LOW"")"),181.82)</f>
        <v>181.82</v>
      </c>
      <c r="F993" s="15" t="str">
        <f t="shared" si="8"/>
        <v>SELL</v>
      </c>
      <c r="G993" s="16">
        <f>IFERROR(__xludf.DUMMYFUNCTION("GOOGLEFINANCE(A993,""CLOSEYEST"")"),181.28)</f>
        <v>181.28</v>
      </c>
      <c r="H993" s="17" t="str">
        <f t="shared" si="14"/>
        <v/>
      </c>
      <c r="I993" s="18">
        <f t="shared" si="9"/>
        <v>181.7333333</v>
      </c>
      <c r="J993" s="19">
        <f t="shared" si="10"/>
        <v>181.6466667</v>
      </c>
      <c r="K993" s="19"/>
      <c r="L993" s="19">
        <f t="shared" si="11"/>
        <v>181.3666667</v>
      </c>
      <c r="M993" s="19">
        <f t="shared" si="12"/>
        <v>182.0133333</v>
      </c>
      <c r="N993" s="19">
        <f t="shared" si="13"/>
        <v>181.4533333</v>
      </c>
    </row>
    <row r="994" ht="24.75" customHeight="1">
      <c r="A994" s="21" t="s">
        <v>957</v>
      </c>
      <c r="B994" s="13">
        <f>IFERROR(__xludf.DUMMYFUNCTION("GOOGLEFINANCE(A994,""PRICE"")"),375.0)</f>
        <v>375</v>
      </c>
      <c r="C994" s="14">
        <f>IFERROR(__xludf.DUMMYFUNCTION("GOOGLEFINANCE(A994,""PRICEOPEN"")"),363.7)</f>
        <v>363.7</v>
      </c>
      <c r="D994" s="14">
        <f>IFERROR(__xludf.DUMMYFUNCTION("GOOGLEFINANCE(A994,""HIGH"")"),375.7)</f>
        <v>375.7</v>
      </c>
      <c r="E994" s="14">
        <f>IFERROR(__xludf.DUMMYFUNCTION("GOOGLEFINANCE(A994,""LOW"")"),363.65)</f>
        <v>363.65</v>
      </c>
      <c r="F994" s="15" t="str">
        <f t="shared" si="8"/>
        <v/>
      </c>
      <c r="G994" s="16">
        <f>IFERROR(__xludf.DUMMYFUNCTION("GOOGLEFINANCE(A994,""CLOSEYEST"")"),366.7)</f>
        <v>366.7</v>
      </c>
      <c r="H994" s="17" t="str">
        <f t="shared" si="14"/>
        <v/>
      </c>
      <c r="I994" s="18">
        <f t="shared" si="9"/>
        <v>368.6833333</v>
      </c>
      <c r="J994" s="19">
        <f t="shared" si="10"/>
        <v>373.7166667</v>
      </c>
      <c r="K994" s="19"/>
      <c r="L994" s="19">
        <f t="shared" si="11"/>
        <v>361.6666667</v>
      </c>
      <c r="M994" s="19">
        <f t="shared" si="12"/>
        <v>380.7333333</v>
      </c>
      <c r="N994" s="19">
        <f t="shared" si="13"/>
        <v>356.6333333</v>
      </c>
    </row>
    <row r="995" ht="24.75" customHeight="1">
      <c r="A995" s="21" t="s">
        <v>958</v>
      </c>
      <c r="B995" s="13" t="str">
        <f>IFERROR(__xludf.DUMMYFUNCTION("GOOGLEFINANCE(A995,""PRICE"")"),"#N/A")</f>
        <v>#N/A</v>
      </c>
      <c r="C995" s="14" t="str">
        <f>IFERROR(__xludf.DUMMYFUNCTION("GOOGLEFINANCE(A995,""PRICEOPEN"")"),"#N/A")</f>
        <v>#N/A</v>
      </c>
      <c r="D995" s="14" t="str">
        <f>IFERROR(__xludf.DUMMYFUNCTION("GOOGLEFINANCE(A995,""HIGH"")"),"#N/A")</f>
        <v>#N/A</v>
      </c>
      <c r="E995" s="14" t="str">
        <f>IFERROR(__xludf.DUMMYFUNCTION("GOOGLEFINANCE(A995,""LOW"")"),"#N/A")</f>
        <v>#N/A</v>
      </c>
      <c r="F995" s="15" t="str">
        <f t="shared" si="8"/>
        <v>#N/A</v>
      </c>
      <c r="G995" s="16" t="str">
        <f>IFERROR(__xludf.DUMMYFUNCTION("GOOGLEFINANCE(A995,""CLOSEYEST"")"),"#N/A")</f>
        <v>#N/A</v>
      </c>
      <c r="H995" s="17" t="str">
        <f t="shared" si="14"/>
        <v>#N/A</v>
      </c>
      <c r="I995" s="18" t="str">
        <f t="shared" si="9"/>
        <v>#N/A</v>
      </c>
      <c r="J995" s="19" t="str">
        <f t="shared" si="10"/>
        <v>#N/A</v>
      </c>
      <c r="K995" s="19"/>
      <c r="L995" s="19" t="str">
        <f t="shared" si="11"/>
        <v>#N/A</v>
      </c>
      <c r="M995" s="19" t="str">
        <f t="shared" si="12"/>
        <v>#N/A</v>
      </c>
      <c r="N995" s="19" t="str">
        <f t="shared" si="13"/>
        <v>#N/A</v>
      </c>
    </row>
    <row r="996" ht="24.75" customHeight="1">
      <c r="A996" s="21" t="s">
        <v>959</v>
      </c>
      <c r="B996" s="13">
        <f>IFERROR(__xludf.DUMMYFUNCTION("GOOGLEFINANCE(A996,""PRICE"")"),7.56)</f>
        <v>7.56</v>
      </c>
      <c r="C996" s="14">
        <f>IFERROR(__xludf.DUMMYFUNCTION("GOOGLEFINANCE(A996,""PRICEOPEN"")"),7.56)</f>
        <v>7.56</v>
      </c>
      <c r="D996" s="14">
        <f>IFERROR(__xludf.DUMMYFUNCTION("GOOGLEFINANCE(A996,""HIGH"")"),7.56)</f>
        <v>7.56</v>
      </c>
      <c r="E996" s="14">
        <f>IFERROR(__xludf.DUMMYFUNCTION("GOOGLEFINANCE(A996,""LOW"")"),7.34)</f>
        <v>7.34</v>
      </c>
      <c r="F996" s="15" t="str">
        <f t="shared" si="8"/>
        <v>SELL</v>
      </c>
      <c r="G996" s="16">
        <f>IFERROR(__xludf.DUMMYFUNCTION("GOOGLEFINANCE(A996,""CLOSEYEST"")"),7.2)</f>
        <v>7.2</v>
      </c>
      <c r="H996" s="17" t="str">
        <f t="shared" si="14"/>
        <v>GAP UP</v>
      </c>
      <c r="I996" s="18">
        <f t="shared" si="9"/>
        <v>7.366666667</v>
      </c>
      <c r="J996" s="19">
        <f t="shared" si="10"/>
        <v>7.393333333</v>
      </c>
      <c r="K996" s="19"/>
      <c r="L996" s="19">
        <f t="shared" si="11"/>
        <v>7.173333333</v>
      </c>
      <c r="M996" s="19">
        <f t="shared" si="12"/>
        <v>7.586666667</v>
      </c>
      <c r="N996" s="19">
        <f t="shared" si="13"/>
        <v>7.146666667</v>
      </c>
    </row>
    <row r="997" ht="24.75" customHeight="1">
      <c r="A997" s="21" t="s">
        <v>960</v>
      </c>
      <c r="B997" s="13" t="str">
        <f>IFERROR(__xludf.DUMMYFUNCTION("GOOGLEFINANCE(A997,""PRICE"")"),"#N/A")</f>
        <v>#N/A</v>
      </c>
      <c r="C997" s="14" t="str">
        <f>IFERROR(__xludf.DUMMYFUNCTION("GOOGLEFINANCE(A997,""PRICEOPEN"")"),"#N/A")</f>
        <v>#N/A</v>
      </c>
      <c r="D997" s="14" t="str">
        <f>IFERROR(__xludf.DUMMYFUNCTION("GOOGLEFINANCE(A997,""HIGH"")"),"#N/A")</f>
        <v>#N/A</v>
      </c>
      <c r="E997" s="14" t="str">
        <f>IFERROR(__xludf.DUMMYFUNCTION("GOOGLEFINANCE(A997,""LOW"")"),"#N/A")</f>
        <v>#N/A</v>
      </c>
      <c r="F997" s="15" t="str">
        <f t="shared" si="8"/>
        <v>#N/A</v>
      </c>
      <c r="G997" s="16" t="str">
        <f>IFERROR(__xludf.DUMMYFUNCTION("GOOGLEFINANCE(A997,""CLOSEYEST"")"),"#N/A")</f>
        <v>#N/A</v>
      </c>
      <c r="H997" s="17" t="str">
        <f t="shared" si="14"/>
        <v>#N/A</v>
      </c>
      <c r="I997" s="18" t="str">
        <f t="shared" si="9"/>
        <v>#N/A</v>
      </c>
      <c r="J997" s="19" t="str">
        <f t="shared" si="10"/>
        <v>#N/A</v>
      </c>
      <c r="K997" s="19"/>
      <c r="L997" s="19" t="str">
        <f t="shared" si="11"/>
        <v>#N/A</v>
      </c>
      <c r="M997" s="19" t="str">
        <f t="shared" si="12"/>
        <v>#N/A</v>
      </c>
      <c r="N997" s="19" t="str">
        <f t="shared" si="13"/>
        <v>#N/A</v>
      </c>
    </row>
    <row r="998" ht="24.75" customHeight="1">
      <c r="A998" s="21" t="s">
        <v>961</v>
      </c>
      <c r="B998" s="13">
        <f>IFERROR(__xludf.DUMMYFUNCTION("GOOGLEFINANCE(A998,""PRICE"")"),1145.0)</f>
        <v>1145</v>
      </c>
      <c r="C998" s="14">
        <f>IFERROR(__xludf.DUMMYFUNCTION("GOOGLEFINANCE(A998,""PRICEOPEN"")"),1176.5)</f>
        <v>1176.5</v>
      </c>
      <c r="D998" s="14">
        <f>IFERROR(__xludf.DUMMYFUNCTION("GOOGLEFINANCE(A998,""HIGH"")"),1188.0)</f>
        <v>1188</v>
      </c>
      <c r="E998" s="14">
        <f>IFERROR(__xludf.DUMMYFUNCTION("GOOGLEFINANCE(A998,""LOW"")"),1145.0)</f>
        <v>1145</v>
      </c>
      <c r="F998" s="15" t="str">
        <f t="shared" si="8"/>
        <v/>
      </c>
      <c r="G998" s="16">
        <f>IFERROR(__xludf.DUMMYFUNCTION("GOOGLEFINANCE(A998,""CLOSEYEST"")"),1158.9)</f>
        <v>1158.9</v>
      </c>
      <c r="H998" s="17" t="str">
        <f t="shared" si="14"/>
        <v>GAP UP</v>
      </c>
      <c r="I998" s="18">
        <f t="shared" si="9"/>
        <v>1163.966667</v>
      </c>
      <c r="J998" s="19">
        <f t="shared" si="10"/>
        <v>1182.933333</v>
      </c>
      <c r="K998" s="19"/>
      <c r="L998" s="19">
        <f t="shared" si="11"/>
        <v>1139.933333</v>
      </c>
      <c r="M998" s="19">
        <f t="shared" si="12"/>
        <v>1206.966667</v>
      </c>
      <c r="N998" s="19">
        <f t="shared" si="13"/>
        <v>1120.966667</v>
      </c>
    </row>
    <row r="999" ht="24.75" customHeight="1">
      <c r="A999" s="21" t="s">
        <v>962</v>
      </c>
      <c r="B999" s="13">
        <f>IFERROR(__xludf.DUMMYFUNCTION("GOOGLEFINANCE(A999,""PRICE"")"),0.06)</f>
        <v>0.06</v>
      </c>
      <c r="C999" s="14">
        <f>IFERROR(__xludf.DUMMYFUNCTION("GOOGLEFINANCE(A999,""PRICEOPEN"")"),0.05)</f>
        <v>0.05</v>
      </c>
      <c r="D999" s="14">
        <f>IFERROR(__xludf.DUMMYFUNCTION("GOOGLEFINANCE(A999,""HIGH"")"),0.06)</f>
        <v>0.06</v>
      </c>
      <c r="E999" s="14">
        <f>IFERROR(__xludf.DUMMYFUNCTION("GOOGLEFINANCE(A999,""LOW"")"),0.05)</f>
        <v>0.05</v>
      </c>
      <c r="F999" s="15" t="str">
        <f t="shared" si="8"/>
        <v>BUY</v>
      </c>
      <c r="G999" s="16">
        <f>IFERROR(__xludf.DUMMYFUNCTION("GOOGLEFINANCE(A999,""CLOSEYEST"")"),0.05)</f>
        <v>0.05</v>
      </c>
      <c r="H999" s="17" t="str">
        <f t="shared" si="14"/>
        <v/>
      </c>
      <c r="I999" s="18">
        <f t="shared" si="9"/>
        <v>0.05333333333</v>
      </c>
      <c r="J999" s="19">
        <f t="shared" si="10"/>
        <v>0.05666666667</v>
      </c>
      <c r="K999" s="19"/>
      <c r="L999" s="19">
        <f t="shared" si="11"/>
        <v>0.04666666667</v>
      </c>
      <c r="M999" s="19">
        <f t="shared" si="12"/>
        <v>0.06333333333</v>
      </c>
      <c r="N999" s="19">
        <f t="shared" si="13"/>
        <v>0.04333333333</v>
      </c>
    </row>
    <row r="1000" ht="24.75" customHeight="1">
      <c r="A1000" s="21" t="s">
        <v>963</v>
      </c>
      <c r="B1000" s="13" t="str">
        <f>IFERROR(__xludf.DUMMYFUNCTION("GOOGLEFINANCE(A1000,""PRICE"")"),"#N/A")</f>
        <v>#N/A</v>
      </c>
      <c r="C1000" s="14" t="str">
        <f>IFERROR(__xludf.DUMMYFUNCTION("GOOGLEFINANCE(A1000,""PRICEOPEN"")"),"#N/A")</f>
        <v>#N/A</v>
      </c>
      <c r="D1000" s="14" t="str">
        <f>IFERROR(__xludf.DUMMYFUNCTION("GOOGLEFINANCE(A1000,""HIGH"")"),"#N/A")</f>
        <v>#N/A</v>
      </c>
      <c r="E1000" s="14" t="str">
        <f>IFERROR(__xludf.DUMMYFUNCTION("GOOGLEFINANCE(A1000,""LOW"")"),"#N/A")</f>
        <v>#N/A</v>
      </c>
      <c r="F1000" s="15" t="str">
        <f t="shared" si="8"/>
        <v>#N/A</v>
      </c>
      <c r="G1000" s="16" t="str">
        <f>IFERROR(__xludf.DUMMYFUNCTION("GOOGLEFINANCE(A1000,""CLOSEYEST"")"),"#N/A")</f>
        <v>#N/A</v>
      </c>
      <c r="H1000" s="17" t="str">
        <f t="shared" si="14"/>
        <v>#N/A</v>
      </c>
      <c r="I1000" s="18" t="str">
        <f t="shared" si="9"/>
        <v>#N/A</v>
      </c>
      <c r="J1000" s="19" t="str">
        <f t="shared" si="10"/>
        <v>#N/A</v>
      </c>
      <c r="K1000" s="19"/>
      <c r="L1000" s="19" t="str">
        <f t="shared" si="11"/>
        <v>#N/A</v>
      </c>
      <c r="M1000" s="19" t="str">
        <f t="shared" si="12"/>
        <v>#N/A</v>
      </c>
      <c r="N1000" s="19" t="str">
        <f t="shared" si="13"/>
        <v>#N/A</v>
      </c>
    </row>
    <row r="1001" ht="24.75" customHeight="1">
      <c r="A1001" s="21" t="s">
        <v>964</v>
      </c>
      <c r="B1001" s="13">
        <f>IFERROR(__xludf.DUMMYFUNCTION("GOOGLEFINANCE(A1001,""PRICE"")"),1.85)</f>
        <v>1.85</v>
      </c>
      <c r="C1001" s="14">
        <f>IFERROR(__xludf.DUMMYFUNCTION("GOOGLEFINANCE(A1001,""PRICEOPEN"")"),1.77)</f>
        <v>1.77</v>
      </c>
      <c r="D1001" s="14">
        <f>IFERROR(__xludf.DUMMYFUNCTION("GOOGLEFINANCE(A1001,""HIGH"")"),1.85)</f>
        <v>1.85</v>
      </c>
      <c r="E1001" s="14">
        <f>IFERROR(__xludf.DUMMYFUNCTION("GOOGLEFINANCE(A1001,""LOW"")"),1.73)</f>
        <v>1.73</v>
      </c>
      <c r="F1001" s="15" t="str">
        <f t="shared" si="8"/>
        <v/>
      </c>
      <c r="G1001" s="16">
        <f>IFERROR(__xludf.DUMMYFUNCTION("GOOGLEFINANCE(A1001,""CLOSEYEST"")"),1.77)</f>
        <v>1.77</v>
      </c>
      <c r="H1001" s="17" t="str">
        <f t="shared" si="14"/>
        <v/>
      </c>
      <c r="I1001" s="18">
        <f t="shared" si="9"/>
        <v>1.783333333</v>
      </c>
      <c r="J1001" s="19">
        <f t="shared" si="10"/>
        <v>1.836666667</v>
      </c>
      <c r="K1001" s="19"/>
      <c r="L1001" s="19">
        <f t="shared" si="11"/>
        <v>1.716666667</v>
      </c>
      <c r="M1001" s="19">
        <f t="shared" si="12"/>
        <v>1.903333333</v>
      </c>
      <c r="N1001" s="19">
        <f t="shared" si="13"/>
        <v>1.663333333</v>
      </c>
    </row>
    <row r="1002" ht="24.75" customHeight="1">
      <c r="A1002" s="21" t="s">
        <v>965</v>
      </c>
      <c r="B1002" s="13">
        <f>IFERROR(__xludf.DUMMYFUNCTION("GOOGLEFINANCE(A1002,""PRICE"")"),1260.0)</f>
        <v>1260</v>
      </c>
      <c r="C1002" s="14">
        <f>IFERROR(__xludf.DUMMYFUNCTION("GOOGLEFINANCE(A1002,""PRICEOPEN"")"),1263.7)</f>
        <v>1263.7</v>
      </c>
      <c r="D1002" s="14">
        <f>IFERROR(__xludf.DUMMYFUNCTION("GOOGLEFINANCE(A1002,""HIGH"")"),1279.0)</f>
        <v>1279</v>
      </c>
      <c r="E1002" s="14">
        <f>IFERROR(__xludf.DUMMYFUNCTION("GOOGLEFINANCE(A1002,""LOW"")"),1244.6)</f>
        <v>1244.6</v>
      </c>
      <c r="F1002" s="15" t="str">
        <f t="shared" si="8"/>
        <v/>
      </c>
      <c r="G1002" s="16">
        <f>IFERROR(__xludf.DUMMYFUNCTION("GOOGLEFINANCE(A1002,""CLOSEYEST"")"),1260.2)</f>
        <v>1260.2</v>
      </c>
      <c r="H1002" s="17" t="str">
        <f t="shared" si="14"/>
        <v/>
      </c>
      <c r="I1002" s="18">
        <f t="shared" si="9"/>
        <v>1261.266667</v>
      </c>
      <c r="J1002" s="19">
        <f t="shared" si="10"/>
        <v>1277.933333</v>
      </c>
      <c r="K1002" s="19"/>
      <c r="L1002" s="19">
        <f t="shared" si="11"/>
        <v>1243.533333</v>
      </c>
      <c r="M1002" s="19">
        <f t="shared" si="12"/>
        <v>1295.666667</v>
      </c>
      <c r="N1002" s="19">
        <f t="shared" si="13"/>
        <v>1226.866667</v>
      </c>
    </row>
    <row r="1003" ht="24.75" customHeight="1">
      <c r="A1003" s="21" t="s">
        <v>966</v>
      </c>
      <c r="B1003" s="13">
        <f>IFERROR(__xludf.DUMMYFUNCTION("GOOGLEFINANCE(A1003,""PRICE"")"),1101.0)</f>
        <v>1101</v>
      </c>
      <c r="C1003" s="14">
        <f>IFERROR(__xludf.DUMMYFUNCTION("GOOGLEFINANCE(A1003,""PRICEOPEN"")"),1085.0)</f>
        <v>1085</v>
      </c>
      <c r="D1003" s="14">
        <f>IFERROR(__xludf.DUMMYFUNCTION("GOOGLEFINANCE(A1003,""HIGH"")"),1118.5)</f>
        <v>1118.5</v>
      </c>
      <c r="E1003" s="14">
        <f>IFERROR(__xludf.DUMMYFUNCTION("GOOGLEFINANCE(A1003,""LOW"")"),1076.0)</f>
        <v>1076</v>
      </c>
      <c r="F1003" s="15" t="str">
        <f t="shared" si="8"/>
        <v/>
      </c>
      <c r="G1003" s="16">
        <f>IFERROR(__xludf.DUMMYFUNCTION("GOOGLEFINANCE(A1003,""CLOSEYEST"")"),1082.6)</f>
        <v>1082.6</v>
      </c>
      <c r="H1003" s="17" t="str">
        <f t="shared" si="14"/>
        <v/>
      </c>
      <c r="I1003" s="18">
        <f t="shared" si="9"/>
        <v>1092.366667</v>
      </c>
      <c r="J1003" s="19">
        <f t="shared" si="10"/>
        <v>1108.733333</v>
      </c>
      <c r="K1003" s="19"/>
      <c r="L1003" s="19">
        <f t="shared" si="11"/>
        <v>1066.233333</v>
      </c>
      <c r="M1003" s="19">
        <f t="shared" si="12"/>
        <v>1134.866667</v>
      </c>
      <c r="N1003" s="19">
        <f t="shared" si="13"/>
        <v>1049.866667</v>
      </c>
    </row>
    <row r="1004" ht="24.75" customHeight="1">
      <c r="A1004" s="21" t="s">
        <v>967</v>
      </c>
      <c r="B1004" s="13">
        <f>IFERROR(__xludf.DUMMYFUNCTION("GOOGLEFINANCE(A1004,""PRICE"")"),207.0)</f>
        <v>207</v>
      </c>
      <c r="C1004" s="14">
        <f>IFERROR(__xludf.DUMMYFUNCTION("GOOGLEFINANCE(A1004,""PRICEOPEN"")"),200.0)</f>
        <v>200</v>
      </c>
      <c r="D1004" s="14">
        <f>IFERROR(__xludf.DUMMYFUNCTION("GOOGLEFINANCE(A1004,""HIGH"")"),207.89)</f>
        <v>207.89</v>
      </c>
      <c r="E1004" s="14">
        <f>IFERROR(__xludf.DUMMYFUNCTION("GOOGLEFINANCE(A1004,""LOW"")"),198.93)</f>
        <v>198.93</v>
      </c>
      <c r="F1004" s="15" t="str">
        <f t="shared" si="8"/>
        <v/>
      </c>
      <c r="G1004" s="16">
        <f>IFERROR(__xludf.DUMMYFUNCTION("GOOGLEFINANCE(A1004,""CLOSEYEST"")"),198.93)</f>
        <v>198.93</v>
      </c>
      <c r="H1004" s="17" t="str">
        <f t="shared" si="14"/>
        <v/>
      </c>
      <c r="I1004" s="18">
        <f t="shared" si="9"/>
        <v>201.9166667</v>
      </c>
      <c r="J1004" s="19">
        <f t="shared" si="10"/>
        <v>204.9033333</v>
      </c>
      <c r="K1004" s="19"/>
      <c r="L1004" s="19">
        <f t="shared" si="11"/>
        <v>195.9433333</v>
      </c>
      <c r="M1004" s="19">
        <f t="shared" si="12"/>
        <v>210.8766667</v>
      </c>
      <c r="N1004" s="19">
        <f t="shared" si="13"/>
        <v>192.9566667</v>
      </c>
    </row>
    <row r="1005" ht="24.75" customHeight="1">
      <c r="A1005" s="21" t="s">
        <v>968</v>
      </c>
      <c r="B1005" s="13" t="str">
        <f>IFERROR(__xludf.DUMMYFUNCTION("GOOGLEFINANCE(A1005,""PRICE"")"),"#N/A")</f>
        <v>#N/A</v>
      </c>
      <c r="C1005" s="14" t="str">
        <f>IFERROR(__xludf.DUMMYFUNCTION("GOOGLEFINANCE(A1005,""PRICEOPEN"")"),"#N/A")</f>
        <v>#N/A</v>
      </c>
      <c r="D1005" s="14" t="str">
        <f>IFERROR(__xludf.DUMMYFUNCTION("GOOGLEFINANCE(A1005,""HIGH"")"),"#N/A")</f>
        <v>#N/A</v>
      </c>
      <c r="E1005" s="14" t="str">
        <f>IFERROR(__xludf.DUMMYFUNCTION("GOOGLEFINANCE(A1005,""LOW"")"),"#N/A")</f>
        <v>#N/A</v>
      </c>
      <c r="F1005" s="15" t="str">
        <f t="shared" si="8"/>
        <v>#N/A</v>
      </c>
      <c r="G1005" s="16" t="str">
        <f>IFERROR(__xludf.DUMMYFUNCTION("GOOGLEFINANCE(A1005,""CLOSEYEST"")"),"#N/A")</f>
        <v>#N/A</v>
      </c>
      <c r="H1005" s="17" t="str">
        <f t="shared" si="14"/>
        <v>#N/A</v>
      </c>
      <c r="I1005" s="18" t="str">
        <f t="shared" si="9"/>
        <v>#N/A</v>
      </c>
      <c r="J1005" s="19" t="str">
        <f t="shared" si="10"/>
        <v>#N/A</v>
      </c>
      <c r="K1005" s="19"/>
      <c r="L1005" s="19" t="str">
        <f t="shared" si="11"/>
        <v>#N/A</v>
      </c>
      <c r="M1005" s="19" t="str">
        <f t="shared" si="12"/>
        <v>#N/A</v>
      </c>
      <c r="N1005" s="19" t="str">
        <f t="shared" si="13"/>
        <v>#N/A</v>
      </c>
    </row>
    <row r="1006" ht="24.75" customHeight="1">
      <c r="A1006" s="21" t="s">
        <v>969</v>
      </c>
      <c r="B1006" s="13" t="str">
        <f>IFERROR(__xludf.DUMMYFUNCTION("GOOGLEFINANCE(A1006,""PRICE"")"),"#N/A")</f>
        <v>#N/A</v>
      </c>
      <c r="C1006" s="14" t="str">
        <f>IFERROR(__xludf.DUMMYFUNCTION("GOOGLEFINANCE(A1006,""PRICEOPEN"")"),"#N/A")</f>
        <v>#N/A</v>
      </c>
      <c r="D1006" s="14" t="str">
        <f>IFERROR(__xludf.DUMMYFUNCTION("GOOGLEFINANCE(A1006,""HIGH"")"),"#N/A")</f>
        <v>#N/A</v>
      </c>
      <c r="E1006" s="14" t="str">
        <f>IFERROR(__xludf.DUMMYFUNCTION("GOOGLEFINANCE(A1006,""LOW"")"),"#N/A")</f>
        <v>#N/A</v>
      </c>
      <c r="F1006" s="15" t="str">
        <f t="shared" si="8"/>
        <v>#N/A</v>
      </c>
      <c r="G1006" s="16" t="str">
        <f>IFERROR(__xludf.DUMMYFUNCTION("GOOGLEFINANCE(A1006,""CLOSEYEST"")"),"#N/A")</f>
        <v>#N/A</v>
      </c>
      <c r="H1006" s="17" t="str">
        <f t="shared" si="14"/>
        <v>#N/A</v>
      </c>
      <c r="I1006" s="18" t="str">
        <f t="shared" si="9"/>
        <v>#N/A</v>
      </c>
      <c r="J1006" s="19" t="str">
        <f t="shared" si="10"/>
        <v>#N/A</v>
      </c>
      <c r="K1006" s="19"/>
      <c r="L1006" s="19" t="str">
        <f t="shared" si="11"/>
        <v>#N/A</v>
      </c>
      <c r="M1006" s="19" t="str">
        <f t="shared" si="12"/>
        <v>#N/A</v>
      </c>
      <c r="N1006" s="19" t="str">
        <f t="shared" si="13"/>
        <v>#N/A</v>
      </c>
    </row>
    <row r="1007" ht="24.75" customHeight="1">
      <c r="A1007" s="21" t="s">
        <v>970</v>
      </c>
      <c r="B1007" s="13">
        <f>IFERROR(__xludf.DUMMYFUNCTION("GOOGLEFINANCE(A1007,""PRICE"")"),689.4)</f>
        <v>689.4</v>
      </c>
      <c r="C1007" s="14">
        <f>IFERROR(__xludf.DUMMYFUNCTION("GOOGLEFINANCE(A1007,""PRICEOPEN"")"),672.0)</f>
        <v>672</v>
      </c>
      <c r="D1007" s="14">
        <f>IFERROR(__xludf.DUMMYFUNCTION("GOOGLEFINANCE(A1007,""HIGH"")"),711.8)</f>
        <v>711.8</v>
      </c>
      <c r="E1007" s="14">
        <f>IFERROR(__xludf.DUMMYFUNCTION("GOOGLEFINANCE(A1007,""LOW"")"),662.25)</f>
        <v>662.25</v>
      </c>
      <c r="F1007" s="15" t="str">
        <f t="shared" si="8"/>
        <v/>
      </c>
      <c r="G1007" s="16">
        <f>IFERROR(__xludf.DUMMYFUNCTION("GOOGLEFINANCE(A1007,""CLOSEYEST"")"),670.1)</f>
        <v>670.1</v>
      </c>
      <c r="H1007" s="17" t="str">
        <f t="shared" si="14"/>
        <v/>
      </c>
      <c r="I1007" s="18">
        <f t="shared" si="9"/>
        <v>681.3833333</v>
      </c>
      <c r="J1007" s="19">
        <f t="shared" si="10"/>
        <v>700.5166667</v>
      </c>
      <c r="K1007" s="19"/>
      <c r="L1007" s="19">
        <f t="shared" si="11"/>
        <v>650.9666667</v>
      </c>
      <c r="M1007" s="19">
        <f t="shared" si="12"/>
        <v>730.9333333</v>
      </c>
      <c r="N1007" s="19">
        <f t="shared" si="13"/>
        <v>631.8333333</v>
      </c>
    </row>
    <row r="1008" ht="24.75" customHeight="1">
      <c r="A1008" s="21" t="s">
        <v>971</v>
      </c>
      <c r="B1008" s="13">
        <f>IFERROR(__xludf.DUMMYFUNCTION("GOOGLEFINANCE(A1008,""PRICE"")"),2271.9)</f>
        <v>2271.9</v>
      </c>
      <c r="C1008" s="14">
        <f>IFERROR(__xludf.DUMMYFUNCTION("GOOGLEFINANCE(A1008,""PRICEOPEN"")"),2263.5)</f>
        <v>2263.5</v>
      </c>
      <c r="D1008" s="14">
        <f>IFERROR(__xludf.DUMMYFUNCTION("GOOGLEFINANCE(A1008,""HIGH"")"),2281.2)</f>
        <v>2281.2</v>
      </c>
      <c r="E1008" s="14">
        <f>IFERROR(__xludf.DUMMYFUNCTION("GOOGLEFINANCE(A1008,""LOW"")"),2250.0)</f>
        <v>2250</v>
      </c>
      <c r="F1008" s="15" t="str">
        <f t="shared" si="8"/>
        <v/>
      </c>
      <c r="G1008" s="16">
        <f>IFERROR(__xludf.DUMMYFUNCTION("GOOGLEFINANCE(A1008,""CLOSEYEST"")"),2264.8)</f>
        <v>2264.8</v>
      </c>
      <c r="H1008" s="17" t="str">
        <f t="shared" si="14"/>
        <v/>
      </c>
      <c r="I1008" s="18">
        <f t="shared" si="9"/>
        <v>2265.333333</v>
      </c>
      <c r="J1008" s="19">
        <f t="shared" si="10"/>
        <v>2280.666667</v>
      </c>
      <c r="K1008" s="19"/>
      <c r="L1008" s="19">
        <f t="shared" si="11"/>
        <v>2249.466667</v>
      </c>
      <c r="M1008" s="19">
        <f t="shared" si="12"/>
        <v>2296.533333</v>
      </c>
      <c r="N1008" s="19">
        <f t="shared" si="13"/>
        <v>2234.133333</v>
      </c>
    </row>
    <row r="1009" ht="24.75" customHeight="1">
      <c r="A1009" s="21" t="s">
        <v>972</v>
      </c>
      <c r="B1009" s="13">
        <f>IFERROR(__xludf.DUMMYFUNCTION("GOOGLEFINANCE(A1009,""PRICE"")"),3294.6)</f>
        <v>3294.6</v>
      </c>
      <c r="C1009" s="14">
        <f>IFERROR(__xludf.DUMMYFUNCTION("GOOGLEFINANCE(A1009,""PRICEOPEN"")"),3137.0)</f>
        <v>3137</v>
      </c>
      <c r="D1009" s="14">
        <f>IFERROR(__xludf.DUMMYFUNCTION("GOOGLEFINANCE(A1009,""HIGH"")"),3294.6)</f>
        <v>3294.6</v>
      </c>
      <c r="E1009" s="14">
        <f>IFERROR(__xludf.DUMMYFUNCTION("GOOGLEFINANCE(A1009,""LOW"")"),3018.7)</f>
        <v>3018.7</v>
      </c>
      <c r="F1009" s="15" t="str">
        <f t="shared" si="8"/>
        <v/>
      </c>
      <c r="G1009" s="16">
        <f>IFERROR(__xludf.DUMMYFUNCTION("GOOGLEFINANCE(A1009,""CLOSEYEST"")"),3137.8)</f>
        <v>3137.8</v>
      </c>
      <c r="H1009" s="17" t="str">
        <f t="shared" si="14"/>
        <v/>
      </c>
      <c r="I1009" s="18">
        <f t="shared" si="9"/>
        <v>3150.366667</v>
      </c>
      <c r="J1009" s="19">
        <f t="shared" si="10"/>
        <v>3282.033333</v>
      </c>
      <c r="K1009" s="19"/>
      <c r="L1009" s="19">
        <f t="shared" si="11"/>
        <v>3006.133333</v>
      </c>
      <c r="M1009" s="19">
        <f t="shared" si="12"/>
        <v>3426.266667</v>
      </c>
      <c r="N1009" s="19">
        <f t="shared" si="13"/>
        <v>2874.466667</v>
      </c>
    </row>
    <row r="1010" ht="24.75" customHeight="1">
      <c r="A1010" s="21" t="s">
        <v>973</v>
      </c>
      <c r="B1010" s="13" t="str">
        <f>IFERROR(__xludf.DUMMYFUNCTION("GOOGLEFINANCE(A1010,""PRICE"")"),"#N/A")</f>
        <v>#N/A</v>
      </c>
      <c r="C1010" s="14" t="str">
        <f>IFERROR(__xludf.DUMMYFUNCTION("GOOGLEFINANCE(A1010,""PRICEOPEN"")"),"#N/A")</f>
        <v>#N/A</v>
      </c>
      <c r="D1010" s="14" t="str">
        <f>IFERROR(__xludf.DUMMYFUNCTION("GOOGLEFINANCE(A1010,""HIGH"")"),"#N/A")</f>
        <v>#N/A</v>
      </c>
      <c r="E1010" s="14" t="str">
        <f>IFERROR(__xludf.DUMMYFUNCTION("GOOGLEFINANCE(A1010,""LOW"")"),"#N/A")</f>
        <v>#N/A</v>
      </c>
      <c r="F1010" s="15" t="str">
        <f t="shared" si="8"/>
        <v>#N/A</v>
      </c>
      <c r="G1010" s="16" t="str">
        <f>IFERROR(__xludf.DUMMYFUNCTION("GOOGLEFINANCE(A1010,""CLOSEYEST"")"),"#N/A")</f>
        <v>#N/A</v>
      </c>
      <c r="H1010" s="17" t="str">
        <f t="shared" si="14"/>
        <v>#N/A</v>
      </c>
      <c r="I1010" s="18" t="str">
        <f t="shared" si="9"/>
        <v>#N/A</v>
      </c>
      <c r="J1010" s="19" t="str">
        <f t="shared" si="10"/>
        <v>#N/A</v>
      </c>
      <c r="K1010" s="19"/>
      <c r="L1010" s="19" t="str">
        <f t="shared" si="11"/>
        <v>#N/A</v>
      </c>
      <c r="M1010" s="19" t="str">
        <f t="shared" si="12"/>
        <v>#N/A</v>
      </c>
      <c r="N1010" s="19" t="str">
        <f t="shared" si="13"/>
        <v>#N/A</v>
      </c>
    </row>
    <row r="1011" ht="24.75" customHeight="1">
      <c r="A1011" s="21" t="s">
        <v>974</v>
      </c>
      <c r="B1011" s="13">
        <f>IFERROR(__xludf.DUMMYFUNCTION("GOOGLEFINANCE(A1011,""PRICE"")"),83.5)</f>
        <v>83.5</v>
      </c>
      <c r="C1011" s="14">
        <f>IFERROR(__xludf.DUMMYFUNCTION("GOOGLEFINANCE(A1011,""PRICEOPEN"")"),81.34)</f>
        <v>81.34</v>
      </c>
      <c r="D1011" s="14">
        <f>IFERROR(__xludf.DUMMYFUNCTION("GOOGLEFINANCE(A1011,""HIGH"")"),83.69)</f>
        <v>83.69</v>
      </c>
      <c r="E1011" s="14">
        <f>IFERROR(__xludf.DUMMYFUNCTION("GOOGLEFINANCE(A1011,""LOW"")"),80.71)</f>
        <v>80.71</v>
      </c>
      <c r="F1011" s="15" t="str">
        <f t="shared" si="8"/>
        <v/>
      </c>
      <c r="G1011" s="16">
        <f>IFERROR(__xludf.DUMMYFUNCTION("GOOGLEFINANCE(A1011,""CLOSEYEST"")"),81.34)</f>
        <v>81.34</v>
      </c>
      <c r="H1011" s="17" t="str">
        <f t="shared" si="14"/>
        <v/>
      </c>
      <c r="I1011" s="18">
        <f t="shared" si="9"/>
        <v>81.91333333</v>
      </c>
      <c r="J1011" s="19">
        <f t="shared" si="10"/>
        <v>83.11666667</v>
      </c>
      <c r="K1011" s="19"/>
      <c r="L1011" s="19">
        <f t="shared" si="11"/>
        <v>80.13666667</v>
      </c>
      <c r="M1011" s="19">
        <f t="shared" si="12"/>
        <v>84.89333333</v>
      </c>
      <c r="N1011" s="19">
        <f t="shared" si="13"/>
        <v>78.93333333</v>
      </c>
    </row>
    <row r="1012" ht="24.75" customHeight="1">
      <c r="A1012" s="21" t="s">
        <v>975</v>
      </c>
      <c r="B1012" s="13">
        <f>IFERROR(__xludf.DUMMYFUNCTION("GOOGLEFINANCE(A1012,""PRICE"")"),57.21)</f>
        <v>57.21</v>
      </c>
      <c r="C1012" s="14">
        <f>IFERROR(__xludf.DUMMYFUNCTION("GOOGLEFINANCE(A1012,""PRICEOPEN"")"),55.11)</f>
        <v>55.11</v>
      </c>
      <c r="D1012" s="14">
        <f>IFERROR(__xludf.DUMMYFUNCTION("GOOGLEFINANCE(A1012,""HIGH"")"),59.0)</f>
        <v>59</v>
      </c>
      <c r="E1012" s="14">
        <f>IFERROR(__xludf.DUMMYFUNCTION("GOOGLEFINANCE(A1012,""LOW"")"),55.1)</f>
        <v>55.1</v>
      </c>
      <c r="F1012" s="15" t="str">
        <f t="shared" si="8"/>
        <v/>
      </c>
      <c r="G1012" s="16">
        <f>IFERROR(__xludf.DUMMYFUNCTION("GOOGLEFINANCE(A1012,""CLOSEYEST"")"),56.0)</f>
        <v>56</v>
      </c>
      <c r="H1012" s="17" t="str">
        <f t="shared" si="14"/>
        <v>GAP DOWN</v>
      </c>
      <c r="I1012" s="18">
        <f t="shared" si="9"/>
        <v>56.7</v>
      </c>
      <c r="J1012" s="19">
        <f t="shared" si="10"/>
        <v>58.3</v>
      </c>
      <c r="K1012" s="19"/>
      <c r="L1012" s="19">
        <f t="shared" si="11"/>
        <v>54.4</v>
      </c>
      <c r="M1012" s="19">
        <f t="shared" si="12"/>
        <v>60.6</v>
      </c>
      <c r="N1012" s="19">
        <f t="shared" si="13"/>
        <v>52.8</v>
      </c>
    </row>
    <row r="1013" ht="24.75" customHeight="1">
      <c r="A1013" s="21" t="s">
        <v>976</v>
      </c>
      <c r="B1013" s="13" t="str">
        <f>IFERROR(__xludf.DUMMYFUNCTION("GOOGLEFINANCE(A1013,""PRICE"")"),"#N/A")</f>
        <v>#N/A</v>
      </c>
      <c r="C1013" s="14" t="str">
        <f>IFERROR(__xludf.DUMMYFUNCTION("GOOGLEFINANCE(A1013,""PRICEOPEN"")"),"#N/A")</f>
        <v>#N/A</v>
      </c>
      <c r="D1013" s="14" t="str">
        <f>IFERROR(__xludf.DUMMYFUNCTION("GOOGLEFINANCE(A1013,""HIGH"")"),"#N/A")</f>
        <v>#N/A</v>
      </c>
      <c r="E1013" s="14" t="str">
        <f>IFERROR(__xludf.DUMMYFUNCTION("GOOGLEFINANCE(A1013,""LOW"")"),"#N/A")</f>
        <v>#N/A</v>
      </c>
      <c r="F1013" s="15" t="str">
        <f t="shared" si="8"/>
        <v>#N/A</v>
      </c>
      <c r="G1013" s="16" t="str">
        <f>IFERROR(__xludf.DUMMYFUNCTION("GOOGLEFINANCE(A1013,""CLOSEYEST"")"),"#N/A")</f>
        <v>#N/A</v>
      </c>
      <c r="H1013" s="17" t="str">
        <f t="shared" si="14"/>
        <v>#N/A</v>
      </c>
      <c r="I1013" s="18" t="str">
        <f t="shared" si="9"/>
        <v>#N/A</v>
      </c>
      <c r="J1013" s="19" t="str">
        <f t="shared" si="10"/>
        <v>#N/A</v>
      </c>
      <c r="K1013" s="19"/>
      <c r="L1013" s="19" t="str">
        <f t="shared" si="11"/>
        <v>#N/A</v>
      </c>
      <c r="M1013" s="19" t="str">
        <f t="shared" si="12"/>
        <v>#N/A</v>
      </c>
      <c r="N1013" s="19" t="str">
        <f t="shared" si="13"/>
        <v>#N/A</v>
      </c>
    </row>
    <row r="1014" ht="24.75" customHeight="1">
      <c r="A1014" s="21" t="s">
        <v>977</v>
      </c>
      <c r="B1014" s="13">
        <f>IFERROR(__xludf.DUMMYFUNCTION("GOOGLEFINANCE(A1014,""PRICE"")"),1298.0)</f>
        <v>1298</v>
      </c>
      <c r="C1014" s="14">
        <f>IFERROR(__xludf.DUMMYFUNCTION("GOOGLEFINANCE(A1014,""PRICEOPEN"")"),1314.8)</f>
        <v>1314.8</v>
      </c>
      <c r="D1014" s="14">
        <f>IFERROR(__xludf.DUMMYFUNCTION("GOOGLEFINANCE(A1014,""HIGH"")"),1349.0)</f>
        <v>1349</v>
      </c>
      <c r="E1014" s="14">
        <f>IFERROR(__xludf.DUMMYFUNCTION("GOOGLEFINANCE(A1014,""LOW"")"),1286.7)</f>
        <v>1286.7</v>
      </c>
      <c r="F1014" s="15" t="str">
        <f t="shared" si="8"/>
        <v/>
      </c>
      <c r="G1014" s="16">
        <f>IFERROR(__xludf.DUMMYFUNCTION("GOOGLEFINANCE(A1014,""CLOSEYEST"")"),1306.7)</f>
        <v>1306.7</v>
      </c>
      <c r="H1014" s="17" t="str">
        <f t="shared" si="14"/>
        <v/>
      </c>
      <c r="I1014" s="18">
        <f t="shared" si="9"/>
        <v>1314.133333</v>
      </c>
      <c r="J1014" s="19">
        <f t="shared" si="10"/>
        <v>1341.566667</v>
      </c>
      <c r="K1014" s="19"/>
      <c r="L1014" s="19">
        <f t="shared" si="11"/>
        <v>1279.266667</v>
      </c>
      <c r="M1014" s="19">
        <f t="shared" si="12"/>
        <v>1376.433333</v>
      </c>
      <c r="N1014" s="19">
        <f t="shared" si="13"/>
        <v>1251.833333</v>
      </c>
    </row>
    <row r="1015" ht="24.75" customHeight="1">
      <c r="A1015" s="21" t="s">
        <v>978</v>
      </c>
      <c r="B1015" s="13">
        <f>IFERROR(__xludf.DUMMYFUNCTION("GOOGLEFINANCE(A1015,""PRICE"")"),1520.0)</f>
        <v>1520</v>
      </c>
      <c r="C1015" s="14">
        <f>IFERROR(__xludf.DUMMYFUNCTION("GOOGLEFINANCE(A1015,""PRICEOPEN"")"),1438.8)</f>
        <v>1438.8</v>
      </c>
      <c r="D1015" s="14">
        <f>IFERROR(__xludf.DUMMYFUNCTION("GOOGLEFINANCE(A1015,""HIGH"")"),1521.0)</f>
        <v>1521</v>
      </c>
      <c r="E1015" s="14">
        <f>IFERROR(__xludf.DUMMYFUNCTION("GOOGLEFINANCE(A1015,""LOW"")"),1434.7)</f>
        <v>1434.7</v>
      </c>
      <c r="F1015" s="15" t="str">
        <f t="shared" si="8"/>
        <v/>
      </c>
      <c r="G1015" s="16">
        <f>IFERROR(__xludf.DUMMYFUNCTION("GOOGLEFINANCE(A1015,""CLOSEYEST"")"),1438.8)</f>
        <v>1438.8</v>
      </c>
      <c r="H1015" s="17" t="str">
        <f t="shared" si="14"/>
        <v/>
      </c>
      <c r="I1015" s="18">
        <f t="shared" si="9"/>
        <v>1464.833333</v>
      </c>
      <c r="J1015" s="19">
        <f t="shared" si="10"/>
        <v>1494.966667</v>
      </c>
      <c r="K1015" s="19"/>
      <c r="L1015" s="19">
        <f t="shared" si="11"/>
        <v>1408.666667</v>
      </c>
      <c r="M1015" s="19">
        <f t="shared" si="12"/>
        <v>1551.133333</v>
      </c>
      <c r="N1015" s="19">
        <f t="shared" si="13"/>
        <v>1378.533333</v>
      </c>
    </row>
    <row r="1016" ht="24.75" customHeight="1">
      <c r="A1016" s="21" t="s">
        <v>979</v>
      </c>
      <c r="B1016" s="13">
        <f>IFERROR(__xludf.DUMMYFUNCTION("GOOGLEFINANCE(A1016,""PRICE"")"),13.67)</f>
        <v>13.67</v>
      </c>
      <c r="C1016" s="14">
        <f>IFERROR(__xludf.DUMMYFUNCTION("GOOGLEFINANCE(A1016,""PRICEOPEN"")"),13.2)</f>
        <v>13.2</v>
      </c>
      <c r="D1016" s="14">
        <f>IFERROR(__xludf.DUMMYFUNCTION("GOOGLEFINANCE(A1016,""HIGH"")"),13.67)</f>
        <v>13.67</v>
      </c>
      <c r="E1016" s="14">
        <f>IFERROR(__xludf.DUMMYFUNCTION("GOOGLEFINANCE(A1016,""LOW"")"),13.0)</f>
        <v>13</v>
      </c>
      <c r="F1016" s="15" t="str">
        <f t="shared" si="8"/>
        <v/>
      </c>
      <c r="G1016" s="16">
        <f>IFERROR(__xludf.DUMMYFUNCTION("GOOGLEFINANCE(A1016,""CLOSEYEST"")"),13.02)</f>
        <v>13.02</v>
      </c>
      <c r="H1016" s="17" t="str">
        <f t="shared" si="14"/>
        <v>GAP UP</v>
      </c>
      <c r="I1016" s="18">
        <f t="shared" si="9"/>
        <v>13.23</v>
      </c>
      <c r="J1016" s="19">
        <f t="shared" si="10"/>
        <v>13.46</v>
      </c>
      <c r="K1016" s="19"/>
      <c r="L1016" s="19">
        <f t="shared" si="11"/>
        <v>12.79</v>
      </c>
      <c r="M1016" s="19">
        <f t="shared" si="12"/>
        <v>13.9</v>
      </c>
      <c r="N1016" s="19">
        <f t="shared" si="13"/>
        <v>12.56</v>
      </c>
    </row>
    <row r="1017" ht="24.75" customHeight="1">
      <c r="A1017" s="21" t="s">
        <v>980</v>
      </c>
      <c r="B1017" s="13" t="str">
        <f>IFERROR(__xludf.DUMMYFUNCTION("GOOGLEFINANCE(A1017,""PRICE"")"),"#N/A")</f>
        <v>#N/A</v>
      </c>
      <c r="C1017" s="14" t="str">
        <f>IFERROR(__xludf.DUMMYFUNCTION("GOOGLEFINANCE(A1017,""PRICEOPEN"")"),"#N/A")</f>
        <v>#N/A</v>
      </c>
      <c r="D1017" s="14" t="str">
        <f>IFERROR(__xludf.DUMMYFUNCTION("GOOGLEFINANCE(A1017,""HIGH"")"),"#N/A")</f>
        <v>#N/A</v>
      </c>
      <c r="E1017" s="14" t="str">
        <f>IFERROR(__xludf.DUMMYFUNCTION("GOOGLEFINANCE(A1017,""LOW"")"),"#N/A")</f>
        <v>#N/A</v>
      </c>
      <c r="F1017" s="15" t="str">
        <f t="shared" si="8"/>
        <v>#N/A</v>
      </c>
      <c r="G1017" s="16" t="str">
        <f>IFERROR(__xludf.DUMMYFUNCTION("GOOGLEFINANCE(A1017,""CLOSEYEST"")"),"#N/A")</f>
        <v>#N/A</v>
      </c>
      <c r="H1017" s="17" t="str">
        <f t="shared" si="14"/>
        <v>#N/A</v>
      </c>
      <c r="I1017" s="18" t="str">
        <f t="shared" si="9"/>
        <v>#N/A</v>
      </c>
      <c r="J1017" s="19" t="str">
        <f t="shared" si="10"/>
        <v>#N/A</v>
      </c>
      <c r="K1017" s="19"/>
      <c r="L1017" s="19" t="str">
        <f t="shared" si="11"/>
        <v>#N/A</v>
      </c>
      <c r="M1017" s="19" t="str">
        <f t="shared" si="12"/>
        <v>#N/A</v>
      </c>
      <c r="N1017" s="19" t="str">
        <f t="shared" si="13"/>
        <v>#N/A</v>
      </c>
    </row>
    <row r="1018" ht="24.75" customHeight="1">
      <c r="A1018" s="21" t="s">
        <v>981</v>
      </c>
      <c r="B1018" s="13">
        <f>IFERROR(__xludf.DUMMYFUNCTION("GOOGLEFINANCE(A1018,""PRICE"")"),15.14)</f>
        <v>15.14</v>
      </c>
      <c r="C1018" s="14">
        <f>IFERROR(__xludf.DUMMYFUNCTION("GOOGLEFINANCE(A1018,""PRICEOPEN"")"),14.8)</f>
        <v>14.8</v>
      </c>
      <c r="D1018" s="14">
        <f>IFERROR(__xludf.DUMMYFUNCTION("GOOGLEFINANCE(A1018,""HIGH"")"),15.15)</f>
        <v>15.15</v>
      </c>
      <c r="E1018" s="14">
        <f>IFERROR(__xludf.DUMMYFUNCTION("GOOGLEFINANCE(A1018,""LOW"")"),14.73)</f>
        <v>14.73</v>
      </c>
      <c r="F1018" s="15" t="str">
        <f t="shared" si="8"/>
        <v/>
      </c>
      <c r="G1018" s="16">
        <f>IFERROR(__xludf.DUMMYFUNCTION("GOOGLEFINANCE(A1018,""CLOSEYEST"")"),14.89)</f>
        <v>14.89</v>
      </c>
      <c r="H1018" s="17" t="str">
        <f t="shared" si="14"/>
        <v/>
      </c>
      <c r="I1018" s="18">
        <f t="shared" si="9"/>
        <v>14.92333333</v>
      </c>
      <c r="J1018" s="19">
        <f t="shared" si="10"/>
        <v>15.11666667</v>
      </c>
      <c r="K1018" s="19"/>
      <c r="L1018" s="19">
        <f t="shared" si="11"/>
        <v>14.69666667</v>
      </c>
      <c r="M1018" s="19">
        <f t="shared" si="12"/>
        <v>15.34333333</v>
      </c>
      <c r="N1018" s="19">
        <f t="shared" si="13"/>
        <v>14.50333333</v>
      </c>
    </row>
    <row r="1019" ht="24.75" customHeight="1">
      <c r="A1019" s="21" t="s">
        <v>982</v>
      </c>
      <c r="B1019" s="13">
        <f>IFERROR(__xludf.DUMMYFUNCTION("GOOGLEFINANCE(A1019,""PRICE"")"),641.25)</f>
        <v>641.25</v>
      </c>
      <c r="C1019" s="14">
        <f>IFERROR(__xludf.DUMMYFUNCTION("GOOGLEFINANCE(A1019,""PRICEOPEN"")"),630.05)</f>
        <v>630.05</v>
      </c>
      <c r="D1019" s="14">
        <f>IFERROR(__xludf.DUMMYFUNCTION("GOOGLEFINANCE(A1019,""HIGH"")"),648.0)</f>
        <v>648</v>
      </c>
      <c r="E1019" s="14">
        <f>IFERROR(__xludf.DUMMYFUNCTION("GOOGLEFINANCE(A1019,""LOW"")"),621.05)</f>
        <v>621.05</v>
      </c>
      <c r="F1019" s="15" t="str">
        <f t="shared" si="8"/>
        <v/>
      </c>
      <c r="G1019" s="16">
        <f>IFERROR(__xludf.DUMMYFUNCTION("GOOGLEFINANCE(A1019,""CLOSEYEST"")"),625.75)</f>
        <v>625.75</v>
      </c>
      <c r="H1019" s="17" t="str">
        <f t="shared" si="14"/>
        <v/>
      </c>
      <c r="I1019" s="18">
        <f t="shared" si="9"/>
        <v>631.6</v>
      </c>
      <c r="J1019" s="19">
        <f t="shared" si="10"/>
        <v>642.15</v>
      </c>
      <c r="K1019" s="19"/>
      <c r="L1019" s="19">
        <f t="shared" si="11"/>
        <v>615.2</v>
      </c>
      <c r="M1019" s="19">
        <f t="shared" si="12"/>
        <v>658.55</v>
      </c>
      <c r="N1019" s="19">
        <f t="shared" si="13"/>
        <v>604.65</v>
      </c>
    </row>
    <row r="1020" ht="24.75" customHeight="1">
      <c r="A1020" s="21" t="s">
        <v>983</v>
      </c>
      <c r="B1020" s="13">
        <f>IFERROR(__xludf.DUMMYFUNCTION("GOOGLEFINANCE(A1020,""PRICE"")"),133.0)</f>
        <v>133</v>
      </c>
      <c r="C1020" s="14">
        <f>IFERROR(__xludf.DUMMYFUNCTION("GOOGLEFINANCE(A1020,""PRICEOPEN"")"),134.36)</f>
        <v>134.36</v>
      </c>
      <c r="D1020" s="14">
        <f>IFERROR(__xludf.DUMMYFUNCTION("GOOGLEFINANCE(A1020,""HIGH"")"),136.05)</f>
        <v>136.05</v>
      </c>
      <c r="E1020" s="14">
        <f>IFERROR(__xludf.DUMMYFUNCTION("GOOGLEFINANCE(A1020,""LOW"")"),132.0)</f>
        <v>132</v>
      </c>
      <c r="F1020" s="15" t="str">
        <f t="shared" si="8"/>
        <v/>
      </c>
      <c r="G1020" s="16">
        <f>IFERROR(__xludf.DUMMYFUNCTION("GOOGLEFINANCE(A1020,""CLOSEYEST"")"),133.88)</f>
        <v>133.88</v>
      </c>
      <c r="H1020" s="17" t="str">
        <f t="shared" si="14"/>
        <v/>
      </c>
      <c r="I1020" s="18">
        <f t="shared" si="9"/>
        <v>133.9766667</v>
      </c>
      <c r="J1020" s="19">
        <f t="shared" si="10"/>
        <v>135.9533333</v>
      </c>
      <c r="K1020" s="19"/>
      <c r="L1020" s="19">
        <f t="shared" si="11"/>
        <v>131.9033333</v>
      </c>
      <c r="M1020" s="19">
        <f t="shared" si="12"/>
        <v>138.0266667</v>
      </c>
      <c r="N1020" s="19">
        <f t="shared" si="13"/>
        <v>129.9266667</v>
      </c>
    </row>
    <row r="1021" ht="24.75" customHeight="1">
      <c r="A1021" s="21" t="s">
        <v>984</v>
      </c>
      <c r="B1021" s="13">
        <f>IFERROR(__xludf.DUMMYFUNCTION("GOOGLEFINANCE(A1021,""PRICE"")"),551.85)</f>
        <v>551.85</v>
      </c>
      <c r="C1021" s="14">
        <f>IFERROR(__xludf.DUMMYFUNCTION("GOOGLEFINANCE(A1021,""PRICEOPEN"")"),554.95)</f>
        <v>554.95</v>
      </c>
      <c r="D1021" s="14">
        <f>IFERROR(__xludf.DUMMYFUNCTION("GOOGLEFINANCE(A1021,""HIGH"")"),559.4)</f>
        <v>559.4</v>
      </c>
      <c r="E1021" s="14">
        <f>IFERROR(__xludf.DUMMYFUNCTION("GOOGLEFINANCE(A1021,""LOW"")"),541.35)</f>
        <v>541.35</v>
      </c>
      <c r="F1021" s="15" t="str">
        <f t="shared" si="8"/>
        <v/>
      </c>
      <c r="G1021" s="16">
        <f>IFERROR(__xludf.DUMMYFUNCTION("GOOGLEFINANCE(A1021,""CLOSEYEST"")"),552.45)</f>
        <v>552.45</v>
      </c>
      <c r="H1021" s="17" t="str">
        <f t="shared" si="14"/>
        <v/>
      </c>
      <c r="I1021" s="18">
        <f t="shared" si="9"/>
        <v>551.0666667</v>
      </c>
      <c r="J1021" s="19">
        <f t="shared" si="10"/>
        <v>560.7833333</v>
      </c>
      <c r="K1021" s="19"/>
      <c r="L1021" s="19">
        <f t="shared" si="11"/>
        <v>542.7333333</v>
      </c>
      <c r="M1021" s="19">
        <f t="shared" si="12"/>
        <v>569.1166667</v>
      </c>
      <c r="N1021" s="19">
        <f t="shared" si="13"/>
        <v>533.0166667</v>
      </c>
    </row>
    <row r="1022" ht="24.75" customHeight="1">
      <c r="A1022" s="21" t="s">
        <v>985</v>
      </c>
      <c r="B1022" s="13">
        <f>IFERROR(__xludf.DUMMYFUNCTION("GOOGLEFINANCE(A1022,""PRICE"")"),5578.0)</f>
        <v>5578</v>
      </c>
      <c r="C1022" s="14">
        <f>IFERROR(__xludf.DUMMYFUNCTION("GOOGLEFINANCE(A1022,""PRICEOPEN"")"),5549.0)</f>
        <v>5549</v>
      </c>
      <c r="D1022" s="14">
        <f>IFERROR(__xludf.DUMMYFUNCTION("GOOGLEFINANCE(A1022,""HIGH"")"),5675.0)</f>
        <v>5675</v>
      </c>
      <c r="E1022" s="14">
        <f>IFERROR(__xludf.DUMMYFUNCTION("GOOGLEFINANCE(A1022,""LOW"")"),5426.0)</f>
        <v>5426</v>
      </c>
      <c r="F1022" s="15" t="str">
        <f t="shared" si="8"/>
        <v/>
      </c>
      <c r="G1022" s="16">
        <f>IFERROR(__xludf.DUMMYFUNCTION("GOOGLEFINANCE(A1022,""CLOSEYEST"")"),5514.0)</f>
        <v>5514</v>
      </c>
      <c r="H1022" s="17" t="str">
        <f t="shared" si="14"/>
        <v/>
      </c>
      <c r="I1022" s="18">
        <f t="shared" si="9"/>
        <v>5538.333333</v>
      </c>
      <c r="J1022" s="19">
        <f t="shared" si="10"/>
        <v>5650.666667</v>
      </c>
      <c r="K1022" s="19"/>
      <c r="L1022" s="19">
        <f t="shared" si="11"/>
        <v>5401.666667</v>
      </c>
      <c r="M1022" s="19">
        <f t="shared" si="12"/>
        <v>5787.333333</v>
      </c>
      <c r="N1022" s="19">
        <f t="shared" si="13"/>
        <v>5289.333333</v>
      </c>
    </row>
    <row r="1023" ht="24.75" customHeight="1">
      <c r="A1023" s="21" t="s">
        <v>986</v>
      </c>
      <c r="B1023" s="13">
        <f>IFERROR(__xludf.DUMMYFUNCTION("GOOGLEFINANCE(A1023,""PRICE"")"),331.2)</f>
        <v>331.2</v>
      </c>
      <c r="C1023" s="14">
        <f>IFERROR(__xludf.DUMMYFUNCTION("GOOGLEFINANCE(A1023,""PRICEOPEN"")"),328.0)</f>
        <v>328</v>
      </c>
      <c r="D1023" s="14">
        <f>IFERROR(__xludf.DUMMYFUNCTION("GOOGLEFINANCE(A1023,""HIGH"")"),333.45)</f>
        <v>333.45</v>
      </c>
      <c r="E1023" s="14">
        <f>IFERROR(__xludf.DUMMYFUNCTION("GOOGLEFINANCE(A1023,""LOW"")"),327.75)</f>
        <v>327.75</v>
      </c>
      <c r="F1023" s="15" t="str">
        <f t="shared" si="8"/>
        <v/>
      </c>
      <c r="G1023" s="16">
        <f>IFERROR(__xludf.DUMMYFUNCTION("GOOGLEFINANCE(A1023,""CLOSEYEST"")"),327.6)</f>
        <v>327.6</v>
      </c>
      <c r="H1023" s="17" t="str">
        <f t="shared" si="14"/>
        <v/>
      </c>
      <c r="I1023" s="18">
        <f t="shared" si="9"/>
        <v>329.6</v>
      </c>
      <c r="J1023" s="19">
        <f t="shared" si="10"/>
        <v>331.45</v>
      </c>
      <c r="K1023" s="19"/>
      <c r="L1023" s="19">
        <f t="shared" si="11"/>
        <v>325.75</v>
      </c>
      <c r="M1023" s="19">
        <f t="shared" si="12"/>
        <v>335.3</v>
      </c>
      <c r="N1023" s="19">
        <f t="shared" si="13"/>
        <v>323.9</v>
      </c>
    </row>
    <row r="1024" ht="24.75" customHeight="1">
      <c r="A1024" s="21" t="s">
        <v>987</v>
      </c>
      <c r="B1024" s="13">
        <f>IFERROR(__xludf.DUMMYFUNCTION("GOOGLEFINANCE(A1024,""PRICE"")"),978.5)</f>
        <v>978.5</v>
      </c>
      <c r="C1024" s="14">
        <f>IFERROR(__xludf.DUMMYFUNCTION("GOOGLEFINANCE(A1024,""PRICEOPEN"")"),951.85)</f>
        <v>951.85</v>
      </c>
      <c r="D1024" s="14">
        <f>IFERROR(__xludf.DUMMYFUNCTION("GOOGLEFINANCE(A1024,""HIGH"")"),982.3)</f>
        <v>982.3</v>
      </c>
      <c r="E1024" s="14">
        <f>IFERROR(__xludf.DUMMYFUNCTION("GOOGLEFINANCE(A1024,""LOW"")"),949.75)</f>
        <v>949.75</v>
      </c>
      <c r="F1024" s="15" t="str">
        <f t="shared" si="8"/>
        <v/>
      </c>
      <c r="G1024" s="16">
        <f>IFERROR(__xludf.DUMMYFUNCTION("GOOGLEFINANCE(A1024,""CLOSEYEST"")"),951.85)</f>
        <v>951.85</v>
      </c>
      <c r="H1024" s="17" t="str">
        <f t="shared" si="14"/>
        <v/>
      </c>
      <c r="I1024" s="18">
        <f t="shared" si="9"/>
        <v>961.3</v>
      </c>
      <c r="J1024" s="19">
        <f t="shared" si="10"/>
        <v>972.85</v>
      </c>
      <c r="K1024" s="19"/>
      <c r="L1024" s="19">
        <f t="shared" si="11"/>
        <v>940.3</v>
      </c>
      <c r="M1024" s="19">
        <f t="shared" si="12"/>
        <v>993.85</v>
      </c>
      <c r="N1024" s="19">
        <f t="shared" si="13"/>
        <v>928.75</v>
      </c>
    </row>
    <row r="1025" ht="24.75" customHeight="1">
      <c r="A1025" s="21" t="s">
        <v>988</v>
      </c>
      <c r="B1025" s="13">
        <f>IFERROR(__xludf.DUMMYFUNCTION("GOOGLEFINANCE(A1025,""PRICE"")"),41.4)</f>
        <v>41.4</v>
      </c>
      <c r="C1025" s="14">
        <f>IFERROR(__xludf.DUMMYFUNCTION("GOOGLEFINANCE(A1025,""PRICEOPEN"")"),41.81)</f>
        <v>41.81</v>
      </c>
      <c r="D1025" s="14">
        <f>IFERROR(__xludf.DUMMYFUNCTION("GOOGLEFINANCE(A1025,""HIGH"")"),42.08)</f>
        <v>42.08</v>
      </c>
      <c r="E1025" s="14">
        <f>IFERROR(__xludf.DUMMYFUNCTION("GOOGLEFINANCE(A1025,""LOW"")"),41.26)</f>
        <v>41.26</v>
      </c>
      <c r="F1025" s="15" t="str">
        <f t="shared" si="8"/>
        <v/>
      </c>
      <c r="G1025" s="16">
        <f>IFERROR(__xludf.DUMMYFUNCTION("GOOGLEFINANCE(A1025,""CLOSEYEST"")"),41.8)</f>
        <v>41.8</v>
      </c>
      <c r="H1025" s="17" t="str">
        <f t="shared" si="14"/>
        <v/>
      </c>
      <c r="I1025" s="18">
        <f t="shared" si="9"/>
        <v>41.71333333</v>
      </c>
      <c r="J1025" s="19">
        <f t="shared" si="10"/>
        <v>42.16666667</v>
      </c>
      <c r="K1025" s="19"/>
      <c r="L1025" s="19">
        <f t="shared" si="11"/>
        <v>41.34666667</v>
      </c>
      <c r="M1025" s="19">
        <f t="shared" si="12"/>
        <v>42.53333333</v>
      </c>
      <c r="N1025" s="19">
        <f t="shared" si="13"/>
        <v>40.89333333</v>
      </c>
    </row>
    <row r="1026" ht="24.75" customHeight="1">
      <c r="A1026" s="21" t="s">
        <v>989</v>
      </c>
      <c r="B1026" s="13">
        <f>IFERROR(__xludf.DUMMYFUNCTION("GOOGLEFINANCE(A1026,""PRICE"")"),712.0)</f>
        <v>712</v>
      </c>
      <c r="C1026" s="14">
        <f>IFERROR(__xludf.DUMMYFUNCTION("GOOGLEFINANCE(A1026,""PRICEOPEN"")"),681.3)</f>
        <v>681.3</v>
      </c>
      <c r="D1026" s="14">
        <f>IFERROR(__xludf.DUMMYFUNCTION("GOOGLEFINANCE(A1026,""HIGH"")"),724.0)</f>
        <v>724</v>
      </c>
      <c r="E1026" s="14">
        <f>IFERROR(__xludf.DUMMYFUNCTION("GOOGLEFINANCE(A1026,""LOW"")"),680.85)</f>
        <v>680.85</v>
      </c>
      <c r="F1026" s="15" t="str">
        <f t="shared" si="8"/>
        <v/>
      </c>
      <c r="G1026" s="16">
        <f>IFERROR(__xludf.DUMMYFUNCTION("GOOGLEFINANCE(A1026,""CLOSEYEST"")"),683.35)</f>
        <v>683.35</v>
      </c>
      <c r="H1026" s="17" t="str">
        <f t="shared" si="14"/>
        <v/>
      </c>
      <c r="I1026" s="18">
        <f t="shared" si="9"/>
        <v>696.0666667</v>
      </c>
      <c r="J1026" s="19">
        <f t="shared" si="10"/>
        <v>711.2833333</v>
      </c>
      <c r="K1026" s="19"/>
      <c r="L1026" s="19">
        <f t="shared" si="11"/>
        <v>668.1333333</v>
      </c>
      <c r="M1026" s="19">
        <f t="shared" si="12"/>
        <v>739.2166667</v>
      </c>
      <c r="N1026" s="19">
        <f t="shared" si="13"/>
        <v>652.9166667</v>
      </c>
    </row>
    <row r="1027" ht="24.75" customHeight="1">
      <c r="A1027" s="21" t="s">
        <v>990</v>
      </c>
      <c r="B1027" s="13">
        <f>IFERROR(__xludf.DUMMYFUNCTION("GOOGLEFINANCE(A1027,""PRICE"")"),1458.0)</f>
        <v>1458</v>
      </c>
      <c r="C1027" s="14">
        <f>IFERROR(__xludf.DUMMYFUNCTION("GOOGLEFINANCE(A1027,""PRICEOPEN"")"),1432.0)</f>
        <v>1432</v>
      </c>
      <c r="D1027" s="14">
        <f>IFERROR(__xludf.DUMMYFUNCTION("GOOGLEFINANCE(A1027,""HIGH"")"),1459.9)</f>
        <v>1459.9</v>
      </c>
      <c r="E1027" s="14">
        <f>IFERROR(__xludf.DUMMYFUNCTION("GOOGLEFINANCE(A1027,""LOW"")"),1426.8)</f>
        <v>1426.8</v>
      </c>
      <c r="F1027" s="15" t="str">
        <f t="shared" si="8"/>
        <v/>
      </c>
      <c r="G1027" s="16">
        <f>IFERROR(__xludf.DUMMYFUNCTION("GOOGLEFINANCE(A1027,""CLOSEYEST"")"),1424.9)</f>
        <v>1424.9</v>
      </c>
      <c r="H1027" s="17" t="str">
        <f t="shared" si="14"/>
        <v/>
      </c>
      <c r="I1027" s="18">
        <f t="shared" si="9"/>
        <v>1437.2</v>
      </c>
      <c r="J1027" s="19">
        <f t="shared" si="10"/>
        <v>1447.6</v>
      </c>
      <c r="K1027" s="19"/>
      <c r="L1027" s="19">
        <f t="shared" si="11"/>
        <v>1414.5</v>
      </c>
      <c r="M1027" s="19">
        <f t="shared" si="12"/>
        <v>1470.3</v>
      </c>
      <c r="N1027" s="19">
        <f t="shared" si="13"/>
        <v>1404.1</v>
      </c>
    </row>
    <row r="1028" ht="24.75" customHeight="1">
      <c r="A1028" s="21" t="s">
        <v>991</v>
      </c>
      <c r="B1028" s="13">
        <f>IFERROR(__xludf.DUMMYFUNCTION("GOOGLEFINANCE(A1028,""PRICE"")"),738.65)</f>
        <v>738.65</v>
      </c>
      <c r="C1028" s="14">
        <f>IFERROR(__xludf.DUMMYFUNCTION("GOOGLEFINANCE(A1028,""PRICEOPEN"")"),716.9)</f>
        <v>716.9</v>
      </c>
      <c r="D1028" s="14">
        <f>IFERROR(__xludf.DUMMYFUNCTION("GOOGLEFINANCE(A1028,""HIGH"")"),744.9)</f>
        <v>744.9</v>
      </c>
      <c r="E1028" s="14">
        <f>IFERROR(__xludf.DUMMYFUNCTION("GOOGLEFINANCE(A1028,""LOW"")"),710.4)</f>
        <v>710.4</v>
      </c>
      <c r="F1028" s="15" t="str">
        <f t="shared" si="8"/>
        <v/>
      </c>
      <c r="G1028" s="16">
        <f>IFERROR(__xludf.DUMMYFUNCTION("GOOGLEFINANCE(A1028,""CLOSEYEST"")"),715.2)</f>
        <v>715.2</v>
      </c>
      <c r="H1028" s="17" t="str">
        <f t="shared" si="14"/>
        <v/>
      </c>
      <c r="I1028" s="18">
        <f t="shared" si="9"/>
        <v>723.5</v>
      </c>
      <c r="J1028" s="19">
        <f t="shared" si="10"/>
        <v>736.6</v>
      </c>
      <c r="K1028" s="19"/>
      <c r="L1028" s="19">
        <f t="shared" si="11"/>
        <v>702.1</v>
      </c>
      <c r="M1028" s="19">
        <f t="shared" si="12"/>
        <v>758</v>
      </c>
      <c r="N1028" s="19">
        <f t="shared" si="13"/>
        <v>689</v>
      </c>
    </row>
    <row r="1029" ht="24.75" customHeight="1">
      <c r="A1029" s="21" t="s">
        <v>992</v>
      </c>
      <c r="B1029" s="13" t="str">
        <f>IFERROR(__xludf.DUMMYFUNCTION("GOOGLEFINANCE(A1029,""PRICE"")"),"#N/A")</f>
        <v>#N/A</v>
      </c>
      <c r="C1029" s="14" t="str">
        <f>IFERROR(__xludf.DUMMYFUNCTION("GOOGLEFINANCE(A1029,""PRICEOPEN"")"),"#N/A")</f>
        <v>#N/A</v>
      </c>
      <c r="D1029" s="14" t="str">
        <f>IFERROR(__xludf.DUMMYFUNCTION("GOOGLEFINANCE(A1029,""HIGH"")"),"#N/A")</f>
        <v>#N/A</v>
      </c>
      <c r="E1029" s="14" t="str">
        <f>IFERROR(__xludf.DUMMYFUNCTION("GOOGLEFINANCE(A1029,""LOW"")"),"#N/A")</f>
        <v>#N/A</v>
      </c>
      <c r="F1029" s="15" t="str">
        <f t="shared" si="8"/>
        <v>#N/A</v>
      </c>
      <c r="G1029" s="16" t="str">
        <f>IFERROR(__xludf.DUMMYFUNCTION("GOOGLEFINANCE(A1029,""CLOSEYEST"")"),"#N/A")</f>
        <v>#N/A</v>
      </c>
      <c r="H1029" s="17" t="str">
        <f t="shared" si="14"/>
        <v>#N/A</v>
      </c>
      <c r="I1029" s="18" t="str">
        <f t="shared" si="9"/>
        <v>#N/A</v>
      </c>
      <c r="J1029" s="19" t="str">
        <f t="shared" si="10"/>
        <v>#N/A</v>
      </c>
      <c r="K1029" s="19"/>
      <c r="L1029" s="19" t="str">
        <f t="shared" si="11"/>
        <v>#N/A</v>
      </c>
      <c r="M1029" s="19" t="str">
        <f t="shared" si="12"/>
        <v>#N/A</v>
      </c>
      <c r="N1029" s="19" t="str">
        <f t="shared" si="13"/>
        <v>#N/A</v>
      </c>
    </row>
    <row r="1030" ht="24.75" customHeight="1">
      <c r="A1030" s="21" t="s">
        <v>993</v>
      </c>
      <c r="B1030" s="13">
        <f>IFERROR(__xludf.DUMMYFUNCTION("GOOGLEFINANCE(A1030,""PRICE"")"),5.09)</f>
        <v>5.09</v>
      </c>
      <c r="C1030" s="14">
        <f>IFERROR(__xludf.DUMMYFUNCTION("GOOGLEFINANCE(A1030,""PRICEOPEN"")"),5.07)</f>
        <v>5.07</v>
      </c>
      <c r="D1030" s="14">
        <f>IFERROR(__xludf.DUMMYFUNCTION("GOOGLEFINANCE(A1030,""HIGH"")"),5.16)</f>
        <v>5.16</v>
      </c>
      <c r="E1030" s="14">
        <f>IFERROR(__xludf.DUMMYFUNCTION("GOOGLEFINANCE(A1030,""LOW"")"),5.06)</f>
        <v>5.06</v>
      </c>
      <c r="F1030" s="15" t="str">
        <f t="shared" si="8"/>
        <v/>
      </c>
      <c r="G1030" s="16">
        <f>IFERROR(__xludf.DUMMYFUNCTION("GOOGLEFINANCE(A1030,""CLOSEYEST"")"),5.13)</f>
        <v>5.13</v>
      </c>
      <c r="H1030" s="17" t="str">
        <f t="shared" si="14"/>
        <v>GAP DOWN</v>
      </c>
      <c r="I1030" s="18">
        <f t="shared" si="9"/>
        <v>5.116666667</v>
      </c>
      <c r="J1030" s="19">
        <f t="shared" si="10"/>
        <v>5.173333333</v>
      </c>
      <c r="K1030" s="19"/>
      <c r="L1030" s="19">
        <f t="shared" si="11"/>
        <v>5.073333333</v>
      </c>
      <c r="M1030" s="19">
        <f t="shared" si="12"/>
        <v>5.216666667</v>
      </c>
      <c r="N1030" s="19">
        <f t="shared" si="13"/>
        <v>5.016666667</v>
      </c>
    </row>
    <row r="1031" ht="24.75" customHeight="1">
      <c r="A1031" s="21" t="s">
        <v>994</v>
      </c>
      <c r="B1031" s="13">
        <f>IFERROR(__xludf.DUMMYFUNCTION("GOOGLEFINANCE(A1031,""PRICE"")"),208.0)</f>
        <v>208</v>
      </c>
      <c r="C1031" s="14">
        <f>IFERROR(__xludf.DUMMYFUNCTION("GOOGLEFINANCE(A1031,""PRICEOPEN"")"),194.0)</f>
        <v>194</v>
      </c>
      <c r="D1031" s="14">
        <f>IFERROR(__xludf.DUMMYFUNCTION("GOOGLEFINANCE(A1031,""HIGH"")"),212.96)</f>
        <v>212.96</v>
      </c>
      <c r="E1031" s="14">
        <f>IFERROR(__xludf.DUMMYFUNCTION("GOOGLEFINANCE(A1031,""LOW"")"),194.0)</f>
        <v>194</v>
      </c>
      <c r="F1031" s="15" t="str">
        <f t="shared" si="8"/>
        <v>BUY</v>
      </c>
      <c r="G1031" s="16">
        <f>IFERROR(__xludf.DUMMYFUNCTION("GOOGLEFINANCE(A1031,""CLOSEYEST"")"),191.41)</f>
        <v>191.41</v>
      </c>
      <c r="H1031" s="17" t="str">
        <f t="shared" si="14"/>
        <v>GAP UP</v>
      </c>
      <c r="I1031" s="18">
        <f t="shared" si="9"/>
        <v>199.4566667</v>
      </c>
      <c r="J1031" s="19">
        <f t="shared" si="10"/>
        <v>204.9133333</v>
      </c>
      <c r="K1031" s="19"/>
      <c r="L1031" s="19">
        <f t="shared" si="11"/>
        <v>185.9533333</v>
      </c>
      <c r="M1031" s="19">
        <f t="shared" si="12"/>
        <v>218.4166667</v>
      </c>
      <c r="N1031" s="19">
        <f t="shared" si="13"/>
        <v>180.4966667</v>
      </c>
    </row>
    <row r="1032" ht="24.75" customHeight="1">
      <c r="A1032" s="21" t="s">
        <v>995</v>
      </c>
      <c r="B1032" s="13">
        <f>IFERROR(__xludf.DUMMYFUNCTION("GOOGLEFINANCE(A1032,""PRICE"")"),1089.0)</f>
        <v>1089</v>
      </c>
      <c r="C1032" s="14">
        <f>IFERROR(__xludf.DUMMYFUNCTION("GOOGLEFINANCE(A1032,""PRICEOPEN"")"),1085.1)</f>
        <v>1085.1</v>
      </c>
      <c r="D1032" s="14">
        <f>IFERROR(__xludf.DUMMYFUNCTION("GOOGLEFINANCE(A1032,""HIGH"")"),1102.2)</f>
        <v>1102.2</v>
      </c>
      <c r="E1032" s="14">
        <f>IFERROR(__xludf.DUMMYFUNCTION("GOOGLEFINANCE(A1032,""LOW"")"),1075.7)</f>
        <v>1075.7</v>
      </c>
      <c r="F1032" s="15" t="str">
        <f t="shared" si="8"/>
        <v/>
      </c>
      <c r="G1032" s="16">
        <f>IFERROR(__xludf.DUMMYFUNCTION("GOOGLEFINANCE(A1032,""CLOSEYEST"")"),1088.5)</f>
        <v>1088.5</v>
      </c>
      <c r="H1032" s="17" t="str">
        <f t="shared" si="14"/>
        <v/>
      </c>
      <c r="I1032" s="18">
        <f t="shared" si="9"/>
        <v>1088.8</v>
      </c>
      <c r="J1032" s="19">
        <f t="shared" si="10"/>
        <v>1101.9</v>
      </c>
      <c r="K1032" s="19"/>
      <c r="L1032" s="19">
        <f t="shared" si="11"/>
        <v>1075.4</v>
      </c>
      <c r="M1032" s="19">
        <f t="shared" si="12"/>
        <v>1115.3</v>
      </c>
      <c r="N1032" s="19">
        <f t="shared" si="13"/>
        <v>1062.3</v>
      </c>
    </row>
    <row r="1033" ht="24.75" customHeight="1">
      <c r="A1033" s="21" t="s">
        <v>996</v>
      </c>
      <c r="B1033" s="13">
        <f>IFERROR(__xludf.DUMMYFUNCTION("GOOGLEFINANCE(A1033,""PRICE"")"),86.0)</f>
        <v>86</v>
      </c>
      <c r="C1033" s="14">
        <f>IFERROR(__xludf.DUMMYFUNCTION("GOOGLEFINANCE(A1033,""PRICEOPEN"")"),79.5)</f>
        <v>79.5</v>
      </c>
      <c r="D1033" s="14">
        <f>IFERROR(__xludf.DUMMYFUNCTION("GOOGLEFINANCE(A1033,""HIGH"")"),86.4)</f>
        <v>86.4</v>
      </c>
      <c r="E1033" s="14">
        <f>IFERROR(__xludf.DUMMYFUNCTION("GOOGLEFINANCE(A1033,""LOW"")"),78.6)</f>
        <v>78.6</v>
      </c>
      <c r="F1033" s="15" t="str">
        <f t="shared" si="8"/>
        <v/>
      </c>
      <c r="G1033" s="16">
        <f>IFERROR(__xludf.DUMMYFUNCTION("GOOGLEFINANCE(A1033,""CLOSEYEST"")"),79.09)</f>
        <v>79.09</v>
      </c>
      <c r="H1033" s="17" t="str">
        <f t="shared" si="14"/>
        <v/>
      </c>
      <c r="I1033" s="18">
        <f t="shared" si="9"/>
        <v>81.36333333</v>
      </c>
      <c r="J1033" s="19">
        <f t="shared" si="10"/>
        <v>84.12666667</v>
      </c>
      <c r="K1033" s="19"/>
      <c r="L1033" s="19">
        <f t="shared" si="11"/>
        <v>76.32666667</v>
      </c>
      <c r="M1033" s="19">
        <f t="shared" si="12"/>
        <v>89.16333333</v>
      </c>
      <c r="N1033" s="19">
        <f t="shared" si="13"/>
        <v>73.56333333</v>
      </c>
    </row>
    <row r="1034" ht="24.75" customHeight="1">
      <c r="A1034" s="21" t="s">
        <v>997</v>
      </c>
      <c r="B1034" s="13">
        <f>IFERROR(__xludf.DUMMYFUNCTION("GOOGLEFINANCE(A1034,""PRICE"")"),1694.0)</f>
        <v>1694</v>
      </c>
      <c r="C1034" s="14">
        <f>IFERROR(__xludf.DUMMYFUNCTION("GOOGLEFINANCE(A1034,""PRICEOPEN"")"),1620.0)</f>
        <v>1620</v>
      </c>
      <c r="D1034" s="14">
        <f>IFERROR(__xludf.DUMMYFUNCTION("GOOGLEFINANCE(A1034,""HIGH"")"),1699.0)</f>
        <v>1699</v>
      </c>
      <c r="E1034" s="14">
        <f>IFERROR(__xludf.DUMMYFUNCTION("GOOGLEFINANCE(A1034,""LOW"")"),1620.0)</f>
        <v>1620</v>
      </c>
      <c r="F1034" s="15" t="str">
        <f t="shared" si="8"/>
        <v>BUY</v>
      </c>
      <c r="G1034" s="16">
        <f>IFERROR(__xludf.DUMMYFUNCTION("GOOGLEFINANCE(A1034,""CLOSEYEST"")"),1626.0)</f>
        <v>1626</v>
      </c>
      <c r="H1034" s="17" t="str">
        <f t="shared" si="14"/>
        <v/>
      </c>
      <c r="I1034" s="18">
        <f t="shared" si="9"/>
        <v>1648.333333</v>
      </c>
      <c r="J1034" s="19">
        <f t="shared" si="10"/>
        <v>1676.666667</v>
      </c>
      <c r="K1034" s="19"/>
      <c r="L1034" s="19">
        <f t="shared" si="11"/>
        <v>1597.666667</v>
      </c>
      <c r="M1034" s="19">
        <f t="shared" si="12"/>
        <v>1727.333333</v>
      </c>
      <c r="N1034" s="19">
        <f t="shared" si="13"/>
        <v>1569.333333</v>
      </c>
    </row>
    <row r="1035" ht="24.75" customHeight="1">
      <c r="A1035" s="21" t="s">
        <v>998</v>
      </c>
      <c r="B1035" s="13">
        <f>IFERROR(__xludf.DUMMYFUNCTION("GOOGLEFINANCE(A1035,""PRICE"")"),141.0)</f>
        <v>141</v>
      </c>
      <c r="C1035" s="14">
        <f>IFERROR(__xludf.DUMMYFUNCTION("GOOGLEFINANCE(A1035,""PRICEOPEN"")"),138.84)</f>
        <v>138.84</v>
      </c>
      <c r="D1035" s="14">
        <f>IFERROR(__xludf.DUMMYFUNCTION("GOOGLEFINANCE(A1035,""HIGH"")"),141.4)</f>
        <v>141.4</v>
      </c>
      <c r="E1035" s="14">
        <f>IFERROR(__xludf.DUMMYFUNCTION("GOOGLEFINANCE(A1035,""LOW"")"),138.1)</f>
        <v>138.1</v>
      </c>
      <c r="F1035" s="15" t="str">
        <f t="shared" si="8"/>
        <v/>
      </c>
      <c r="G1035" s="16">
        <f>IFERROR(__xludf.DUMMYFUNCTION("GOOGLEFINANCE(A1035,""CLOSEYEST"")"),138.84)</f>
        <v>138.84</v>
      </c>
      <c r="H1035" s="17" t="str">
        <f t="shared" si="14"/>
        <v/>
      </c>
      <c r="I1035" s="18">
        <f t="shared" si="9"/>
        <v>139.4466667</v>
      </c>
      <c r="J1035" s="19">
        <f t="shared" si="10"/>
        <v>140.7933333</v>
      </c>
      <c r="K1035" s="19"/>
      <c r="L1035" s="19">
        <f t="shared" si="11"/>
        <v>137.4933333</v>
      </c>
      <c r="M1035" s="19">
        <f t="shared" si="12"/>
        <v>142.7466667</v>
      </c>
      <c r="N1035" s="19">
        <f t="shared" si="13"/>
        <v>136.1466667</v>
      </c>
    </row>
    <row r="1036" ht="24.75" customHeight="1">
      <c r="A1036" s="21" t="s">
        <v>999</v>
      </c>
      <c r="B1036" s="13">
        <f>IFERROR(__xludf.DUMMYFUNCTION("GOOGLEFINANCE(A1036,""PRICE"")"),96.2)</f>
        <v>96.2</v>
      </c>
      <c r="C1036" s="14">
        <f>IFERROR(__xludf.DUMMYFUNCTION("GOOGLEFINANCE(A1036,""PRICEOPEN"")"),94.5)</f>
        <v>94.5</v>
      </c>
      <c r="D1036" s="14">
        <f>IFERROR(__xludf.DUMMYFUNCTION("GOOGLEFINANCE(A1036,""HIGH"")"),97.15)</f>
        <v>97.15</v>
      </c>
      <c r="E1036" s="14">
        <f>IFERROR(__xludf.DUMMYFUNCTION("GOOGLEFINANCE(A1036,""LOW"")"),94.5)</f>
        <v>94.5</v>
      </c>
      <c r="F1036" s="15" t="str">
        <f t="shared" si="8"/>
        <v>BUY</v>
      </c>
      <c r="G1036" s="16">
        <f>IFERROR(__xludf.DUMMYFUNCTION("GOOGLEFINANCE(A1036,""CLOSEYEST"")"),95.24)</f>
        <v>95.24</v>
      </c>
      <c r="H1036" s="17" t="str">
        <f t="shared" si="14"/>
        <v/>
      </c>
      <c r="I1036" s="18">
        <f t="shared" si="9"/>
        <v>95.63</v>
      </c>
      <c r="J1036" s="19">
        <f t="shared" si="10"/>
        <v>96.76</v>
      </c>
      <c r="K1036" s="19"/>
      <c r="L1036" s="19">
        <f t="shared" si="11"/>
        <v>94.11</v>
      </c>
      <c r="M1036" s="19">
        <f t="shared" si="12"/>
        <v>98.28</v>
      </c>
      <c r="N1036" s="19">
        <f t="shared" si="13"/>
        <v>92.98</v>
      </c>
    </row>
    <row r="1037" ht="24.75" customHeight="1">
      <c r="A1037" s="21" t="s">
        <v>1000</v>
      </c>
      <c r="B1037" s="13" t="str">
        <f>IFERROR(__xludf.DUMMYFUNCTION("GOOGLEFINANCE(A1037,""PRICE"")"),"#N/A")</f>
        <v>#N/A</v>
      </c>
      <c r="C1037" s="14" t="str">
        <f>IFERROR(__xludf.DUMMYFUNCTION("GOOGLEFINANCE(A1037,""PRICEOPEN"")"),"#N/A")</f>
        <v>#N/A</v>
      </c>
      <c r="D1037" s="14" t="str">
        <f>IFERROR(__xludf.DUMMYFUNCTION("GOOGLEFINANCE(A1037,""HIGH"")"),"#N/A")</f>
        <v>#N/A</v>
      </c>
      <c r="E1037" s="14" t="str">
        <f>IFERROR(__xludf.DUMMYFUNCTION("GOOGLEFINANCE(A1037,""LOW"")"),"#N/A")</f>
        <v>#N/A</v>
      </c>
      <c r="F1037" s="15" t="str">
        <f t="shared" si="8"/>
        <v>#N/A</v>
      </c>
      <c r="G1037" s="16" t="str">
        <f>IFERROR(__xludf.DUMMYFUNCTION("GOOGLEFINANCE(A1037,""CLOSEYEST"")"),"#N/A")</f>
        <v>#N/A</v>
      </c>
      <c r="H1037" s="17" t="str">
        <f t="shared" si="14"/>
        <v>#N/A</v>
      </c>
      <c r="I1037" s="18" t="str">
        <f t="shared" si="9"/>
        <v>#N/A</v>
      </c>
      <c r="J1037" s="19" t="str">
        <f t="shared" si="10"/>
        <v>#N/A</v>
      </c>
      <c r="K1037" s="19"/>
      <c r="L1037" s="19" t="str">
        <f t="shared" si="11"/>
        <v>#N/A</v>
      </c>
      <c r="M1037" s="19" t="str">
        <f t="shared" si="12"/>
        <v>#N/A</v>
      </c>
      <c r="N1037" s="19" t="str">
        <f t="shared" si="13"/>
        <v>#N/A</v>
      </c>
    </row>
    <row r="1038" ht="24.75" customHeight="1">
      <c r="A1038" s="21" t="s">
        <v>1001</v>
      </c>
      <c r="B1038" s="13">
        <f>IFERROR(__xludf.DUMMYFUNCTION("GOOGLEFINANCE(A1038,""PRICE"")"),175.4)</f>
        <v>175.4</v>
      </c>
      <c r="C1038" s="14">
        <f>IFERROR(__xludf.DUMMYFUNCTION("GOOGLEFINANCE(A1038,""PRICEOPEN"")"),175.29)</f>
        <v>175.29</v>
      </c>
      <c r="D1038" s="14">
        <f>IFERROR(__xludf.DUMMYFUNCTION("GOOGLEFINANCE(A1038,""HIGH"")"),176.67)</f>
        <v>176.67</v>
      </c>
      <c r="E1038" s="14">
        <f>IFERROR(__xludf.DUMMYFUNCTION("GOOGLEFINANCE(A1038,""LOW"")"),175.05)</f>
        <v>175.05</v>
      </c>
      <c r="F1038" s="15" t="str">
        <f t="shared" si="8"/>
        <v/>
      </c>
      <c r="G1038" s="16">
        <f>IFERROR(__xludf.DUMMYFUNCTION("GOOGLEFINANCE(A1038,""CLOSEYEST"")"),175.07)</f>
        <v>175.07</v>
      </c>
      <c r="H1038" s="17" t="str">
        <f t="shared" si="14"/>
        <v/>
      </c>
      <c r="I1038" s="18">
        <f t="shared" si="9"/>
        <v>175.5966667</v>
      </c>
      <c r="J1038" s="19">
        <f t="shared" si="10"/>
        <v>176.1433333</v>
      </c>
      <c r="K1038" s="19"/>
      <c r="L1038" s="19">
        <f t="shared" si="11"/>
        <v>174.5233333</v>
      </c>
      <c r="M1038" s="19">
        <f t="shared" si="12"/>
        <v>177.2166667</v>
      </c>
      <c r="N1038" s="19">
        <f t="shared" si="13"/>
        <v>173.9766667</v>
      </c>
    </row>
    <row r="1039" ht="24.75" customHeight="1">
      <c r="A1039" s="21" t="s">
        <v>1002</v>
      </c>
      <c r="B1039" s="13">
        <f>IFERROR(__xludf.DUMMYFUNCTION("GOOGLEFINANCE(A1039,""PRICE"")"),178.0)</f>
        <v>178</v>
      </c>
      <c r="C1039" s="14">
        <f>IFERROR(__xludf.DUMMYFUNCTION("GOOGLEFINANCE(A1039,""PRICEOPEN"")"),176.0)</f>
        <v>176</v>
      </c>
      <c r="D1039" s="14">
        <f>IFERROR(__xludf.DUMMYFUNCTION("GOOGLEFINANCE(A1039,""HIGH"")"),182.4)</f>
        <v>182.4</v>
      </c>
      <c r="E1039" s="14">
        <f>IFERROR(__xludf.DUMMYFUNCTION("GOOGLEFINANCE(A1039,""LOW"")"),174.0)</f>
        <v>174</v>
      </c>
      <c r="F1039" s="15" t="str">
        <f t="shared" si="8"/>
        <v/>
      </c>
      <c r="G1039" s="16">
        <f>IFERROR(__xludf.DUMMYFUNCTION("GOOGLEFINANCE(A1039,""CLOSEYEST"")"),173.85)</f>
        <v>173.85</v>
      </c>
      <c r="H1039" s="17" t="str">
        <f t="shared" si="14"/>
        <v>GAP UP</v>
      </c>
      <c r="I1039" s="18">
        <f t="shared" si="9"/>
        <v>176.75</v>
      </c>
      <c r="J1039" s="19">
        <f t="shared" si="10"/>
        <v>179.5</v>
      </c>
      <c r="K1039" s="19"/>
      <c r="L1039" s="19">
        <f t="shared" si="11"/>
        <v>171.1</v>
      </c>
      <c r="M1039" s="19">
        <f t="shared" si="12"/>
        <v>185.15</v>
      </c>
      <c r="N1039" s="19">
        <f t="shared" si="13"/>
        <v>168.35</v>
      </c>
    </row>
    <row r="1040" ht="24.75" customHeight="1">
      <c r="A1040" s="21" t="s">
        <v>1003</v>
      </c>
      <c r="B1040" s="13">
        <f>IFERROR(__xludf.DUMMYFUNCTION("GOOGLEFINANCE(A1040,""PRICE"")"),162.8)</f>
        <v>162.8</v>
      </c>
      <c r="C1040" s="14">
        <f>IFERROR(__xludf.DUMMYFUNCTION("GOOGLEFINANCE(A1040,""PRICEOPEN"")"),158.7)</f>
        <v>158.7</v>
      </c>
      <c r="D1040" s="14">
        <f>IFERROR(__xludf.DUMMYFUNCTION("GOOGLEFINANCE(A1040,""HIGH"")"),165.39)</f>
        <v>165.39</v>
      </c>
      <c r="E1040" s="14">
        <f>IFERROR(__xludf.DUMMYFUNCTION("GOOGLEFINANCE(A1040,""LOW"")"),157.67)</f>
        <v>157.67</v>
      </c>
      <c r="F1040" s="15" t="str">
        <f t="shared" si="8"/>
        <v/>
      </c>
      <c r="G1040" s="16">
        <f>IFERROR(__xludf.DUMMYFUNCTION("GOOGLEFINANCE(A1040,""CLOSEYEST"")"),158.84)</f>
        <v>158.84</v>
      </c>
      <c r="H1040" s="17" t="str">
        <f t="shared" si="14"/>
        <v/>
      </c>
      <c r="I1040" s="18">
        <f t="shared" si="9"/>
        <v>160.6333333</v>
      </c>
      <c r="J1040" s="19">
        <f t="shared" si="10"/>
        <v>163.5966667</v>
      </c>
      <c r="K1040" s="19"/>
      <c r="L1040" s="19">
        <f t="shared" si="11"/>
        <v>155.8766667</v>
      </c>
      <c r="M1040" s="19">
        <f t="shared" si="12"/>
        <v>168.3533333</v>
      </c>
      <c r="N1040" s="19">
        <f t="shared" si="13"/>
        <v>152.9133333</v>
      </c>
    </row>
    <row r="1041" ht="24.75" customHeight="1">
      <c r="A1041" s="21" t="s">
        <v>1004</v>
      </c>
      <c r="B1041" s="13">
        <f>IFERROR(__xludf.DUMMYFUNCTION("GOOGLEFINANCE(A1041,""PRICE"")"),196.9)</f>
        <v>196.9</v>
      </c>
      <c r="C1041" s="14">
        <f>IFERROR(__xludf.DUMMYFUNCTION("GOOGLEFINANCE(A1041,""PRICEOPEN"")"),182.9)</f>
        <v>182.9</v>
      </c>
      <c r="D1041" s="14">
        <f>IFERROR(__xludf.DUMMYFUNCTION("GOOGLEFINANCE(A1041,""HIGH"")"),198.99)</f>
        <v>198.99</v>
      </c>
      <c r="E1041" s="14">
        <f>IFERROR(__xludf.DUMMYFUNCTION("GOOGLEFINANCE(A1041,""LOW"")"),180.42)</f>
        <v>180.42</v>
      </c>
      <c r="F1041" s="15" t="str">
        <f t="shared" si="8"/>
        <v/>
      </c>
      <c r="G1041" s="16">
        <f>IFERROR(__xludf.DUMMYFUNCTION("GOOGLEFINANCE(A1041,""CLOSEYEST"")"),182.33)</f>
        <v>182.33</v>
      </c>
      <c r="H1041" s="17" t="str">
        <f t="shared" si="14"/>
        <v/>
      </c>
      <c r="I1041" s="18">
        <f t="shared" si="9"/>
        <v>187.2466667</v>
      </c>
      <c r="J1041" s="19">
        <f t="shared" si="10"/>
        <v>194.0733333</v>
      </c>
      <c r="K1041" s="19"/>
      <c r="L1041" s="19">
        <f t="shared" si="11"/>
        <v>175.5033333</v>
      </c>
      <c r="M1041" s="19">
        <f t="shared" si="12"/>
        <v>205.8166667</v>
      </c>
      <c r="N1041" s="19">
        <f t="shared" si="13"/>
        <v>168.6766667</v>
      </c>
    </row>
    <row r="1042" ht="24.75" customHeight="1">
      <c r="A1042" s="21" t="s">
        <v>1005</v>
      </c>
      <c r="B1042" s="13">
        <f>IFERROR(__xludf.DUMMYFUNCTION("GOOGLEFINANCE(A1042,""PRICE"")"),7955.0)</f>
        <v>7955</v>
      </c>
      <c r="C1042" s="14">
        <f>IFERROR(__xludf.DUMMYFUNCTION("GOOGLEFINANCE(A1042,""PRICEOPEN"")"),7668.5)</f>
        <v>7668.5</v>
      </c>
      <c r="D1042" s="14">
        <f>IFERROR(__xludf.DUMMYFUNCTION("GOOGLEFINANCE(A1042,""HIGH"")"),8247.0)</f>
        <v>8247</v>
      </c>
      <c r="E1042" s="14">
        <f>IFERROR(__xludf.DUMMYFUNCTION("GOOGLEFINANCE(A1042,""LOW"")"),7668.5)</f>
        <v>7668.5</v>
      </c>
      <c r="F1042" s="15" t="str">
        <f t="shared" si="8"/>
        <v>BUY</v>
      </c>
      <c r="G1042" s="16">
        <f>IFERROR(__xludf.DUMMYFUNCTION("GOOGLEFINANCE(A1042,""CLOSEYEST"")"),7607.5)</f>
        <v>7607.5</v>
      </c>
      <c r="H1042" s="17" t="str">
        <f t="shared" si="14"/>
        <v/>
      </c>
      <c r="I1042" s="18">
        <f t="shared" si="9"/>
        <v>7841</v>
      </c>
      <c r="J1042" s="19">
        <f t="shared" si="10"/>
        <v>8013.5</v>
      </c>
      <c r="K1042" s="19"/>
      <c r="L1042" s="19">
        <f t="shared" si="11"/>
        <v>7435</v>
      </c>
      <c r="M1042" s="19">
        <f t="shared" si="12"/>
        <v>8419.5</v>
      </c>
      <c r="N1042" s="19">
        <f t="shared" si="13"/>
        <v>7262.5</v>
      </c>
    </row>
    <row r="1043" ht="24.75" customHeight="1">
      <c r="A1043" s="21" t="s">
        <v>1006</v>
      </c>
      <c r="B1043" s="13">
        <f>IFERROR(__xludf.DUMMYFUNCTION("GOOGLEFINANCE(A1043,""PRICE"")"),23.95)</f>
        <v>23.95</v>
      </c>
      <c r="C1043" s="14">
        <f>IFERROR(__xludf.DUMMYFUNCTION("GOOGLEFINANCE(A1043,""PRICEOPEN"")"),23.99)</f>
        <v>23.99</v>
      </c>
      <c r="D1043" s="14">
        <f>IFERROR(__xludf.DUMMYFUNCTION("GOOGLEFINANCE(A1043,""HIGH"")"),26.14)</f>
        <v>26.14</v>
      </c>
      <c r="E1043" s="14">
        <f>IFERROR(__xludf.DUMMYFUNCTION("GOOGLEFINANCE(A1043,""LOW"")"),23.8)</f>
        <v>23.8</v>
      </c>
      <c r="F1043" s="15" t="str">
        <f t="shared" si="8"/>
        <v/>
      </c>
      <c r="G1043" s="16">
        <f>IFERROR(__xludf.DUMMYFUNCTION("GOOGLEFINANCE(A1043,""CLOSEYEST"")"),23.9)</f>
        <v>23.9</v>
      </c>
      <c r="H1043" s="17" t="str">
        <f t="shared" si="14"/>
        <v/>
      </c>
      <c r="I1043" s="18">
        <f t="shared" si="9"/>
        <v>24.61333333</v>
      </c>
      <c r="J1043" s="19">
        <f t="shared" si="10"/>
        <v>25.42666667</v>
      </c>
      <c r="K1043" s="19"/>
      <c r="L1043" s="19">
        <f t="shared" si="11"/>
        <v>23.08666667</v>
      </c>
      <c r="M1043" s="19">
        <f t="shared" si="12"/>
        <v>26.95333333</v>
      </c>
      <c r="N1043" s="19">
        <f t="shared" si="13"/>
        <v>22.27333333</v>
      </c>
    </row>
    <row r="1044" ht="24.75" customHeight="1">
      <c r="A1044" s="21" t="s">
        <v>1007</v>
      </c>
      <c r="B1044" s="13">
        <f>IFERROR(__xludf.DUMMYFUNCTION("GOOGLEFINANCE(A1044,""PRICE"")"),8.54)</f>
        <v>8.54</v>
      </c>
      <c r="C1044" s="14">
        <f>IFERROR(__xludf.DUMMYFUNCTION("GOOGLEFINANCE(A1044,""PRICEOPEN"")"),8.49)</f>
        <v>8.49</v>
      </c>
      <c r="D1044" s="14">
        <f>IFERROR(__xludf.DUMMYFUNCTION("GOOGLEFINANCE(A1044,""HIGH"")"),8.58)</f>
        <v>8.58</v>
      </c>
      <c r="E1044" s="14">
        <f>IFERROR(__xludf.DUMMYFUNCTION("GOOGLEFINANCE(A1044,""LOW"")"),8.37)</f>
        <v>8.37</v>
      </c>
      <c r="F1044" s="15" t="str">
        <f t="shared" si="8"/>
        <v/>
      </c>
      <c r="G1044" s="16">
        <f>IFERROR(__xludf.DUMMYFUNCTION("GOOGLEFINANCE(A1044,""CLOSEYEST"")"),8.37)</f>
        <v>8.37</v>
      </c>
      <c r="H1044" s="17" t="str">
        <f t="shared" si="14"/>
        <v>GAP UP</v>
      </c>
      <c r="I1044" s="18">
        <f t="shared" si="9"/>
        <v>8.44</v>
      </c>
      <c r="J1044" s="19">
        <f t="shared" si="10"/>
        <v>8.51</v>
      </c>
      <c r="K1044" s="19"/>
      <c r="L1044" s="19">
        <f t="shared" si="11"/>
        <v>8.3</v>
      </c>
      <c r="M1044" s="19">
        <f t="shared" si="12"/>
        <v>8.65</v>
      </c>
      <c r="N1044" s="19">
        <f t="shared" si="13"/>
        <v>8.23</v>
      </c>
    </row>
    <row r="1045" ht="24.75" customHeight="1">
      <c r="A1045" s="21" t="s">
        <v>1008</v>
      </c>
      <c r="B1045" s="13">
        <f>IFERROR(__xludf.DUMMYFUNCTION("GOOGLEFINANCE(A1045,""PRICE"")"),429.0)</f>
        <v>429</v>
      </c>
      <c r="C1045" s="14">
        <f>IFERROR(__xludf.DUMMYFUNCTION("GOOGLEFINANCE(A1045,""PRICEOPEN"")"),419.8)</f>
        <v>419.8</v>
      </c>
      <c r="D1045" s="14">
        <f>IFERROR(__xludf.DUMMYFUNCTION("GOOGLEFINANCE(A1045,""HIGH"")"),429.0)</f>
        <v>429</v>
      </c>
      <c r="E1045" s="14">
        <f>IFERROR(__xludf.DUMMYFUNCTION("GOOGLEFINANCE(A1045,""LOW"")"),415.55)</f>
        <v>415.55</v>
      </c>
      <c r="F1045" s="15" t="str">
        <f t="shared" si="8"/>
        <v/>
      </c>
      <c r="G1045" s="16">
        <f>IFERROR(__xludf.DUMMYFUNCTION("GOOGLEFINANCE(A1045,""CLOSEYEST"")"),416.85)</f>
        <v>416.85</v>
      </c>
      <c r="H1045" s="17" t="str">
        <f t="shared" si="14"/>
        <v/>
      </c>
      <c r="I1045" s="18">
        <f t="shared" si="9"/>
        <v>420.4666667</v>
      </c>
      <c r="J1045" s="19">
        <f t="shared" si="10"/>
        <v>425.3833333</v>
      </c>
      <c r="K1045" s="19"/>
      <c r="L1045" s="19">
        <f t="shared" si="11"/>
        <v>411.9333333</v>
      </c>
      <c r="M1045" s="19">
        <f t="shared" si="12"/>
        <v>433.9166667</v>
      </c>
      <c r="N1045" s="19">
        <f t="shared" si="13"/>
        <v>407.0166667</v>
      </c>
    </row>
    <row r="1046" ht="24.75" customHeight="1">
      <c r="A1046" s="21" t="s">
        <v>1009</v>
      </c>
      <c r="B1046" s="13">
        <f>IFERROR(__xludf.DUMMYFUNCTION("GOOGLEFINANCE(A1046,""PRICE"")"),5300.0)</f>
        <v>5300</v>
      </c>
      <c r="C1046" s="14">
        <f>IFERROR(__xludf.DUMMYFUNCTION("GOOGLEFINANCE(A1046,""PRICEOPEN"")"),5192.0)</f>
        <v>5192</v>
      </c>
      <c r="D1046" s="14">
        <f>IFERROR(__xludf.DUMMYFUNCTION("GOOGLEFINANCE(A1046,""HIGH"")"),5425.0)</f>
        <v>5425</v>
      </c>
      <c r="E1046" s="14">
        <f>IFERROR(__xludf.DUMMYFUNCTION("GOOGLEFINANCE(A1046,""LOW"")"),5192.0)</f>
        <v>5192</v>
      </c>
      <c r="F1046" s="15" t="str">
        <f t="shared" si="8"/>
        <v>BUY</v>
      </c>
      <c r="G1046" s="16">
        <f>IFERROR(__xludf.DUMMYFUNCTION("GOOGLEFINANCE(A1046,""CLOSEYEST"")"),5191.9)</f>
        <v>5191.9</v>
      </c>
      <c r="H1046" s="17" t="str">
        <f t="shared" si="14"/>
        <v/>
      </c>
      <c r="I1046" s="18">
        <f t="shared" si="9"/>
        <v>5269.633333</v>
      </c>
      <c r="J1046" s="19">
        <f t="shared" si="10"/>
        <v>5347.266667</v>
      </c>
      <c r="K1046" s="19"/>
      <c r="L1046" s="19">
        <f t="shared" si="11"/>
        <v>5114.266667</v>
      </c>
      <c r="M1046" s="19">
        <f t="shared" si="12"/>
        <v>5502.633333</v>
      </c>
      <c r="N1046" s="19">
        <f t="shared" si="13"/>
        <v>5036.633333</v>
      </c>
    </row>
    <row r="1047" ht="24.75" customHeight="1">
      <c r="A1047" s="21" t="s">
        <v>1010</v>
      </c>
      <c r="B1047" s="13">
        <f>IFERROR(__xludf.DUMMYFUNCTION("GOOGLEFINANCE(A1047,""PRICE"")"),133.99)</f>
        <v>133.99</v>
      </c>
      <c r="C1047" s="14">
        <f>IFERROR(__xludf.DUMMYFUNCTION("GOOGLEFINANCE(A1047,""PRICEOPEN"")"),133.24)</f>
        <v>133.24</v>
      </c>
      <c r="D1047" s="14">
        <f>IFERROR(__xludf.DUMMYFUNCTION("GOOGLEFINANCE(A1047,""HIGH"")"),134.98)</f>
        <v>134.98</v>
      </c>
      <c r="E1047" s="14">
        <f>IFERROR(__xludf.DUMMYFUNCTION("GOOGLEFINANCE(A1047,""LOW"")"),130.2)</f>
        <v>130.2</v>
      </c>
      <c r="F1047" s="15" t="str">
        <f t="shared" si="8"/>
        <v/>
      </c>
      <c r="G1047" s="16">
        <f>IFERROR(__xludf.DUMMYFUNCTION("GOOGLEFINANCE(A1047,""CLOSEYEST"")"),132.58)</f>
        <v>132.58</v>
      </c>
      <c r="H1047" s="17" t="str">
        <f t="shared" si="14"/>
        <v/>
      </c>
      <c r="I1047" s="18">
        <f t="shared" si="9"/>
        <v>132.5866667</v>
      </c>
      <c r="J1047" s="19">
        <f t="shared" si="10"/>
        <v>134.9733333</v>
      </c>
      <c r="K1047" s="19"/>
      <c r="L1047" s="19">
        <f t="shared" si="11"/>
        <v>130.1933333</v>
      </c>
      <c r="M1047" s="19">
        <f t="shared" si="12"/>
        <v>137.3666667</v>
      </c>
      <c r="N1047" s="19">
        <f t="shared" si="13"/>
        <v>127.8066667</v>
      </c>
    </row>
    <row r="1048" ht="24.75" customHeight="1">
      <c r="A1048" s="21" t="s">
        <v>1011</v>
      </c>
      <c r="B1048" s="13">
        <f>IFERROR(__xludf.DUMMYFUNCTION("GOOGLEFINANCE(A1048,""PRICE"")"),48.7)</f>
        <v>48.7</v>
      </c>
      <c r="C1048" s="14">
        <f>IFERROR(__xludf.DUMMYFUNCTION("GOOGLEFINANCE(A1048,""PRICEOPEN"")"),48.0)</f>
        <v>48</v>
      </c>
      <c r="D1048" s="14">
        <f>IFERROR(__xludf.DUMMYFUNCTION("GOOGLEFINANCE(A1048,""HIGH"")"),49.43)</f>
        <v>49.43</v>
      </c>
      <c r="E1048" s="14">
        <f>IFERROR(__xludf.DUMMYFUNCTION("GOOGLEFINANCE(A1048,""LOW"")"),48.0)</f>
        <v>48</v>
      </c>
      <c r="F1048" s="15" t="str">
        <f t="shared" si="8"/>
        <v>BUY</v>
      </c>
      <c r="G1048" s="16">
        <f>IFERROR(__xludf.DUMMYFUNCTION("GOOGLEFINANCE(A1048,""CLOSEYEST"")"),48.14)</f>
        <v>48.14</v>
      </c>
      <c r="H1048" s="17" t="str">
        <f t="shared" si="14"/>
        <v/>
      </c>
      <c r="I1048" s="18">
        <f t="shared" si="9"/>
        <v>48.52333333</v>
      </c>
      <c r="J1048" s="19">
        <f t="shared" si="10"/>
        <v>49.04666667</v>
      </c>
      <c r="K1048" s="19"/>
      <c r="L1048" s="19">
        <f t="shared" si="11"/>
        <v>47.61666667</v>
      </c>
      <c r="M1048" s="19">
        <f t="shared" si="12"/>
        <v>49.95333333</v>
      </c>
      <c r="N1048" s="19">
        <f t="shared" si="13"/>
        <v>47.09333333</v>
      </c>
    </row>
    <row r="1049" ht="24.75" customHeight="1">
      <c r="A1049" s="21" t="s">
        <v>1012</v>
      </c>
      <c r="B1049" s="13">
        <f>IFERROR(__xludf.DUMMYFUNCTION("GOOGLEFINANCE(A1049,""PRICE"")"),103.05)</f>
        <v>103.05</v>
      </c>
      <c r="C1049" s="14">
        <f>IFERROR(__xludf.DUMMYFUNCTION("GOOGLEFINANCE(A1049,""PRICEOPEN"")"),107.39)</f>
        <v>107.39</v>
      </c>
      <c r="D1049" s="14">
        <f>IFERROR(__xludf.DUMMYFUNCTION("GOOGLEFINANCE(A1049,""HIGH"")"),107.39)</f>
        <v>107.39</v>
      </c>
      <c r="E1049" s="14">
        <f>IFERROR(__xludf.DUMMYFUNCTION("GOOGLEFINANCE(A1049,""LOW"")"),102.02)</f>
        <v>102.02</v>
      </c>
      <c r="F1049" s="15" t="str">
        <f t="shared" si="8"/>
        <v>SELL</v>
      </c>
      <c r="G1049" s="16">
        <f>IFERROR(__xludf.DUMMYFUNCTION("GOOGLEFINANCE(A1049,""CLOSEYEST"")"),107.39)</f>
        <v>107.39</v>
      </c>
      <c r="H1049" s="17" t="str">
        <f t="shared" si="14"/>
        <v/>
      </c>
      <c r="I1049" s="18">
        <f t="shared" si="9"/>
        <v>105.6</v>
      </c>
      <c r="J1049" s="19">
        <f t="shared" si="10"/>
        <v>109.18</v>
      </c>
      <c r="K1049" s="19"/>
      <c r="L1049" s="19">
        <f t="shared" si="11"/>
        <v>103.81</v>
      </c>
      <c r="M1049" s="19">
        <f t="shared" si="12"/>
        <v>110.97</v>
      </c>
      <c r="N1049" s="19">
        <f t="shared" si="13"/>
        <v>100.23</v>
      </c>
    </row>
    <row r="1050" ht="24.75" customHeight="1">
      <c r="A1050" s="21" t="s">
        <v>1013</v>
      </c>
      <c r="B1050" s="13">
        <f>IFERROR(__xludf.DUMMYFUNCTION("GOOGLEFINANCE(A1050,""PRICE"")"),1.87)</f>
        <v>1.87</v>
      </c>
      <c r="C1050" s="14">
        <f>IFERROR(__xludf.DUMMYFUNCTION("GOOGLEFINANCE(A1050,""PRICEOPEN"")"),1.97)</f>
        <v>1.97</v>
      </c>
      <c r="D1050" s="14">
        <f>IFERROR(__xludf.DUMMYFUNCTION("GOOGLEFINANCE(A1050,""HIGH"")"),2.06)</f>
        <v>2.06</v>
      </c>
      <c r="E1050" s="14">
        <f>IFERROR(__xludf.DUMMYFUNCTION("GOOGLEFINANCE(A1050,""LOW"")"),1.87)</f>
        <v>1.87</v>
      </c>
      <c r="F1050" s="15" t="str">
        <f t="shared" si="8"/>
        <v/>
      </c>
      <c r="G1050" s="16">
        <f>IFERROR(__xludf.DUMMYFUNCTION("GOOGLEFINANCE(A1050,""CLOSEYEST"")"),1.97)</f>
        <v>1.97</v>
      </c>
      <c r="H1050" s="17" t="str">
        <f t="shared" si="14"/>
        <v/>
      </c>
      <c r="I1050" s="18">
        <f t="shared" si="9"/>
        <v>1.966666667</v>
      </c>
      <c r="J1050" s="19">
        <f t="shared" si="10"/>
        <v>2.063333333</v>
      </c>
      <c r="K1050" s="19"/>
      <c r="L1050" s="19">
        <f t="shared" si="11"/>
        <v>1.873333333</v>
      </c>
      <c r="M1050" s="19">
        <f t="shared" si="12"/>
        <v>2.156666667</v>
      </c>
      <c r="N1050" s="19">
        <f t="shared" si="13"/>
        <v>1.776666667</v>
      </c>
    </row>
    <row r="1051" ht="24.75" customHeight="1">
      <c r="A1051" s="21" t="s">
        <v>1014</v>
      </c>
      <c r="B1051" s="13">
        <f>IFERROR(__xludf.DUMMYFUNCTION("GOOGLEFINANCE(A1051,""PRICE"")"),258.75)</f>
        <v>258.75</v>
      </c>
      <c r="C1051" s="14">
        <f>IFERROR(__xludf.DUMMYFUNCTION("GOOGLEFINANCE(A1051,""PRICEOPEN"")"),253.1)</f>
        <v>253.1</v>
      </c>
      <c r="D1051" s="14">
        <f>IFERROR(__xludf.DUMMYFUNCTION("GOOGLEFINANCE(A1051,""HIGH"")"),258.75)</f>
        <v>258.75</v>
      </c>
      <c r="E1051" s="14">
        <f>IFERROR(__xludf.DUMMYFUNCTION("GOOGLEFINANCE(A1051,""LOW"")"),251.0)</f>
        <v>251</v>
      </c>
      <c r="F1051" s="15" t="str">
        <f t="shared" si="8"/>
        <v/>
      </c>
      <c r="G1051" s="16">
        <f>IFERROR(__xludf.DUMMYFUNCTION("GOOGLEFINANCE(A1051,""CLOSEYEST"")"),253.1)</f>
        <v>253.1</v>
      </c>
      <c r="H1051" s="17" t="str">
        <f t="shared" si="14"/>
        <v/>
      </c>
      <c r="I1051" s="18">
        <f t="shared" si="9"/>
        <v>254.2833333</v>
      </c>
      <c r="J1051" s="19">
        <f t="shared" si="10"/>
        <v>257.5666667</v>
      </c>
      <c r="K1051" s="19"/>
      <c r="L1051" s="19">
        <f t="shared" si="11"/>
        <v>249.8166667</v>
      </c>
      <c r="M1051" s="19">
        <f t="shared" si="12"/>
        <v>262.0333333</v>
      </c>
      <c r="N1051" s="19">
        <f t="shared" si="13"/>
        <v>246.5333333</v>
      </c>
    </row>
    <row r="1052" ht="24.75" customHeight="1">
      <c r="A1052" s="21" t="s">
        <v>1015</v>
      </c>
      <c r="B1052" s="13">
        <f>IFERROR(__xludf.DUMMYFUNCTION("GOOGLEFINANCE(A1052,""PRICE"")"),140.0)</f>
        <v>140</v>
      </c>
      <c r="C1052" s="14">
        <f>IFERROR(__xludf.DUMMYFUNCTION("GOOGLEFINANCE(A1052,""PRICEOPEN"")"),128.4)</f>
        <v>128.4</v>
      </c>
      <c r="D1052" s="14">
        <f>IFERROR(__xludf.DUMMYFUNCTION("GOOGLEFINANCE(A1052,""HIGH"")"),140.4)</f>
        <v>140.4</v>
      </c>
      <c r="E1052" s="14">
        <f>IFERROR(__xludf.DUMMYFUNCTION("GOOGLEFINANCE(A1052,""LOW"")"),127.59)</f>
        <v>127.59</v>
      </c>
      <c r="F1052" s="15" t="str">
        <f t="shared" si="8"/>
        <v/>
      </c>
      <c r="G1052" s="16">
        <f>IFERROR(__xludf.DUMMYFUNCTION("GOOGLEFINANCE(A1052,""CLOSEYEST"")"),128.4)</f>
        <v>128.4</v>
      </c>
      <c r="H1052" s="17" t="str">
        <f t="shared" si="14"/>
        <v/>
      </c>
      <c r="I1052" s="18">
        <f t="shared" si="9"/>
        <v>132.13</v>
      </c>
      <c r="J1052" s="19">
        <f t="shared" si="10"/>
        <v>136.67</v>
      </c>
      <c r="K1052" s="19"/>
      <c r="L1052" s="19">
        <f t="shared" si="11"/>
        <v>123.86</v>
      </c>
      <c r="M1052" s="19">
        <f t="shared" si="12"/>
        <v>144.94</v>
      </c>
      <c r="N1052" s="19">
        <f t="shared" si="13"/>
        <v>119.32</v>
      </c>
    </row>
    <row r="1053" ht="24.75" customHeight="1">
      <c r="A1053" s="21" t="s">
        <v>1016</v>
      </c>
      <c r="B1053" s="13">
        <f>IFERROR(__xludf.DUMMYFUNCTION("GOOGLEFINANCE(A1053,""PRICE"")"),158.0)</f>
        <v>158</v>
      </c>
      <c r="C1053" s="14">
        <f>IFERROR(__xludf.DUMMYFUNCTION("GOOGLEFINANCE(A1053,""PRICEOPEN"")"),155.01)</f>
        <v>155.01</v>
      </c>
      <c r="D1053" s="14">
        <f>IFERROR(__xludf.DUMMYFUNCTION("GOOGLEFINANCE(A1053,""HIGH"")"),158.0)</f>
        <v>158</v>
      </c>
      <c r="E1053" s="14">
        <f>IFERROR(__xludf.DUMMYFUNCTION("GOOGLEFINANCE(A1053,""LOW"")"),151.31)</f>
        <v>151.31</v>
      </c>
      <c r="F1053" s="15" t="str">
        <f t="shared" si="8"/>
        <v/>
      </c>
      <c r="G1053" s="16">
        <f>IFERROR(__xludf.DUMMYFUNCTION("GOOGLEFINANCE(A1053,""CLOSEYEST"")"),156.0)</f>
        <v>156</v>
      </c>
      <c r="H1053" s="17" t="str">
        <f t="shared" si="14"/>
        <v/>
      </c>
      <c r="I1053" s="18">
        <f t="shared" si="9"/>
        <v>155.1033333</v>
      </c>
      <c r="J1053" s="19">
        <f t="shared" si="10"/>
        <v>158.8966667</v>
      </c>
      <c r="K1053" s="19"/>
      <c r="L1053" s="19">
        <f t="shared" si="11"/>
        <v>152.2066667</v>
      </c>
      <c r="M1053" s="19">
        <f t="shared" si="12"/>
        <v>161.7933333</v>
      </c>
      <c r="N1053" s="19">
        <f t="shared" si="13"/>
        <v>148.4133333</v>
      </c>
    </row>
    <row r="1054" ht="24.75" customHeight="1">
      <c r="A1054" s="21" t="s">
        <v>1017</v>
      </c>
      <c r="B1054" s="13">
        <f>IFERROR(__xludf.DUMMYFUNCTION("GOOGLEFINANCE(A1054,""PRICE"")"),998.0)</f>
        <v>998</v>
      </c>
      <c r="C1054" s="14">
        <f>IFERROR(__xludf.DUMMYFUNCTION("GOOGLEFINANCE(A1054,""PRICEOPEN"")"),1011.1)</f>
        <v>1011.1</v>
      </c>
      <c r="D1054" s="14">
        <f>IFERROR(__xludf.DUMMYFUNCTION("GOOGLEFINANCE(A1054,""HIGH"")"),1011.1)</f>
        <v>1011.1</v>
      </c>
      <c r="E1054" s="14">
        <f>IFERROR(__xludf.DUMMYFUNCTION("GOOGLEFINANCE(A1054,""LOW"")"),991.45)</f>
        <v>991.45</v>
      </c>
      <c r="F1054" s="15" t="str">
        <f t="shared" si="8"/>
        <v>SELL</v>
      </c>
      <c r="G1054" s="16">
        <f>IFERROR(__xludf.DUMMYFUNCTION("GOOGLEFINANCE(A1054,""CLOSEYEST"")"),1005.85)</f>
        <v>1005.85</v>
      </c>
      <c r="H1054" s="17" t="str">
        <f t="shared" si="14"/>
        <v/>
      </c>
      <c r="I1054" s="18">
        <f t="shared" si="9"/>
        <v>1002.8</v>
      </c>
      <c r="J1054" s="19">
        <f t="shared" si="10"/>
        <v>1014.15</v>
      </c>
      <c r="K1054" s="19"/>
      <c r="L1054" s="19">
        <f t="shared" si="11"/>
        <v>994.5</v>
      </c>
      <c r="M1054" s="19">
        <f t="shared" si="12"/>
        <v>1022.45</v>
      </c>
      <c r="N1054" s="19">
        <f t="shared" si="13"/>
        <v>983.15</v>
      </c>
    </row>
    <row r="1055" ht="24.75" customHeight="1">
      <c r="A1055" s="21" t="s">
        <v>1018</v>
      </c>
      <c r="B1055" s="13" t="str">
        <f>IFERROR(__xludf.DUMMYFUNCTION("GOOGLEFINANCE(A1055,""PRICE"")"),"#N/A")</f>
        <v>#N/A</v>
      </c>
      <c r="C1055" s="14" t="str">
        <f>IFERROR(__xludf.DUMMYFUNCTION("GOOGLEFINANCE(A1055,""PRICEOPEN"")"),"#N/A")</f>
        <v>#N/A</v>
      </c>
      <c r="D1055" s="14" t="str">
        <f>IFERROR(__xludf.DUMMYFUNCTION("GOOGLEFINANCE(A1055,""HIGH"")"),"#N/A")</f>
        <v>#N/A</v>
      </c>
      <c r="E1055" s="14" t="str">
        <f>IFERROR(__xludf.DUMMYFUNCTION("GOOGLEFINANCE(A1055,""LOW"")"),"#N/A")</f>
        <v>#N/A</v>
      </c>
      <c r="F1055" s="15" t="str">
        <f t="shared" si="8"/>
        <v>#N/A</v>
      </c>
      <c r="G1055" s="16" t="str">
        <f>IFERROR(__xludf.DUMMYFUNCTION("GOOGLEFINANCE(A1055,""CLOSEYEST"")"),"#N/A")</f>
        <v>#N/A</v>
      </c>
      <c r="H1055" s="17" t="str">
        <f t="shared" si="14"/>
        <v>#N/A</v>
      </c>
      <c r="I1055" s="18" t="str">
        <f t="shared" si="9"/>
        <v>#N/A</v>
      </c>
      <c r="J1055" s="19" t="str">
        <f t="shared" si="10"/>
        <v>#N/A</v>
      </c>
      <c r="K1055" s="19"/>
      <c r="L1055" s="19" t="str">
        <f t="shared" si="11"/>
        <v>#N/A</v>
      </c>
      <c r="M1055" s="19" t="str">
        <f t="shared" si="12"/>
        <v>#N/A</v>
      </c>
      <c r="N1055" s="19" t="str">
        <f t="shared" si="13"/>
        <v>#N/A</v>
      </c>
    </row>
    <row r="1056" ht="24.75" customHeight="1">
      <c r="A1056" s="21" t="s">
        <v>1019</v>
      </c>
      <c r="B1056" s="13">
        <f>IFERROR(__xludf.DUMMYFUNCTION("GOOGLEFINANCE(A1056,""PRICE"")"),128.9)</f>
        <v>128.9</v>
      </c>
      <c r="C1056" s="14">
        <f>IFERROR(__xludf.DUMMYFUNCTION("GOOGLEFINANCE(A1056,""PRICEOPEN"")"),129.6)</f>
        <v>129.6</v>
      </c>
      <c r="D1056" s="14">
        <f>IFERROR(__xludf.DUMMYFUNCTION("GOOGLEFINANCE(A1056,""HIGH"")"),130.3)</f>
        <v>130.3</v>
      </c>
      <c r="E1056" s="14">
        <f>IFERROR(__xludf.DUMMYFUNCTION("GOOGLEFINANCE(A1056,""LOW"")"),126.8)</f>
        <v>126.8</v>
      </c>
      <c r="F1056" s="15" t="str">
        <f t="shared" si="8"/>
        <v/>
      </c>
      <c r="G1056" s="16">
        <f>IFERROR(__xludf.DUMMYFUNCTION("GOOGLEFINANCE(A1056,""CLOSEYEST"")"),128.63)</f>
        <v>128.63</v>
      </c>
      <c r="H1056" s="17" t="str">
        <f t="shared" si="14"/>
        <v/>
      </c>
      <c r="I1056" s="18">
        <f t="shared" si="9"/>
        <v>128.5766667</v>
      </c>
      <c r="J1056" s="19">
        <f t="shared" si="10"/>
        <v>130.3533333</v>
      </c>
      <c r="K1056" s="19"/>
      <c r="L1056" s="19">
        <f t="shared" si="11"/>
        <v>126.8533333</v>
      </c>
      <c r="M1056" s="19">
        <f t="shared" si="12"/>
        <v>132.0766667</v>
      </c>
      <c r="N1056" s="19">
        <f t="shared" si="13"/>
        <v>125.0766667</v>
      </c>
    </row>
    <row r="1057" ht="24.75" customHeight="1">
      <c r="A1057" s="21" t="s">
        <v>1020</v>
      </c>
      <c r="B1057" s="13">
        <f>IFERROR(__xludf.DUMMYFUNCTION("GOOGLEFINANCE(A1057,""PRICE"")"),62.28)</f>
        <v>62.28</v>
      </c>
      <c r="C1057" s="14">
        <f>IFERROR(__xludf.DUMMYFUNCTION("GOOGLEFINANCE(A1057,""PRICEOPEN"")"),62.35)</f>
        <v>62.35</v>
      </c>
      <c r="D1057" s="14">
        <f>IFERROR(__xludf.DUMMYFUNCTION("GOOGLEFINANCE(A1057,""HIGH"")"),64.69)</f>
        <v>64.69</v>
      </c>
      <c r="E1057" s="14">
        <f>IFERROR(__xludf.DUMMYFUNCTION("GOOGLEFINANCE(A1057,""LOW"")"),61.35)</f>
        <v>61.35</v>
      </c>
      <c r="F1057" s="15" t="str">
        <f t="shared" si="8"/>
        <v/>
      </c>
      <c r="G1057" s="16">
        <f>IFERROR(__xludf.DUMMYFUNCTION("GOOGLEFINANCE(A1057,""CLOSEYEST"")"),61.75)</f>
        <v>61.75</v>
      </c>
      <c r="H1057" s="17" t="str">
        <f t="shared" si="14"/>
        <v/>
      </c>
      <c r="I1057" s="18">
        <f t="shared" si="9"/>
        <v>62.59666667</v>
      </c>
      <c r="J1057" s="19">
        <f t="shared" si="10"/>
        <v>63.84333333</v>
      </c>
      <c r="K1057" s="19"/>
      <c r="L1057" s="19">
        <f t="shared" si="11"/>
        <v>60.50333333</v>
      </c>
      <c r="M1057" s="19">
        <f t="shared" si="12"/>
        <v>65.93666667</v>
      </c>
      <c r="N1057" s="19">
        <f t="shared" si="13"/>
        <v>59.25666667</v>
      </c>
    </row>
    <row r="1058" ht="24.75" customHeight="1">
      <c r="A1058" s="21" t="s">
        <v>1021</v>
      </c>
      <c r="B1058" s="13">
        <f>IFERROR(__xludf.DUMMYFUNCTION("GOOGLEFINANCE(A1058,""PRICE"")"),466.0)</f>
        <v>466</v>
      </c>
      <c r="C1058" s="14">
        <f>IFERROR(__xludf.DUMMYFUNCTION("GOOGLEFINANCE(A1058,""PRICEOPEN"")"),464.4)</f>
        <v>464.4</v>
      </c>
      <c r="D1058" s="14">
        <f>IFERROR(__xludf.DUMMYFUNCTION("GOOGLEFINANCE(A1058,""HIGH"")"),472.85)</f>
        <v>472.85</v>
      </c>
      <c r="E1058" s="14">
        <f>IFERROR(__xludf.DUMMYFUNCTION("GOOGLEFINANCE(A1058,""LOW"")"),464.4)</f>
        <v>464.4</v>
      </c>
      <c r="F1058" s="15" t="str">
        <f t="shared" si="8"/>
        <v>BUY</v>
      </c>
      <c r="G1058" s="16">
        <f>IFERROR(__xludf.DUMMYFUNCTION("GOOGLEFINANCE(A1058,""CLOSEYEST"")"),464.4)</f>
        <v>464.4</v>
      </c>
      <c r="H1058" s="17" t="str">
        <f t="shared" si="14"/>
        <v/>
      </c>
      <c r="I1058" s="18">
        <f t="shared" si="9"/>
        <v>467.2166667</v>
      </c>
      <c r="J1058" s="19">
        <f t="shared" si="10"/>
        <v>470.0333333</v>
      </c>
      <c r="K1058" s="19"/>
      <c r="L1058" s="19">
        <f t="shared" si="11"/>
        <v>461.5833333</v>
      </c>
      <c r="M1058" s="19">
        <f t="shared" si="12"/>
        <v>475.6666667</v>
      </c>
      <c r="N1058" s="19">
        <f t="shared" si="13"/>
        <v>458.7666667</v>
      </c>
    </row>
    <row r="1059" ht="24.75" customHeight="1">
      <c r="A1059" s="21" t="s">
        <v>1022</v>
      </c>
      <c r="B1059" s="13">
        <f>IFERROR(__xludf.DUMMYFUNCTION("GOOGLEFINANCE(A1059,""PRICE"")"),523.0)</f>
        <v>523</v>
      </c>
      <c r="C1059" s="14">
        <f>IFERROR(__xludf.DUMMYFUNCTION("GOOGLEFINANCE(A1059,""PRICEOPEN"")"),523.9)</f>
        <v>523.9</v>
      </c>
      <c r="D1059" s="14">
        <f>IFERROR(__xludf.DUMMYFUNCTION("GOOGLEFINANCE(A1059,""HIGH"")"),529.0)</f>
        <v>529</v>
      </c>
      <c r="E1059" s="14">
        <f>IFERROR(__xludf.DUMMYFUNCTION("GOOGLEFINANCE(A1059,""LOW"")"),520.3)</f>
        <v>520.3</v>
      </c>
      <c r="F1059" s="15" t="str">
        <f t="shared" si="8"/>
        <v/>
      </c>
      <c r="G1059" s="16">
        <f>IFERROR(__xludf.DUMMYFUNCTION("GOOGLEFINANCE(A1059,""CLOSEYEST"")"),526.45)</f>
        <v>526.45</v>
      </c>
      <c r="H1059" s="17" t="str">
        <f t="shared" si="14"/>
        <v/>
      </c>
      <c r="I1059" s="18">
        <f t="shared" si="9"/>
        <v>525.25</v>
      </c>
      <c r="J1059" s="19">
        <f t="shared" si="10"/>
        <v>530.2</v>
      </c>
      <c r="K1059" s="19"/>
      <c r="L1059" s="19">
        <f t="shared" si="11"/>
        <v>521.5</v>
      </c>
      <c r="M1059" s="19">
        <f t="shared" si="12"/>
        <v>533.95</v>
      </c>
      <c r="N1059" s="19">
        <f t="shared" si="13"/>
        <v>516.55</v>
      </c>
    </row>
    <row r="1060" ht="24.75" customHeight="1">
      <c r="A1060" s="21" t="s">
        <v>1023</v>
      </c>
      <c r="B1060" s="13">
        <f>IFERROR(__xludf.DUMMYFUNCTION("GOOGLEFINANCE(A1060,""PRICE"")"),110.5)</f>
        <v>110.5</v>
      </c>
      <c r="C1060" s="14">
        <f>IFERROR(__xludf.DUMMYFUNCTION("GOOGLEFINANCE(A1060,""PRICEOPEN"")"),109.0)</f>
        <v>109</v>
      </c>
      <c r="D1060" s="14">
        <f>IFERROR(__xludf.DUMMYFUNCTION("GOOGLEFINANCE(A1060,""HIGH"")"),113.0)</f>
        <v>113</v>
      </c>
      <c r="E1060" s="14">
        <f>IFERROR(__xludf.DUMMYFUNCTION("GOOGLEFINANCE(A1060,""LOW"")"),109.0)</f>
        <v>109</v>
      </c>
      <c r="F1060" s="15" t="str">
        <f t="shared" si="8"/>
        <v>BUY</v>
      </c>
      <c r="G1060" s="16">
        <f>IFERROR(__xludf.DUMMYFUNCTION("GOOGLEFINANCE(A1060,""CLOSEYEST"")"),109.51)</f>
        <v>109.51</v>
      </c>
      <c r="H1060" s="17" t="str">
        <f t="shared" si="14"/>
        <v/>
      </c>
      <c r="I1060" s="18">
        <f t="shared" si="9"/>
        <v>110.5033333</v>
      </c>
      <c r="J1060" s="19">
        <f t="shared" si="10"/>
        <v>112.0066667</v>
      </c>
      <c r="K1060" s="19"/>
      <c r="L1060" s="19">
        <f t="shared" si="11"/>
        <v>108.0066667</v>
      </c>
      <c r="M1060" s="19">
        <f t="shared" si="12"/>
        <v>114.5033333</v>
      </c>
      <c r="N1060" s="19">
        <f t="shared" si="13"/>
        <v>106.5033333</v>
      </c>
    </row>
    <row r="1061" ht="24.75" customHeight="1">
      <c r="A1061" s="21" t="s">
        <v>1024</v>
      </c>
      <c r="B1061" s="13">
        <f>IFERROR(__xludf.DUMMYFUNCTION("GOOGLEFINANCE(A1061,""PRICE"")"),299.0)</f>
        <v>299</v>
      </c>
      <c r="C1061" s="14">
        <f>IFERROR(__xludf.DUMMYFUNCTION("GOOGLEFINANCE(A1061,""PRICEOPEN"")"),293.95)</f>
        <v>293.95</v>
      </c>
      <c r="D1061" s="14">
        <f>IFERROR(__xludf.DUMMYFUNCTION("GOOGLEFINANCE(A1061,""HIGH"")"),299.8)</f>
        <v>299.8</v>
      </c>
      <c r="E1061" s="14">
        <f>IFERROR(__xludf.DUMMYFUNCTION("GOOGLEFINANCE(A1061,""LOW"")"),285.0)</f>
        <v>285</v>
      </c>
      <c r="F1061" s="15" t="str">
        <f t="shared" si="8"/>
        <v/>
      </c>
      <c r="G1061" s="16">
        <f>IFERROR(__xludf.DUMMYFUNCTION("GOOGLEFINANCE(A1061,""CLOSEYEST"")"),293.95)</f>
        <v>293.95</v>
      </c>
      <c r="H1061" s="17" t="str">
        <f t="shared" si="14"/>
        <v/>
      </c>
      <c r="I1061" s="18">
        <f t="shared" si="9"/>
        <v>292.9166667</v>
      </c>
      <c r="J1061" s="19">
        <f t="shared" si="10"/>
        <v>300.8333333</v>
      </c>
      <c r="K1061" s="19"/>
      <c r="L1061" s="19">
        <f t="shared" si="11"/>
        <v>286.0333333</v>
      </c>
      <c r="M1061" s="19">
        <f t="shared" si="12"/>
        <v>307.7166667</v>
      </c>
      <c r="N1061" s="19">
        <f t="shared" si="13"/>
        <v>278.1166667</v>
      </c>
    </row>
    <row r="1062" ht="24.75" customHeight="1">
      <c r="A1062" s="21" t="s">
        <v>1025</v>
      </c>
      <c r="B1062" s="13">
        <f>IFERROR(__xludf.DUMMYFUNCTION("GOOGLEFINANCE(A1062,""PRICE"")"),2488.9)</f>
        <v>2488.9</v>
      </c>
      <c r="C1062" s="14">
        <f>IFERROR(__xludf.DUMMYFUNCTION("GOOGLEFINANCE(A1062,""PRICEOPEN"")"),2694.9)</f>
        <v>2694.9</v>
      </c>
      <c r="D1062" s="14">
        <f>IFERROR(__xludf.DUMMYFUNCTION("GOOGLEFINANCE(A1062,""HIGH"")"),2729.0)</f>
        <v>2729</v>
      </c>
      <c r="E1062" s="14">
        <f>IFERROR(__xludf.DUMMYFUNCTION("GOOGLEFINANCE(A1062,""LOW"")"),2424.4)</f>
        <v>2424.4</v>
      </c>
      <c r="F1062" s="15" t="str">
        <f t="shared" si="8"/>
        <v/>
      </c>
      <c r="G1062" s="16">
        <f>IFERROR(__xludf.DUMMYFUNCTION("GOOGLEFINANCE(A1062,""CLOSEYEST"")"),2693.7)</f>
        <v>2693.7</v>
      </c>
      <c r="H1062" s="17" t="str">
        <f t="shared" si="14"/>
        <v/>
      </c>
      <c r="I1062" s="18">
        <f t="shared" si="9"/>
        <v>2615.7</v>
      </c>
      <c r="J1062" s="19">
        <f t="shared" si="10"/>
        <v>2807</v>
      </c>
      <c r="K1062" s="19"/>
      <c r="L1062" s="19">
        <f t="shared" si="11"/>
        <v>2502.4</v>
      </c>
      <c r="M1062" s="19">
        <f t="shared" si="12"/>
        <v>2920.3</v>
      </c>
      <c r="N1062" s="19">
        <f t="shared" si="13"/>
        <v>2311.1</v>
      </c>
    </row>
    <row r="1063" ht="24.75" customHeight="1">
      <c r="A1063" s="21" t="s">
        <v>1026</v>
      </c>
      <c r="B1063" s="13">
        <f>IFERROR(__xludf.DUMMYFUNCTION("GOOGLEFINANCE(A1063,""PRICE"")"),115.6)</f>
        <v>115.6</v>
      </c>
      <c r="C1063" s="14">
        <f>IFERROR(__xludf.DUMMYFUNCTION("GOOGLEFINANCE(A1063,""PRICEOPEN"")"),115.26)</f>
        <v>115.26</v>
      </c>
      <c r="D1063" s="14">
        <f>IFERROR(__xludf.DUMMYFUNCTION("GOOGLEFINANCE(A1063,""HIGH"")"),117.68)</f>
        <v>117.68</v>
      </c>
      <c r="E1063" s="14">
        <f>IFERROR(__xludf.DUMMYFUNCTION("GOOGLEFINANCE(A1063,""LOW"")"),114.5)</f>
        <v>114.5</v>
      </c>
      <c r="F1063" s="15" t="str">
        <f t="shared" si="8"/>
        <v/>
      </c>
      <c r="G1063" s="16">
        <f>IFERROR(__xludf.DUMMYFUNCTION("GOOGLEFINANCE(A1063,""CLOSEYEST"")"),116.81)</f>
        <v>116.81</v>
      </c>
      <c r="H1063" s="17" t="str">
        <f t="shared" si="14"/>
        <v>GAP DOWN</v>
      </c>
      <c r="I1063" s="18">
        <f t="shared" si="9"/>
        <v>116.33</v>
      </c>
      <c r="J1063" s="19">
        <f t="shared" si="10"/>
        <v>118.16</v>
      </c>
      <c r="K1063" s="19"/>
      <c r="L1063" s="19">
        <f t="shared" si="11"/>
        <v>114.98</v>
      </c>
      <c r="M1063" s="19">
        <f t="shared" si="12"/>
        <v>119.51</v>
      </c>
      <c r="N1063" s="19">
        <f t="shared" si="13"/>
        <v>113.15</v>
      </c>
    </row>
    <row r="1064" ht="24.75" customHeight="1">
      <c r="A1064" s="21" t="s">
        <v>1027</v>
      </c>
      <c r="B1064" s="13">
        <f>IFERROR(__xludf.DUMMYFUNCTION("GOOGLEFINANCE(A1064,""PRICE"")"),220.01)</f>
        <v>220.01</v>
      </c>
      <c r="C1064" s="14">
        <f>IFERROR(__xludf.DUMMYFUNCTION("GOOGLEFINANCE(A1064,""PRICEOPEN"")"),218.0)</f>
        <v>218</v>
      </c>
      <c r="D1064" s="14">
        <f>IFERROR(__xludf.DUMMYFUNCTION("GOOGLEFINANCE(A1064,""HIGH"")"),223.68)</f>
        <v>223.68</v>
      </c>
      <c r="E1064" s="14">
        <f>IFERROR(__xludf.DUMMYFUNCTION("GOOGLEFINANCE(A1064,""LOW"")"),218.0)</f>
        <v>218</v>
      </c>
      <c r="F1064" s="15" t="str">
        <f t="shared" si="8"/>
        <v>BUY</v>
      </c>
      <c r="G1064" s="16">
        <f>IFERROR(__xludf.DUMMYFUNCTION("GOOGLEFINANCE(A1064,""CLOSEYEST"")"),219.15)</f>
        <v>219.15</v>
      </c>
      <c r="H1064" s="17" t="str">
        <f t="shared" si="14"/>
        <v/>
      </c>
      <c r="I1064" s="18">
        <f t="shared" si="9"/>
        <v>220.2766667</v>
      </c>
      <c r="J1064" s="19">
        <f t="shared" si="10"/>
        <v>222.5533333</v>
      </c>
      <c r="K1064" s="19"/>
      <c r="L1064" s="19">
        <f t="shared" si="11"/>
        <v>216.8733333</v>
      </c>
      <c r="M1064" s="19">
        <f t="shared" si="12"/>
        <v>225.9566667</v>
      </c>
      <c r="N1064" s="19">
        <f t="shared" si="13"/>
        <v>214.5966667</v>
      </c>
    </row>
    <row r="1065" ht="24.75" customHeight="1">
      <c r="A1065" s="21" t="s">
        <v>1028</v>
      </c>
      <c r="B1065" s="13">
        <f>IFERROR(__xludf.DUMMYFUNCTION("GOOGLEFINANCE(A1065,""PRICE"")"),395.15)</f>
        <v>395.15</v>
      </c>
      <c r="C1065" s="14">
        <f>IFERROR(__xludf.DUMMYFUNCTION("GOOGLEFINANCE(A1065,""PRICEOPEN"")"),401.0)</f>
        <v>401</v>
      </c>
      <c r="D1065" s="14">
        <f>IFERROR(__xludf.DUMMYFUNCTION("GOOGLEFINANCE(A1065,""HIGH"")"),403.9)</f>
        <v>403.9</v>
      </c>
      <c r="E1065" s="14">
        <f>IFERROR(__xludf.DUMMYFUNCTION("GOOGLEFINANCE(A1065,""LOW"")"),394.0)</f>
        <v>394</v>
      </c>
      <c r="F1065" s="15" t="str">
        <f t="shared" si="8"/>
        <v/>
      </c>
      <c r="G1065" s="16">
        <f>IFERROR(__xludf.DUMMYFUNCTION("GOOGLEFINANCE(A1065,""CLOSEYEST"")"),395.95)</f>
        <v>395.95</v>
      </c>
      <c r="H1065" s="17" t="str">
        <f t="shared" si="14"/>
        <v>GAP UP</v>
      </c>
      <c r="I1065" s="18">
        <f t="shared" si="9"/>
        <v>397.95</v>
      </c>
      <c r="J1065" s="19">
        <f t="shared" si="10"/>
        <v>401.9</v>
      </c>
      <c r="K1065" s="19"/>
      <c r="L1065" s="19">
        <f t="shared" si="11"/>
        <v>392</v>
      </c>
      <c r="M1065" s="19">
        <f t="shared" si="12"/>
        <v>407.85</v>
      </c>
      <c r="N1065" s="19">
        <f t="shared" si="13"/>
        <v>388.05</v>
      </c>
    </row>
    <row r="1066" ht="24.75" customHeight="1">
      <c r="A1066" s="21" t="s">
        <v>1029</v>
      </c>
      <c r="B1066" s="13">
        <f>IFERROR(__xludf.DUMMYFUNCTION("GOOGLEFINANCE(A1066,""PRICE"")"),1138.0)</f>
        <v>1138</v>
      </c>
      <c r="C1066" s="14">
        <f>IFERROR(__xludf.DUMMYFUNCTION("GOOGLEFINANCE(A1066,""PRICEOPEN"")"),1155.0)</f>
        <v>1155</v>
      </c>
      <c r="D1066" s="14">
        <f>IFERROR(__xludf.DUMMYFUNCTION("GOOGLEFINANCE(A1066,""HIGH"")"),1162.3)</f>
        <v>1162.3</v>
      </c>
      <c r="E1066" s="14">
        <f>IFERROR(__xludf.DUMMYFUNCTION("GOOGLEFINANCE(A1066,""LOW"")"),1131.1)</f>
        <v>1131.1</v>
      </c>
      <c r="F1066" s="15" t="str">
        <f t="shared" si="8"/>
        <v/>
      </c>
      <c r="G1066" s="16">
        <f>IFERROR(__xludf.DUMMYFUNCTION("GOOGLEFINANCE(A1066,""CLOSEYEST"")"),1150.2)</f>
        <v>1150.2</v>
      </c>
      <c r="H1066" s="17" t="str">
        <f t="shared" si="14"/>
        <v/>
      </c>
      <c r="I1066" s="18">
        <f t="shared" si="9"/>
        <v>1147.866667</v>
      </c>
      <c r="J1066" s="19">
        <f t="shared" si="10"/>
        <v>1164.633333</v>
      </c>
      <c r="K1066" s="19"/>
      <c r="L1066" s="19">
        <f t="shared" si="11"/>
        <v>1133.433333</v>
      </c>
      <c r="M1066" s="19">
        <f t="shared" si="12"/>
        <v>1179.066667</v>
      </c>
      <c r="N1066" s="19">
        <f t="shared" si="13"/>
        <v>1116.666667</v>
      </c>
    </row>
    <row r="1067" ht="24.75" customHeight="1">
      <c r="A1067" s="21" t="s">
        <v>1030</v>
      </c>
      <c r="B1067" s="13" t="str">
        <f>IFERROR(__xludf.DUMMYFUNCTION("GOOGLEFINANCE(A1067,""PRICE"")"),"#N/A")</f>
        <v>#N/A</v>
      </c>
      <c r="C1067" s="14" t="str">
        <f>IFERROR(__xludf.DUMMYFUNCTION("GOOGLEFINANCE(A1067,""PRICEOPEN"")"),"#N/A")</f>
        <v>#N/A</v>
      </c>
      <c r="D1067" s="14" t="str">
        <f>IFERROR(__xludf.DUMMYFUNCTION("GOOGLEFINANCE(A1067,""HIGH"")"),"#N/A")</f>
        <v>#N/A</v>
      </c>
      <c r="E1067" s="14" t="str">
        <f>IFERROR(__xludf.DUMMYFUNCTION("GOOGLEFINANCE(A1067,""LOW"")"),"#N/A")</f>
        <v>#N/A</v>
      </c>
      <c r="F1067" s="15" t="str">
        <f t="shared" si="8"/>
        <v>#N/A</v>
      </c>
      <c r="G1067" s="16" t="str">
        <f>IFERROR(__xludf.DUMMYFUNCTION("GOOGLEFINANCE(A1067,""CLOSEYEST"")"),"#N/A")</f>
        <v>#N/A</v>
      </c>
      <c r="H1067" s="17" t="str">
        <f t="shared" si="14"/>
        <v>#N/A</v>
      </c>
      <c r="I1067" s="18" t="str">
        <f t="shared" si="9"/>
        <v>#N/A</v>
      </c>
      <c r="J1067" s="19" t="str">
        <f t="shared" si="10"/>
        <v>#N/A</v>
      </c>
      <c r="K1067" s="19"/>
      <c r="L1067" s="19" t="str">
        <f t="shared" si="11"/>
        <v>#N/A</v>
      </c>
      <c r="M1067" s="19" t="str">
        <f t="shared" si="12"/>
        <v>#N/A</v>
      </c>
      <c r="N1067" s="19" t="str">
        <f t="shared" si="13"/>
        <v>#N/A</v>
      </c>
    </row>
    <row r="1068" ht="24.75" customHeight="1">
      <c r="A1068" s="21" t="s">
        <v>1031</v>
      </c>
      <c r="B1068" s="13">
        <f>IFERROR(__xludf.DUMMYFUNCTION("GOOGLEFINANCE(A1068,""PRICE"")"),652.0)</f>
        <v>652</v>
      </c>
      <c r="C1068" s="14">
        <f>IFERROR(__xludf.DUMMYFUNCTION("GOOGLEFINANCE(A1068,""PRICEOPEN"")"),664.5)</f>
        <v>664.5</v>
      </c>
      <c r="D1068" s="14">
        <f>IFERROR(__xludf.DUMMYFUNCTION("GOOGLEFINANCE(A1068,""HIGH"")"),665.15)</f>
        <v>665.15</v>
      </c>
      <c r="E1068" s="14">
        <f>IFERROR(__xludf.DUMMYFUNCTION("GOOGLEFINANCE(A1068,""LOW"")"),648.2)</f>
        <v>648.2</v>
      </c>
      <c r="F1068" s="15" t="str">
        <f t="shared" si="8"/>
        <v/>
      </c>
      <c r="G1068" s="16">
        <f>IFERROR(__xludf.DUMMYFUNCTION("GOOGLEFINANCE(A1068,""CLOSEYEST"")"),656.1)</f>
        <v>656.1</v>
      </c>
      <c r="H1068" s="17" t="str">
        <f t="shared" si="14"/>
        <v>GAP UP</v>
      </c>
      <c r="I1068" s="18">
        <f t="shared" si="9"/>
        <v>656.4833333</v>
      </c>
      <c r="J1068" s="19">
        <f t="shared" si="10"/>
        <v>664.7666667</v>
      </c>
      <c r="K1068" s="19"/>
      <c r="L1068" s="19">
        <f t="shared" si="11"/>
        <v>647.8166667</v>
      </c>
      <c r="M1068" s="19">
        <f t="shared" si="12"/>
        <v>673.4333333</v>
      </c>
      <c r="N1068" s="19">
        <f t="shared" si="13"/>
        <v>639.5333333</v>
      </c>
    </row>
    <row r="1069" ht="24.75" customHeight="1">
      <c r="A1069" s="21" t="s">
        <v>1032</v>
      </c>
      <c r="B1069" s="13">
        <f>IFERROR(__xludf.DUMMYFUNCTION("GOOGLEFINANCE(A1069,""PRICE"")"),79.56)</f>
        <v>79.56</v>
      </c>
      <c r="C1069" s="14">
        <f>IFERROR(__xludf.DUMMYFUNCTION("GOOGLEFINANCE(A1069,""PRICEOPEN"")"),79.61)</f>
        <v>79.61</v>
      </c>
      <c r="D1069" s="14">
        <f>IFERROR(__xludf.DUMMYFUNCTION("GOOGLEFINANCE(A1069,""HIGH"")"),81.39)</f>
        <v>81.39</v>
      </c>
      <c r="E1069" s="14">
        <f>IFERROR(__xludf.DUMMYFUNCTION("GOOGLEFINANCE(A1069,""LOW"")"),79.0)</f>
        <v>79</v>
      </c>
      <c r="F1069" s="15" t="str">
        <f t="shared" si="8"/>
        <v/>
      </c>
      <c r="G1069" s="16">
        <f>IFERROR(__xludf.DUMMYFUNCTION("GOOGLEFINANCE(A1069,""CLOSEYEST"")"),80.45)</f>
        <v>80.45</v>
      </c>
      <c r="H1069" s="17" t="str">
        <f t="shared" si="14"/>
        <v>GAP DOWN</v>
      </c>
      <c r="I1069" s="18">
        <f t="shared" si="9"/>
        <v>80.28</v>
      </c>
      <c r="J1069" s="19">
        <f t="shared" si="10"/>
        <v>81.56</v>
      </c>
      <c r="K1069" s="19"/>
      <c r="L1069" s="19">
        <f t="shared" si="11"/>
        <v>79.17</v>
      </c>
      <c r="M1069" s="19">
        <f t="shared" si="12"/>
        <v>82.67</v>
      </c>
      <c r="N1069" s="19">
        <f t="shared" si="13"/>
        <v>77.89</v>
      </c>
    </row>
    <row r="1070" ht="24.75" customHeight="1">
      <c r="A1070" s="21" t="s">
        <v>1033</v>
      </c>
      <c r="B1070" s="13">
        <f>IFERROR(__xludf.DUMMYFUNCTION("GOOGLEFINANCE(A1070,""PRICE"")"),14.39)</f>
        <v>14.39</v>
      </c>
      <c r="C1070" s="14">
        <f>IFERROR(__xludf.DUMMYFUNCTION("GOOGLEFINANCE(A1070,""PRICEOPEN"")"),14.11)</f>
        <v>14.11</v>
      </c>
      <c r="D1070" s="14">
        <f>IFERROR(__xludf.DUMMYFUNCTION("GOOGLEFINANCE(A1070,""HIGH"")"),14.39)</f>
        <v>14.39</v>
      </c>
      <c r="E1070" s="14">
        <f>IFERROR(__xludf.DUMMYFUNCTION("GOOGLEFINANCE(A1070,""LOW"")"),14.11)</f>
        <v>14.11</v>
      </c>
      <c r="F1070" s="15" t="str">
        <f t="shared" si="8"/>
        <v>BUY</v>
      </c>
      <c r="G1070" s="16">
        <f>IFERROR(__xludf.DUMMYFUNCTION("GOOGLEFINANCE(A1070,""CLOSEYEST"")"),14.11)</f>
        <v>14.11</v>
      </c>
      <c r="H1070" s="17" t="str">
        <f t="shared" si="14"/>
        <v/>
      </c>
      <c r="I1070" s="18">
        <f t="shared" si="9"/>
        <v>14.20333333</v>
      </c>
      <c r="J1070" s="19">
        <f t="shared" si="10"/>
        <v>14.29666667</v>
      </c>
      <c r="K1070" s="19"/>
      <c r="L1070" s="19">
        <f t="shared" si="11"/>
        <v>14.01666667</v>
      </c>
      <c r="M1070" s="19">
        <f t="shared" si="12"/>
        <v>14.48333333</v>
      </c>
      <c r="N1070" s="19">
        <f t="shared" si="13"/>
        <v>13.92333333</v>
      </c>
    </row>
    <row r="1071" ht="24.75" customHeight="1">
      <c r="A1071" s="21" t="s">
        <v>1034</v>
      </c>
      <c r="B1071" s="13">
        <f>IFERROR(__xludf.DUMMYFUNCTION("GOOGLEFINANCE(A1071,""PRICE"")"),70.91)</f>
        <v>70.91</v>
      </c>
      <c r="C1071" s="14">
        <f>IFERROR(__xludf.DUMMYFUNCTION("GOOGLEFINANCE(A1071,""PRICEOPEN"")"),67.39)</f>
        <v>67.39</v>
      </c>
      <c r="D1071" s="14">
        <f>IFERROR(__xludf.DUMMYFUNCTION("GOOGLEFINANCE(A1071,""HIGH"")"),72.17)</f>
        <v>72.17</v>
      </c>
      <c r="E1071" s="14">
        <f>IFERROR(__xludf.DUMMYFUNCTION("GOOGLEFINANCE(A1071,""LOW"")"),66.0)</f>
        <v>66</v>
      </c>
      <c r="F1071" s="15" t="str">
        <f t="shared" si="8"/>
        <v/>
      </c>
      <c r="G1071" s="16">
        <f>IFERROR(__xludf.DUMMYFUNCTION("GOOGLEFINANCE(A1071,""CLOSEYEST"")"),67.48)</f>
        <v>67.48</v>
      </c>
      <c r="H1071" s="17" t="str">
        <f t="shared" si="14"/>
        <v/>
      </c>
      <c r="I1071" s="18">
        <f t="shared" si="9"/>
        <v>68.55</v>
      </c>
      <c r="J1071" s="19">
        <f t="shared" si="10"/>
        <v>71.1</v>
      </c>
      <c r="K1071" s="19"/>
      <c r="L1071" s="19">
        <f t="shared" si="11"/>
        <v>64.93</v>
      </c>
      <c r="M1071" s="19">
        <f t="shared" si="12"/>
        <v>74.72</v>
      </c>
      <c r="N1071" s="19">
        <f t="shared" si="13"/>
        <v>62.38</v>
      </c>
    </row>
    <row r="1072" ht="24.75" customHeight="1">
      <c r="A1072" s="21" t="s">
        <v>1035</v>
      </c>
      <c r="B1072" s="13">
        <f>IFERROR(__xludf.DUMMYFUNCTION("GOOGLEFINANCE(A1072,""PRICE"")"),8.94)</f>
        <v>8.94</v>
      </c>
      <c r="C1072" s="14">
        <f>IFERROR(__xludf.DUMMYFUNCTION("GOOGLEFINANCE(A1072,""PRICEOPEN"")"),9.01)</f>
        <v>9.01</v>
      </c>
      <c r="D1072" s="14">
        <f>IFERROR(__xludf.DUMMYFUNCTION("GOOGLEFINANCE(A1072,""HIGH"")"),9.03)</f>
        <v>9.03</v>
      </c>
      <c r="E1072" s="14">
        <f>IFERROR(__xludf.DUMMYFUNCTION("GOOGLEFINANCE(A1072,""LOW"")"),8.81)</f>
        <v>8.81</v>
      </c>
      <c r="F1072" s="15" t="str">
        <f t="shared" si="8"/>
        <v/>
      </c>
      <c r="G1072" s="16">
        <f>IFERROR(__xludf.DUMMYFUNCTION("GOOGLEFINANCE(A1072,""CLOSEYEST"")"),8.98)</f>
        <v>8.98</v>
      </c>
      <c r="H1072" s="17" t="str">
        <f t="shared" si="14"/>
        <v/>
      </c>
      <c r="I1072" s="18">
        <f t="shared" si="9"/>
        <v>8.94</v>
      </c>
      <c r="J1072" s="19">
        <f t="shared" si="10"/>
        <v>9.07</v>
      </c>
      <c r="K1072" s="19"/>
      <c r="L1072" s="19">
        <f t="shared" si="11"/>
        <v>8.85</v>
      </c>
      <c r="M1072" s="19">
        <f t="shared" si="12"/>
        <v>9.16</v>
      </c>
      <c r="N1072" s="19">
        <f t="shared" si="13"/>
        <v>8.72</v>
      </c>
    </row>
    <row r="1073" ht="24.75" customHeight="1">
      <c r="A1073" s="21" t="s">
        <v>1036</v>
      </c>
      <c r="B1073" s="13">
        <f>IFERROR(__xludf.DUMMYFUNCTION("GOOGLEFINANCE(A1073,""PRICE"")"),58.31)</f>
        <v>58.31</v>
      </c>
      <c r="C1073" s="14">
        <f>IFERROR(__xludf.DUMMYFUNCTION("GOOGLEFINANCE(A1073,""PRICEOPEN"")"),57.86)</f>
        <v>57.86</v>
      </c>
      <c r="D1073" s="14">
        <f>IFERROR(__xludf.DUMMYFUNCTION("GOOGLEFINANCE(A1073,""HIGH"")"),59.2)</f>
        <v>59.2</v>
      </c>
      <c r="E1073" s="14">
        <f>IFERROR(__xludf.DUMMYFUNCTION("GOOGLEFINANCE(A1073,""LOW"")"),57.64)</f>
        <v>57.64</v>
      </c>
      <c r="F1073" s="15" t="str">
        <f t="shared" si="8"/>
        <v/>
      </c>
      <c r="G1073" s="16">
        <f>IFERROR(__xludf.DUMMYFUNCTION("GOOGLEFINANCE(A1073,""CLOSEYEST"")"),57.86)</f>
        <v>57.86</v>
      </c>
      <c r="H1073" s="17" t="str">
        <f t="shared" si="14"/>
        <v/>
      </c>
      <c r="I1073" s="18">
        <f t="shared" si="9"/>
        <v>58.23333333</v>
      </c>
      <c r="J1073" s="19">
        <f t="shared" si="10"/>
        <v>58.82666667</v>
      </c>
      <c r="K1073" s="19"/>
      <c r="L1073" s="19">
        <f t="shared" si="11"/>
        <v>57.26666667</v>
      </c>
      <c r="M1073" s="19">
        <f t="shared" si="12"/>
        <v>59.79333333</v>
      </c>
      <c r="N1073" s="19">
        <f t="shared" si="13"/>
        <v>56.67333333</v>
      </c>
    </row>
    <row r="1074" ht="24.75" customHeight="1">
      <c r="A1074" s="21" t="s">
        <v>1037</v>
      </c>
      <c r="B1074" s="13">
        <f>IFERROR(__xludf.DUMMYFUNCTION("GOOGLEFINANCE(A1074,""PRICE"")"),29.62)</f>
        <v>29.62</v>
      </c>
      <c r="C1074" s="14">
        <f>IFERROR(__xludf.DUMMYFUNCTION("GOOGLEFINANCE(A1074,""PRICEOPEN"")"),28.84)</f>
        <v>28.84</v>
      </c>
      <c r="D1074" s="14">
        <f>IFERROR(__xludf.DUMMYFUNCTION("GOOGLEFINANCE(A1074,""HIGH"")"),30.0)</f>
        <v>30</v>
      </c>
      <c r="E1074" s="14">
        <f>IFERROR(__xludf.DUMMYFUNCTION("GOOGLEFINANCE(A1074,""LOW"")"),28.65)</f>
        <v>28.65</v>
      </c>
      <c r="F1074" s="15" t="str">
        <f t="shared" si="8"/>
        <v/>
      </c>
      <c r="G1074" s="16">
        <f>IFERROR(__xludf.DUMMYFUNCTION("GOOGLEFINANCE(A1074,""CLOSEYEST"")"),28.8)</f>
        <v>28.8</v>
      </c>
      <c r="H1074" s="17" t="str">
        <f t="shared" si="14"/>
        <v/>
      </c>
      <c r="I1074" s="18">
        <f t="shared" si="9"/>
        <v>29.15</v>
      </c>
      <c r="J1074" s="19">
        <f t="shared" si="10"/>
        <v>29.65</v>
      </c>
      <c r="K1074" s="19"/>
      <c r="L1074" s="19">
        <f t="shared" si="11"/>
        <v>28.3</v>
      </c>
      <c r="M1074" s="19">
        <f t="shared" si="12"/>
        <v>30.5</v>
      </c>
      <c r="N1074" s="19">
        <f t="shared" si="13"/>
        <v>27.8</v>
      </c>
    </row>
    <row r="1075" ht="24.75" customHeight="1">
      <c r="A1075" s="21" t="s">
        <v>1038</v>
      </c>
      <c r="B1075" s="13">
        <f>IFERROR(__xludf.DUMMYFUNCTION("GOOGLEFINANCE(A1075,""PRICE"")"),2267.0)</f>
        <v>2267</v>
      </c>
      <c r="C1075" s="14">
        <f>IFERROR(__xludf.DUMMYFUNCTION("GOOGLEFINANCE(A1075,""PRICEOPEN"")"),2242.9)</f>
        <v>2242.9</v>
      </c>
      <c r="D1075" s="14">
        <f>IFERROR(__xludf.DUMMYFUNCTION("GOOGLEFINANCE(A1075,""HIGH"")"),2355.3)</f>
        <v>2355.3</v>
      </c>
      <c r="E1075" s="14">
        <f>IFERROR(__xludf.DUMMYFUNCTION("GOOGLEFINANCE(A1075,""LOW"")"),2220.5)</f>
        <v>2220.5</v>
      </c>
      <c r="F1075" s="15" t="str">
        <f t="shared" si="8"/>
        <v/>
      </c>
      <c r="G1075" s="16">
        <f>IFERROR(__xludf.DUMMYFUNCTION("GOOGLEFINANCE(A1075,""CLOSEYEST"")"),2225.1)</f>
        <v>2225.1</v>
      </c>
      <c r="H1075" s="17" t="str">
        <f t="shared" si="14"/>
        <v/>
      </c>
      <c r="I1075" s="18">
        <f t="shared" si="9"/>
        <v>2266.966667</v>
      </c>
      <c r="J1075" s="19">
        <f t="shared" si="10"/>
        <v>2313.433333</v>
      </c>
      <c r="K1075" s="19"/>
      <c r="L1075" s="19">
        <f t="shared" si="11"/>
        <v>2178.633333</v>
      </c>
      <c r="M1075" s="19">
        <f t="shared" si="12"/>
        <v>2401.766667</v>
      </c>
      <c r="N1075" s="19">
        <f t="shared" si="13"/>
        <v>2132.166667</v>
      </c>
    </row>
    <row r="1076" ht="24.75" customHeight="1">
      <c r="A1076" s="21" t="s">
        <v>1039</v>
      </c>
      <c r="B1076" s="13">
        <f>IFERROR(__xludf.DUMMYFUNCTION("GOOGLEFINANCE(A1076,""PRICE"")"),262.96)</f>
        <v>262.96</v>
      </c>
      <c r="C1076" s="14">
        <f>IFERROR(__xludf.DUMMYFUNCTION("GOOGLEFINANCE(A1076,""PRICEOPEN"")"),262.96)</f>
        <v>262.96</v>
      </c>
      <c r="D1076" s="14">
        <f>IFERROR(__xludf.DUMMYFUNCTION("GOOGLEFINANCE(A1076,""HIGH"")"),262.96)</f>
        <v>262.96</v>
      </c>
      <c r="E1076" s="14">
        <f>IFERROR(__xludf.DUMMYFUNCTION("GOOGLEFINANCE(A1076,""LOW"")"),262.96)</f>
        <v>262.96</v>
      </c>
      <c r="F1076" s="15" t="str">
        <f t="shared" si="8"/>
        <v>SELL</v>
      </c>
      <c r="G1076" s="16">
        <f>IFERROR(__xludf.DUMMYFUNCTION("GOOGLEFINANCE(A1076,""CLOSEYEST"")"),250.44)</f>
        <v>250.44</v>
      </c>
      <c r="H1076" s="17" t="str">
        <f t="shared" si="14"/>
        <v>GAP UP</v>
      </c>
      <c r="I1076" s="18">
        <f t="shared" si="9"/>
        <v>258.7866667</v>
      </c>
      <c r="J1076" s="19">
        <f t="shared" si="10"/>
        <v>254.6133333</v>
      </c>
      <c r="K1076" s="19"/>
      <c r="L1076" s="19">
        <f t="shared" si="11"/>
        <v>254.6133333</v>
      </c>
      <c r="M1076" s="19">
        <f t="shared" si="12"/>
        <v>258.7866667</v>
      </c>
      <c r="N1076" s="19">
        <f t="shared" si="13"/>
        <v>258.7866667</v>
      </c>
    </row>
    <row r="1077" ht="24.75" customHeight="1">
      <c r="A1077" s="21" t="s">
        <v>1040</v>
      </c>
      <c r="B1077" s="13">
        <f>IFERROR(__xludf.DUMMYFUNCTION("GOOGLEFINANCE(A1077,""PRICE"")"),26.92)</f>
        <v>26.92</v>
      </c>
      <c r="C1077" s="14">
        <f>IFERROR(__xludf.DUMMYFUNCTION("GOOGLEFINANCE(A1077,""PRICEOPEN"")"),27.02)</f>
        <v>27.02</v>
      </c>
      <c r="D1077" s="14">
        <f>IFERROR(__xludf.DUMMYFUNCTION("GOOGLEFINANCE(A1077,""HIGH"")"),27.05)</f>
        <v>27.05</v>
      </c>
      <c r="E1077" s="14">
        <f>IFERROR(__xludf.DUMMYFUNCTION("GOOGLEFINANCE(A1077,""LOW"")"),26.92)</f>
        <v>26.92</v>
      </c>
      <c r="F1077" s="15" t="str">
        <f t="shared" si="8"/>
        <v/>
      </c>
      <c r="G1077" s="16">
        <f>IFERROR(__xludf.DUMMYFUNCTION("GOOGLEFINANCE(A1077,""CLOSEYEST"")"),27.0)</f>
        <v>27</v>
      </c>
      <c r="H1077" s="17" t="str">
        <f t="shared" si="14"/>
        <v/>
      </c>
      <c r="I1077" s="18">
        <f t="shared" si="9"/>
        <v>26.99</v>
      </c>
      <c r="J1077" s="19">
        <f t="shared" si="10"/>
        <v>27.06</v>
      </c>
      <c r="K1077" s="19"/>
      <c r="L1077" s="19">
        <f t="shared" si="11"/>
        <v>26.93</v>
      </c>
      <c r="M1077" s="19">
        <f t="shared" si="12"/>
        <v>27.12</v>
      </c>
      <c r="N1077" s="19">
        <f t="shared" si="13"/>
        <v>26.86</v>
      </c>
    </row>
    <row r="1078" ht="24.75" customHeight="1">
      <c r="A1078" s="21" t="s">
        <v>1041</v>
      </c>
      <c r="B1078" s="13">
        <f>IFERROR(__xludf.DUMMYFUNCTION("GOOGLEFINANCE(A1078,""PRICE"")"),11.71)</f>
        <v>11.71</v>
      </c>
      <c r="C1078" s="14">
        <f>IFERROR(__xludf.DUMMYFUNCTION("GOOGLEFINANCE(A1078,""PRICEOPEN"")"),11.32)</f>
        <v>11.32</v>
      </c>
      <c r="D1078" s="14">
        <f>IFERROR(__xludf.DUMMYFUNCTION("GOOGLEFINANCE(A1078,""HIGH"")"),11.84)</f>
        <v>11.84</v>
      </c>
      <c r="E1078" s="14">
        <f>IFERROR(__xludf.DUMMYFUNCTION("GOOGLEFINANCE(A1078,""LOW"")"),11.32)</f>
        <v>11.32</v>
      </c>
      <c r="F1078" s="15" t="str">
        <f t="shared" si="8"/>
        <v>BUY</v>
      </c>
      <c r="G1078" s="16">
        <f>IFERROR(__xludf.DUMMYFUNCTION("GOOGLEFINANCE(A1078,""CLOSEYEST"")"),11.48)</f>
        <v>11.48</v>
      </c>
      <c r="H1078" s="17" t="str">
        <f t="shared" si="14"/>
        <v>GAP DOWN</v>
      </c>
      <c r="I1078" s="18">
        <f t="shared" si="9"/>
        <v>11.54666667</v>
      </c>
      <c r="J1078" s="19">
        <f t="shared" si="10"/>
        <v>11.77333333</v>
      </c>
      <c r="K1078" s="19"/>
      <c r="L1078" s="19">
        <f t="shared" si="11"/>
        <v>11.25333333</v>
      </c>
      <c r="M1078" s="19">
        <f t="shared" si="12"/>
        <v>12.06666667</v>
      </c>
      <c r="N1078" s="19">
        <f t="shared" si="13"/>
        <v>11.02666667</v>
      </c>
    </row>
    <row r="1079" ht="24.75" customHeight="1">
      <c r="A1079" s="21" t="s">
        <v>1042</v>
      </c>
      <c r="B1079" s="13" t="str">
        <f>IFERROR(__xludf.DUMMYFUNCTION("GOOGLEFINANCE(A1079,""PRICE"")"),"#N/A")</f>
        <v>#N/A</v>
      </c>
      <c r="C1079" s="14" t="str">
        <f>IFERROR(__xludf.DUMMYFUNCTION("GOOGLEFINANCE(A1079,""PRICEOPEN"")"),"#N/A")</f>
        <v>#N/A</v>
      </c>
      <c r="D1079" s="14" t="str">
        <f>IFERROR(__xludf.DUMMYFUNCTION("GOOGLEFINANCE(A1079,""HIGH"")"),"#N/A")</f>
        <v>#N/A</v>
      </c>
      <c r="E1079" s="14" t="str">
        <f>IFERROR(__xludf.DUMMYFUNCTION("GOOGLEFINANCE(A1079,""LOW"")"),"#N/A")</f>
        <v>#N/A</v>
      </c>
      <c r="F1079" s="15" t="str">
        <f t="shared" si="8"/>
        <v>#N/A</v>
      </c>
      <c r="G1079" s="16" t="str">
        <f>IFERROR(__xludf.DUMMYFUNCTION("GOOGLEFINANCE(A1079,""CLOSEYEST"")"),"#N/A")</f>
        <v>#N/A</v>
      </c>
      <c r="H1079" s="17" t="str">
        <f t="shared" si="14"/>
        <v>#N/A</v>
      </c>
      <c r="I1079" s="18" t="str">
        <f t="shared" si="9"/>
        <v>#N/A</v>
      </c>
      <c r="J1079" s="19" t="str">
        <f t="shared" si="10"/>
        <v>#N/A</v>
      </c>
      <c r="K1079" s="19"/>
      <c r="L1079" s="19" t="str">
        <f t="shared" si="11"/>
        <v>#N/A</v>
      </c>
      <c r="M1079" s="19" t="str">
        <f t="shared" si="12"/>
        <v>#N/A</v>
      </c>
      <c r="N1079" s="19" t="str">
        <f t="shared" si="13"/>
        <v>#N/A</v>
      </c>
    </row>
    <row r="1080" ht="24.75" customHeight="1">
      <c r="A1080" s="21" t="s">
        <v>1043</v>
      </c>
      <c r="B1080" s="13">
        <f>IFERROR(__xludf.DUMMYFUNCTION("GOOGLEFINANCE(A1080,""PRICE"")"),291.0)</f>
        <v>291</v>
      </c>
      <c r="C1080" s="14">
        <f>IFERROR(__xludf.DUMMYFUNCTION("GOOGLEFINANCE(A1080,""PRICEOPEN"")"),294.45)</f>
        <v>294.45</v>
      </c>
      <c r="D1080" s="14">
        <f>IFERROR(__xludf.DUMMYFUNCTION("GOOGLEFINANCE(A1080,""HIGH"")"),294.45)</f>
        <v>294.45</v>
      </c>
      <c r="E1080" s="14">
        <f>IFERROR(__xludf.DUMMYFUNCTION("GOOGLEFINANCE(A1080,""LOW"")"),286.0)</f>
        <v>286</v>
      </c>
      <c r="F1080" s="15" t="str">
        <f t="shared" si="8"/>
        <v>SELL</v>
      </c>
      <c r="G1080" s="16">
        <f>IFERROR(__xludf.DUMMYFUNCTION("GOOGLEFINANCE(A1080,""CLOSEYEST"")"),287.5)</f>
        <v>287.5</v>
      </c>
      <c r="H1080" s="17" t="str">
        <f t="shared" si="14"/>
        <v>GAP UP</v>
      </c>
      <c r="I1080" s="18">
        <f t="shared" si="9"/>
        <v>289.3166667</v>
      </c>
      <c r="J1080" s="19">
        <f t="shared" si="10"/>
        <v>292.6333333</v>
      </c>
      <c r="K1080" s="19"/>
      <c r="L1080" s="19">
        <f t="shared" si="11"/>
        <v>284.1833333</v>
      </c>
      <c r="M1080" s="19">
        <f t="shared" si="12"/>
        <v>297.7666667</v>
      </c>
      <c r="N1080" s="19">
        <f t="shared" si="13"/>
        <v>280.8666667</v>
      </c>
    </row>
    <row r="1081" ht="24.75" customHeight="1">
      <c r="A1081" s="21" t="s">
        <v>1044</v>
      </c>
      <c r="B1081" s="13">
        <f>IFERROR(__xludf.DUMMYFUNCTION("GOOGLEFINANCE(A1081,""PRICE"")"),254.05)</f>
        <v>254.05</v>
      </c>
      <c r="C1081" s="14">
        <f>IFERROR(__xludf.DUMMYFUNCTION("GOOGLEFINANCE(A1081,""PRICEOPEN"")"),257.4)</f>
        <v>257.4</v>
      </c>
      <c r="D1081" s="14">
        <f>IFERROR(__xludf.DUMMYFUNCTION("GOOGLEFINANCE(A1081,""HIGH"")"),257.4)</f>
        <v>257.4</v>
      </c>
      <c r="E1081" s="14">
        <f>IFERROR(__xludf.DUMMYFUNCTION("GOOGLEFINANCE(A1081,""LOW"")"),248.75)</f>
        <v>248.75</v>
      </c>
      <c r="F1081" s="15" t="str">
        <f t="shared" si="8"/>
        <v>SELL</v>
      </c>
      <c r="G1081" s="16">
        <f>IFERROR(__xludf.DUMMYFUNCTION("GOOGLEFINANCE(A1081,""CLOSEYEST"")"),257.4)</f>
        <v>257.4</v>
      </c>
      <c r="H1081" s="17" t="str">
        <f t="shared" si="14"/>
        <v/>
      </c>
      <c r="I1081" s="18">
        <f t="shared" si="9"/>
        <v>254.5166667</v>
      </c>
      <c r="J1081" s="19">
        <f t="shared" si="10"/>
        <v>260.2833333</v>
      </c>
      <c r="K1081" s="19"/>
      <c r="L1081" s="19">
        <f t="shared" si="11"/>
        <v>251.6333333</v>
      </c>
      <c r="M1081" s="19">
        <f t="shared" si="12"/>
        <v>263.1666667</v>
      </c>
      <c r="N1081" s="19">
        <f t="shared" si="13"/>
        <v>245.8666667</v>
      </c>
    </row>
    <row r="1082" ht="24.75" customHeight="1">
      <c r="A1082" s="21" t="s">
        <v>1045</v>
      </c>
      <c r="B1082" s="13" t="str">
        <f>IFERROR(__xludf.DUMMYFUNCTION("GOOGLEFINANCE(A1082,""PRICE"")"),"#N/A")</f>
        <v>#N/A</v>
      </c>
      <c r="C1082" s="14" t="str">
        <f>IFERROR(__xludf.DUMMYFUNCTION("GOOGLEFINANCE(A1082,""PRICEOPEN"")"),"#N/A")</f>
        <v>#N/A</v>
      </c>
      <c r="D1082" s="14" t="str">
        <f>IFERROR(__xludf.DUMMYFUNCTION("GOOGLEFINANCE(A1082,""HIGH"")"),"#N/A")</f>
        <v>#N/A</v>
      </c>
      <c r="E1082" s="14" t="str">
        <f>IFERROR(__xludf.DUMMYFUNCTION("GOOGLEFINANCE(A1082,""LOW"")"),"#N/A")</f>
        <v>#N/A</v>
      </c>
      <c r="F1082" s="15" t="str">
        <f t="shared" si="8"/>
        <v>#N/A</v>
      </c>
      <c r="G1082" s="16" t="str">
        <f>IFERROR(__xludf.DUMMYFUNCTION("GOOGLEFINANCE(A1082,""CLOSEYEST"")"),"#N/A")</f>
        <v>#N/A</v>
      </c>
      <c r="H1082" s="17" t="str">
        <f t="shared" si="14"/>
        <v>#N/A</v>
      </c>
      <c r="I1082" s="18" t="str">
        <f t="shared" si="9"/>
        <v>#N/A</v>
      </c>
      <c r="J1082" s="19" t="str">
        <f t="shared" si="10"/>
        <v>#N/A</v>
      </c>
      <c r="K1082" s="19"/>
      <c r="L1082" s="19" t="str">
        <f t="shared" si="11"/>
        <v>#N/A</v>
      </c>
      <c r="M1082" s="19" t="str">
        <f t="shared" si="12"/>
        <v>#N/A</v>
      </c>
      <c r="N1082" s="19" t="str">
        <f t="shared" si="13"/>
        <v>#N/A</v>
      </c>
    </row>
    <row r="1083" ht="24.75" customHeight="1">
      <c r="A1083" s="21" t="s">
        <v>1046</v>
      </c>
      <c r="B1083" s="13">
        <f>IFERROR(__xludf.DUMMYFUNCTION("GOOGLEFINANCE(A1083,""PRICE"")"),54.7)</f>
        <v>54.7</v>
      </c>
      <c r="C1083" s="14">
        <f>IFERROR(__xludf.DUMMYFUNCTION("GOOGLEFINANCE(A1083,""PRICEOPEN"")"),53.99)</f>
        <v>53.99</v>
      </c>
      <c r="D1083" s="14">
        <f>IFERROR(__xludf.DUMMYFUNCTION("GOOGLEFINANCE(A1083,""HIGH"")"),55.19)</f>
        <v>55.19</v>
      </c>
      <c r="E1083" s="14">
        <f>IFERROR(__xludf.DUMMYFUNCTION("GOOGLEFINANCE(A1083,""LOW"")"),53.56)</f>
        <v>53.56</v>
      </c>
      <c r="F1083" s="15" t="str">
        <f t="shared" si="8"/>
        <v/>
      </c>
      <c r="G1083" s="16">
        <f>IFERROR(__xludf.DUMMYFUNCTION("GOOGLEFINANCE(A1083,""CLOSEYEST"")"),53.75)</f>
        <v>53.75</v>
      </c>
      <c r="H1083" s="17" t="str">
        <f t="shared" si="14"/>
        <v/>
      </c>
      <c r="I1083" s="18">
        <f t="shared" si="9"/>
        <v>54.16666667</v>
      </c>
      <c r="J1083" s="19">
        <f t="shared" si="10"/>
        <v>54.77333333</v>
      </c>
      <c r="K1083" s="19"/>
      <c r="L1083" s="19">
        <f t="shared" si="11"/>
        <v>53.14333333</v>
      </c>
      <c r="M1083" s="19">
        <f t="shared" si="12"/>
        <v>55.79666667</v>
      </c>
      <c r="N1083" s="19">
        <f t="shared" si="13"/>
        <v>52.53666667</v>
      </c>
    </row>
    <row r="1084" ht="24.75" customHeight="1">
      <c r="A1084" s="21" t="s">
        <v>1047</v>
      </c>
      <c r="B1084" s="13">
        <f>IFERROR(__xludf.DUMMYFUNCTION("GOOGLEFINANCE(A1084,""PRICE"")"),533.0)</f>
        <v>533</v>
      </c>
      <c r="C1084" s="14">
        <f>IFERROR(__xludf.DUMMYFUNCTION("GOOGLEFINANCE(A1084,""PRICEOPEN"")"),531.0)</f>
        <v>531</v>
      </c>
      <c r="D1084" s="14">
        <f>IFERROR(__xludf.DUMMYFUNCTION("GOOGLEFINANCE(A1084,""HIGH"")"),536.0)</f>
        <v>536</v>
      </c>
      <c r="E1084" s="14">
        <f>IFERROR(__xludf.DUMMYFUNCTION("GOOGLEFINANCE(A1084,""LOW"")"),531.0)</f>
        <v>531</v>
      </c>
      <c r="F1084" s="15" t="str">
        <f t="shared" si="8"/>
        <v>BUY</v>
      </c>
      <c r="G1084" s="16">
        <f>IFERROR(__xludf.DUMMYFUNCTION("GOOGLEFINANCE(A1084,""CLOSEYEST"")"),531.95)</f>
        <v>531.95</v>
      </c>
      <c r="H1084" s="17" t="str">
        <f t="shared" si="14"/>
        <v/>
      </c>
      <c r="I1084" s="18">
        <f t="shared" si="9"/>
        <v>532.9833333</v>
      </c>
      <c r="J1084" s="19">
        <f t="shared" si="10"/>
        <v>534.9666667</v>
      </c>
      <c r="K1084" s="19"/>
      <c r="L1084" s="19">
        <f t="shared" si="11"/>
        <v>529.9666667</v>
      </c>
      <c r="M1084" s="19">
        <f t="shared" si="12"/>
        <v>537.9833333</v>
      </c>
      <c r="N1084" s="19">
        <f t="shared" si="13"/>
        <v>527.9833333</v>
      </c>
    </row>
    <row r="1085" ht="24.75" customHeight="1">
      <c r="A1085" s="21" t="s">
        <v>1048</v>
      </c>
      <c r="B1085" s="13">
        <f>IFERROR(__xludf.DUMMYFUNCTION("GOOGLEFINANCE(A1085,""PRICE"")"),460.75)</f>
        <v>460.75</v>
      </c>
      <c r="C1085" s="14">
        <f>IFERROR(__xludf.DUMMYFUNCTION("GOOGLEFINANCE(A1085,""PRICEOPEN"")"),455.9)</f>
        <v>455.9</v>
      </c>
      <c r="D1085" s="14">
        <f>IFERROR(__xludf.DUMMYFUNCTION("GOOGLEFINANCE(A1085,""HIGH"")"),477.0)</f>
        <v>477</v>
      </c>
      <c r="E1085" s="14">
        <f>IFERROR(__xludf.DUMMYFUNCTION("GOOGLEFINANCE(A1085,""LOW"")"),447.1)</f>
        <v>447.1</v>
      </c>
      <c r="F1085" s="15" t="str">
        <f t="shared" si="8"/>
        <v/>
      </c>
      <c r="G1085" s="16">
        <f>IFERROR(__xludf.DUMMYFUNCTION("GOOGLEFINANCE(A1085,""CLOSEYEST"")"),455.5)</f>
        <v>455.5</v>
      </c>
      <c r="H1085" s="17" t="str">
        <f t="shared" si="14"/>
        <v/>
      </c>
      <c r="I1085" s="18">
        <f t="shared" si="9"/>
        <v>459.8666667</v>
      </c>
      <c r="J1085" s="19">
        <f t="shared" si="10"/>
        <v>472.6333333</v>
      </c>
      <c r="K1085" s="19"/>
      <c r="L1085" s="19">
        <f t="shared" si="11"/>
        <v>442.7333333</v>
      </c>
      <c r="M1085" s="19">
        <f t="shared" si="12"/>
        <v>489.7666667</v>
      </c>
      <c r="N1085" s="19">
        <f t="shared" si="13"/>
        <v>429.9666667</v>
      </c>
    </row>
    <row r="1086" ht="24.75" customHeight="1">
      <c r="A1086" s="21" t="s">
        <v>1049</v>
      </c>
      <c r="B1086" s="13">
        <f>IFERROR(__xludf.DUMMYFUNCTION("GOOGLEFINANCE(A1086,""PRICE"")"),3.34)</f>
        <v>3.34</v>
      </c>
      <c r="C1086" s="14">
        <f>IFERROR(__xludf.DUMMYFUNCTION("GOOGLEFINANCE(A1086,""PRICEOPEN"")"),3.49)</f>
        <v>3.49</v>
      </c>
      <c r="D1086" s="14">
        <f>IFERROR(__xludf.DUMMYFUNCTION("GOOGLEFINANCE(A1086,""HIGH"")"),3.49)</f>
        <v>3.49</v>
      </c>
      <c r="E1086" s="14">
        <f>IFERROR(__xludf.DUMMYFUNCTION("GOOGLEFINANCE(A1086,""LOW"")"),3.33)</f>
        <v>3.33</v>
      </c>
      <c r="F1086" s="15" t="str">
        <f t="shared" si="8"/>
        <v>SELL</v>
      </c>
      <c r="G1086" s="16">
        <f>IFERROR(__xludf.DUMMYFUNCTION("GOOGLEFINANCE(A1086,""CLOSEYEST"")"),3.49)</f>
        <v>3.49</v>
      </c>
      <c r="H1086" s="17" t="str">
        <f t="shared" si="14"/>
        <v/>
      </c>
      <c r="I1086" s="18">
        <f t="shared" si="9"/>
        <v>3.436666667</v>
      </c>
      <c r="J1086" s="19">
        <f t="shared" si="10"/>
        <v>3.543333333</v>
      </c>
      <c r="K1086" s="19"/>
      <c r="L1086" s="19">
        <f t="shared" si="11"/>
        <v>3.383333333</v>
      </c>
      <c r="M1086" s="19">
        <f t="shared" si="12"/>
        <v>3.596666667</v>
      </c>
      <c r="N1086" s="19">
        <f t="shared" si="13"/>
        <v>3.276666667</v>
      </c>
    </row>
    <row r="1087" ht="24.75" customHeight="1">
      <c r="A1087" s="21" t="s">
        <v>1050</v>
      </c>
      <c r="B1087" s="13">
        <f>IFERROR(__xludf.DUMMYFUNCTION("GOOGLEFINANCE(A1087,""PRICE"")"),1511.0)</f>
        <v>1511</v>
      </c>
      <c r="C1087" s="14">
        <f>IFERROR(__xludf.DUMMYFUNCTION("GOOGLEFINANCE(A1087,""PRICEOPEN"")"),1503.9)</f>
        <v>1503.9</v>
      </c>
      <c r="D1087" s="14">
        <f>IFERROR(__xludf.DUMMYFUNCTION("GOOGLEFINANCE(A1087,""HIGH"")"),1532.6)</f>
        <v>1532.6</v>
      </c>
      <c r="E1087" s="14">
        <f>IFERROR(__xludf.DUMMYFUNCTION("GOOGLEFINANCE(A1087,""LOW"")"),1483.0)</f>
        <v>1483</v>
      </c>
      <c r="F1087" s="15" t="str">
        <f t="shared" si="8"/>
        <v/>
      </c>
      <c r="G1087" s="16">
        <f>IFERROR(__xludf.DUMMYFUNCTION("GOOGLEFINANCE(A1087,""CLOSEYEST"")"),1511.5)</f>
        <v>1511.5</v>
      </c>
      <c r="H1087" s="17" t="str">
        <f t="shared" si="14"/>
        <v/>
      </c>
      <c r="I1087" s="18">
        <f t="shared" si="9"/>
        <v>1509.033333</v>
      </c>
      <c r="J1087" s="19">
        <f t="shared" si="10"/>
        <v>1535.066667</v>
      </c>
      <c r="K1087" s="19"/>
      <c r="L1087" s="19">
        <f t="shared" si="11"/>
        <v>1485.466667</v>
      </c>
      <c r="M1087" s="19">
        <f t="shared" si="12"/>
        <v>1558.633333</v>
      </c>
      <c r="N1087" s="19">
        <f t="shared" si="13"/>
        <v>1459.433333</v>
      </c>
    </row>
    <row r="1088" ht="24.75" customHeight="1">
      <c r="A1088" s="21" t="s">
        <v>1051</v>
      </c>
      <c r="B1088" s="13">
        <f>IFERROR(__xludf.DUMMYFUNCTION("GOOGLEFINANCE(A1088,""PRICE"")"),27.27)</f>
        <v>27.27</v>
      </c>
      <c r="C1088" s="14">
        <f>IFERROR(__xludf.DUMMYFUNCTION("GOOGLEFINANCE(A1088,""PRICEOPEN"")"),26.21)</f>
        <v>26.21</v>
      </c>
      <c r="D1088" s="14">
        <f>IFERROR(__xludf.DUMMYFUNCTION("GOOGLEFINANCE(A1088,""HIGH"")"),27.39)</f>
        <v>27.39</v>
      </c>
      <c r="E1088" s="14">
        <f>IFERROR(__xludf.DUMMYFUNCTION("GOOGLEFINANCE(A1088,""LOW"")"),26.18)</f>
        <v>26.18</v>
      </c>
      <c r="F1088" s="15" t="str">
        <f t="shared" si="8"/>
        <v/>
      </c>
      <c r="G1088" s="16">
        <f>IFERROR(__xludf.DUMMYFUNCTION("GOOGLEFINANCE(A1088,""CLOSEYEST"")"),26.28)</f>
        <v>26.28</v>
      </c>
      <c r="H1088" s="17" t="str">
        <f t="shared" si="14"/>
        <v/>
      </c>
      <c r="I1088" s="18">
        <f t="shared" si="9"/>
        <v>26.61666667</v>
      </c>
      <c r="J1088" s="19">
        <f t="shared" si="10"/>
        <v>27.05333333</v>
      </c>
      <c r="K1088" s="19"/>
      <c r="L1088" s="19">
        <f t="shared" si="11"/>
        <v>25.84333333</v>
      </c>
      <c r="M1088" s="19">
        <f t="shared" si="12"/>
        <v>27.82666667</v>
      </c>
      <c r="N1088" s="19">
        <f t="shared" si="13"/>
        <v>25.40666667</v>
      </c>
    </row>
    <row r="1089" ht="24.75" customHeight="1">
      <c r="A1089" s="21" t="s">
        <v>1052</v>
      </c>
      <c r="B1089" s="13">
        <f>IFERROR(__xludf.DUMMYFUNCTION("GOOGLEFINANCE(A1089,""PRICE"")"),318.0)</f>
        <v>318</v>
      </c>
      <c r="C1089" s="14">
        <f>IFERROR(__xludf.DUMMYFUNCTION("GOOGLEFINANCE(A1089,""PRICEOPEN"")"),318.3)</f>
        <v>318.3</v>
      </c>
      <c r="D1089" s="14">
        <f>IFERROR(__xludf.DUMMYFUNCTION("GOOGLEFINANCE(A1089,""HIGH"")"),320.85)</f>
        <v>320.85</v>
      </c>
      <c r="E1089" s="14">
        <f>IFERROR(__xludf.DUMMYFUNCTION("GOOGLEFINANCE(A1089,""LOW"")"),316.1)</f>
        <v>316.1</v>
      </c>
      <c r="F1089" s="15" t="str">
        <f t="shared" si="8"/>
        <v/>
      </c>
      <c r="G1089" s="16">
        <f>IFERROR(__xludf.DUMMYFUNCTION("GOOGLEFINANCE(A1089,""CLOSEYEST"")"),315.95)</f>
        <v>315.95</v>
      </c>
      <c r="H1089" s="17" t="str">
        <f t="shared" si="14"/>
        <v/>
      </c>
      <c r="I1089" s="18">
        <f t="shared" si="9"/>
        <v>317.6333333</v>
      </c>
      <c r="J1089" s="19">
        <f t="shared" si="10"/>
        <v>319.1666667</v>
      </c>
      <c r="K1089" s="19"/>
      <c r="L1089" s="19">
        <f t="shared" si="11"/>
        <v>314.4166667</v>
      </c>
      <c r="M1089" s="19">
        <f t="shared" si="12"/>
        <v>322.3833333</v>
      </c>
      <c r="N1089" s="19">
        <f t="shared" si="13"/>
        <v>312.8833333</v>
      </c>
    </row>
    <row r="1090" ht="24.75" customHeight="1">
      <c r="A1090" s="21" t="s">
        <v>1053</v>
      </c>
      <c r="B1090" s="13">
        <f>IFERROR(__xludf.DUMMYFUNCTION("GOOGLEFINANCE(A1090,""PRICE"")"),980.45)</f>
        <v>980.45</v>
      </c>
      <c r="C1090" s="14">
        <f>IFERROR(__xludf.DUMMYFUNCTION("GOOGLEFINANCE(A1090,""PRICEOPEN"")"),983.6)</f>
        <v>983.6</v>
      </c>
      <c r="D1090" s="14">
        <f>IFERROR(__xludf.DUMMYFUNCTION("GOOGLEFINANCE(A1090,""HIGH"")"),997.5)</f>
        <v>997.5</v>
      </c>
      <c r="E1090" s="14">
        <f>IFERROR(__xludf.DUMMYFUNCTION("GOOGLEFINANCE(A1090,""LOW"")"),973.0)</f>
        <v>973</v>
      </c>
      <c r="F1090" s="15" t="str">
        <f t="shared" si="8"/>
        <v/>
      </c>
      <c r="G1090" s="16">
        <f>IFERROR(__xludf.DUMMYFUNCTION("GOOGLEFINANCE(A1090,""CLOSEYEST"")"),978.9)</f>
        <v>978.9</v>
      </c>
      <c r="H1090" s="17" t="str">
        <f t="shared" si="14"/>
        <v/>
      </c>
      <c r="I1090" s="18">
        <f t="shared" si="9"/>
        <v>983.1333333</v>
      </c>
      <c r="J1090" s="19">
        <f t="shared" si="10"/>
        <v>993.2666667</v>
      </c>
      <c r="K1090" s="19"/>
      <c r="L1090" s="19">
        <f t="shared" si="11"/>
        <v>968.7666667</v>
      </c>
      <c r="M1090" s="19">
        <f t="shared" si="12"/>
        <v>1007.633333</v>
      </c>
      <c r="N1090" s="19">
        <f t="shared" si="13"/>
        <v>958.6333333</v>
      </c>
    </row>
    <row r="1091" ht="24.75" customHeight="1">
      <c r="A1091" s="21" t="s">
        <v>1054</v>
      </c>
      <c r="B1091" s="13">
        <f>IFERROR(__xludf.DUMMYFUNCTION("GOOGLEFINANCE(A1091,""PRICE"")"),343.1)</f>
        <v>343.1</v>
      </c>
      <c r="C1091" s="14">
        <f>IFERROR(__xludf.DUMMYFUNCTION("GOOGLEFINANCE(A1091,""PRICEOPEN"")"),345.75)</f>
        <v>345.75</v>
      </c>
      <c r="D1091" s="14">
        <f>IFERROR(__xludf.DUMMYFUNCTION("GOOGLEFINANCE(A1091,""HIGH"")"),357.8)</f>
        <v>357.8</v>
      </c>
      <c r="E1091" s="14">
        <f>IFERROR(__xludf.DUMMYFUNCTION("GOOGLEFINANCE(A1091,""LOW"")"),341.0)</f>
        <v>341</v>
      </c>
      <c r="F1091" s="15" t="str">
        <f t="shared" si="8"/>
        <v/>
      </c>
      <c r="G1091" s="16">
        <f>IFERROR(__xludf.DUMMYFUNCTION("GOOGLEFINANCE(A1091,""CLOSEYEST"")"),343.95)</f>
        <v>343.95</v>
      </c>
      <c r="H1091" s="17" t="str">
        <f t="shared" si="14"/>
        <v/>
      </c>
      <c r="I1091" s="18">
        <f t="shared" si="9"/>
        <v>347.5833333</v>
      </c>
      <c r="J1091" s="19">
        <f t="shared" si="10"/>
        <v>354.1666667</v>
      </c>
      <c r="K1091" s="19"/>
      <c r="L1091" s="19">
        <f t="shared" si="11"/>
        <v>337.3666667</v>
      </c>
      <c r="M1091" s="19">
        <f t="shared" si="12"/>
        <v>364.3833333</v>
      </c>
      <c r="N1091" s="19">
        <f t="shared" si="13"/>
        <v>330.7833333</v>
      </c>
    </row>
    <row r="1092" ht="24.75" customHeight="1">
      <c r="A1092" s="21" t="s">
        <v>1055</v>
      </c>
      <c r="B1092" s="13">
        <f>IFERROR(__xludf.DUMMYFUNCTION("GOOGLEFINANCE(A1092,""PRICE"")"),299.6)</f>
        <v>299.6</v>
      </c>
      <c r="C1092" s="14">
        <f>IFERROR(__xludf.DUMMYFUNCTION("GOOGLEFINANCE(A1092,""PRICEOPEN"")"),290.5)</f>
        <v>290.5</v>
      </c>
      <c r="D1092" s="14">
        <f>IFERROR(__xludf.DUMMYFUNCTION("GOOGLEFINANCE(A1092,""HIGH"")"),299.85)</f>
        <v>299.85</v>
      </c>
      <c r="E1092" s="14">
        <f>IFERROR(__xludf.DUMMYFUNCTION("GOOGLEFINANCE(A1092,""LOW"")"),286.15)</f>
        <v>286.15</v>
      </c>
      <c r="F1092" s="15" t="str">
        <f t="shared" si="8"/>
        <v/>
      </c>
      <c r="G1092" s="16">
        <f>IFERROR(__xludf.DUMMYFUNCTION("GOOGLEFINANCE(A1092,""CLOSEYEST"")"),294.85)</f>
        <v>294.85</v>
      </c>
      <c r="H1092" s="17" t="str">
        <f t="shared" si="14"/>
        <v>GAP DOWN</v>
      </c>
      <c r="I1092" s="18">
        <f t="shared" si="9"/>
        <v>293.6166667</v>
      </c>
      <c r="J1092" s="19">
        <f t="shared" si="10"/>
        <v>301.0833333</v>
      </c>
      <c r="K1092" s="19"/>
      <c r="L1092" s="19">
        <f t="shared" si="11"/>
        <v>287.3833333</v>
      </c>
      <c r="M1092" s="19">
        <f t="shared" si="12"/>
        <v>307.3166667</v>
      </c>
      <c r="N1092" s="19">
        <f t="shared" si="13"/>
        <v>279.9166667</v>
      </c>
    </row>
    <row r="1093" ht="24.75" customHeight="1">
      <c r="A1093" s="21" t="s">
        <v>1056</v>
      </c>
      <c r="B1093" s="13">
        <f>IFERROR(__xludf.DUMMYFUNCTION("GOOGLEFINANCE(A1093,""PRICE"")"),12.78)</f>
        <v>12.78</v>
      </c>
      <c r="C1093" s="14">
        <f>IFERROR(__xludf.DUMMYFUNCTION("GOOGLEFINANCE(A1093,""PRICEOPEN"")"),12.28)</f>
        <v>12.28</v>
      </c>
      <c r="D1093" s="14">
        <f>IFERROR(__xludf.DUMMYFUNCTION("GOOGLEFINANCE(A1093,""HIGH"")"),12.78)</f>
        <v>12.78</v>
      </c>
      <c r="E1093" s="14">
        <f>IFERROR(__xludf.DUMMYFUNCTION("GOOGLEFINANCE(A1093,""LOW"")"),12.19)</f>
        <v>12.19</v>
      </c>
      <c r="F1093" s="15" t="str">
        <f t="shared" si="8"/>
        <v/>
      </c>
      <c r="G1093" s="16">
        <f>IFERROR(__xludf.DUMMYFUNCTION("GOOGLEFINANCE(A1093,""CLOSEYEST"")"),12.18)</f>
        <v>12.18</v>
      </c>
      <c r="H1093" s="17" t="str">
        <f t="shared" si="14"/>
        <v/>
      </c>
      <c r="I1093" s="18">
        <f t="shared" si="9"/>
        <v>12.38333333</v>
      </c>
      <c r="J1093" s="19">
        <f t="shared" si="10"/>
        <v>12.57666667</v>
      </c>
      <c r="K1093" s="19"/>
      <c r="L1093" s="19">
        <f t="shared" si="11"/>
        <v>11.98666667</v>
      </c>
      <c r="M1093" s="19">
        <f t="shared" si="12"/>
        <v>12.97333333</v>
      </c>
      <c r="N1093" s="19">
        <f t="shared" si="13"/>
        <v>11.79333333</v>
      </c>
    </row>
    <row r="1094" ht="24.75" customHeight="1">
      <c r="A1094" s="21" t="s">
        <v>1057</v>
      </c>
      <c r="B1094" s="13">
        <f>IFERROR(__xludf.DUMMYFUNCTION("GOOGLEFINANCE(A1094,""PRICE"")"),439.95)</f>
        <v>439.95</v>
      </c>
      <c r="C1094" s="14">
        <f>IFERROR(__xludf.DUMMYFUNCTION("GOOGLEFINANCE(A1094,""PRICEOPEN"")"),445.85)</f>
        <v>445.85</v>
      </c>
      <c r="D1094" s="14">
        <f>IFERROR(__xludf.DUMMYFUNCTION("GOOGLEFINANCE(A1094,""HIGH"")"),447.9)</f>
        <v>447.9</v>
      </c>
      <c r="E1094" s="14">
        <f>IFERROR(__xludf.DUMMYFUNCTION("GOOGLEFINANCE(A1094,""LOW"")"),431.1)</f>
        <v>431.1</v>
      </c>
      <c r="F1094" s="15" t="str">
        <f t="shared" si="8"/>
        <v/>
      </c>
      <c r="G1094" s="16">
        <f>IFERROR(__xludf.DUMMYFUNCTION("GOOGLEFINANCE(A1094,""CLOSEYEST"")"),445.3)</f>
        <v>445.3</v>
      </c>
      <c r="H1094" s="17" t="str">
        <f t="shared" si="14"/>
        <v/>
      </c>
      <c r="I1094" s="18">
        <f t="shared" si="9"/>
        <v>441.4333333</v>
      </c>
      <c r="J1094" s="19">
        <f t="shared" si="10"/>
        <v>451.7666667</v>
      </c>
      <c r="K1094" s="19"/>
      <c r="L1094" s="19">
        <f t="shared" si="11"/>
        <v>434.9666667</v>
      </c>
      <c r="M1094" s="19">
        <f t="shared" si="12"/>
        <v>458.2333333</v>
      </c>
      <c r="N1094" s="19">
        <f t="shared" si="13"/>
        <v>424.6333333</v>
      </c>
    </row>
    <row r="1095" ht="24.75" customHeight="1">
      <c r="A1095" s="21" t="s">
        <v>1058</v>
      </c>
      <c r="B1095" s="13">
        <f>IFERROR(__xludf.DUMMYFUNCTION("GOOGLEFINANCE(A1095,""PRICE"")"),100.35)</f>
        <v>100.35</v>
      </c>
      <c r="C1095" s="14">
        <f>IFERROR(__xludf.DUMMYFUNCTION("GOOGLEFINANCE(A1095,""PRICEOPEN"")"),98.99)</f>
        <v>98.99</v>
      </c>
      <c r="D1095" s="14">
        <f>IFERROR(__xludf.DUMMYFUNCTION("GOOGLEFINANCE(A1095,""HIGH"")"),102.0)</f>
        <v>102</v>
      </c>
      <c r="E1095" s="14">
        <f>IFERROR(__xludf.DUMMYFUNCTION("GOOGLEFINANCE(A1095,""LOW"")"),98.12)</f>
        <v>98.12</v>
      </c>
      <c r="F1095" s="15" t="str">
        <f t="shared" si="8"/>
        <v/>
      </c>
      <c r="G1095" s="16">
        <f>IFERROR(__xludf.DUMMYFUNCTION("GOOGLEFINANCE(A1095,""CLOSEYEST"")"),98.42)</f>
        <v>98.42</v>
      </c>
      <c r="H1095" s="17" t="str">
        <f t="shared" si="14"/>
        <v/>
      </c>
      <c r="I1095" s="18">
        <f t="shared" si="9"/>
        <v>99.51333333</v>
      </c>
      <c r="J1095" s="19">
        <f t="shared" si="10"/>
        <v>100.9066667</v>
      </c>
      <c r="K1095" s="19"/>
      <c r="L1095" s="19">
        <f t="shared" si="11"/>
        <v>97.02666667</v>
      </c>
      <c r="M1095" s="19">
        <f t="shared" si="12"/>
        <v>103.3933333</v>
      </c>
      <c r="N1095" s="19">
        <f t="shared" si="13"/>
        <v>95.63333333</v>
      </c>
    </row>
    <row r="1096" ht="24.75" customHeight="1">
      <c r="A1096" s="21" t="s">
        <v>1059</v>
      </c>
      <c r="B1096" s="13">
        <f>IFERROR(__xludf.DUMMYFUNCTION("GOOGLEFINANCE(A1096,""PRICE"")"),125.1)</f>
        <v>125.1</v>
      </c>
      <c r="C1096" s="14">
        <f>IFERROR(__xludf.DUMMYFUNCTION("GOOGLEFINANCE(A1096,""PRICEOPEN"")"),127.43)</f>
        <v>127.43</v>
      </c>
      <c r="D1096" s="14">
        <f>IFERROR(__xludf.DUMMYFUNCTION("GOOGLEFINANCE(A1096,""HIGH"")"),128.48)</f>
        <v>128.48</v>
      </c>
      <c r="E1096" s="14">
        <f>IFERROR(__xludf.DUMMYFUNCTION("GOOGLEFINANCE(A1096,""LOW"")"),121.95)</f>
        <v>121.95</v>
      </c>
      <c r="F1096" s="15" t="str">
        <f t="shared" si="8"/>
        <v/>
      </c>
      <c r="G1096" s="16">
        <f>IFERROR(__xludf.DUMMYFUNCTION("GOOGLEFINANCE(A1096,""CLOSEYEST"")"),126.43)</f>
        <v>126.43</v>
      </c>
      <c r="H1096" s="17" t="str">
        <f t="shared" si="14"/>
        <v/>
      </c>
      <c r="I1096" s="18">
        <f t="shared" si="9"/>
        <v>125.62</v>
      </c>
      <c r="J1096" s="19">
        <f t="shared" si="10"/>
        <v>129.29</v>
      </c>
      <c r="K1096" s="19"/>
      <c r="L1096" s="19">
        <f t="shared" si="11"/>
        <v>122.76</v>
      </c>
      <c r="M1096" s="19">
        <f t="shared" si="12"/>
        <v>132.15</v>
      </c>
      <c r="N1096" s="19">
        <f t="shared" si="13"/>
        <v>119.09</v>
      </c>
    </row>
    <row r="1097" ht="24.75" customHeight="1">
      <c r="A1097" s="21" t="s">
        <v>1060</v>
      </c>
      <c r="B1097" s="13">
        <f>IFERROR(__xludf.DUMMYFUNCTION("GOOGLEFINANCE(A1097,""PRICE"")"),27.54)</f>
        <v>27.54</v>
      </c>
      <c r="C1097" s="14">
        <f>IFERROR(__xludf.DUMMYFUNCTION("GOOGLEFINANCE(A1097,""PRICEOPEN"")"),26.81)</f>
        <v>26.81</v>
      </c>
      <c r="D1097" s="14">
        <f>IFERROR(__xludf.DUMMYFUNCTION("GOOGLEFINANCE(A1097,""HIGH"")"),27.6)</f>
        <v>27.6</v>
      </c>
      <c r="E1097" s="14">
        <f>IFERROR(__xludf.DUMMYFUNCTION("GOOGLEFINANCE(A1097,""LOW"")"),26.6)</f>
        <v>26.6</v>
      </c>
      <c r="F1097" s="15" t="str">
        <f t="shared" si="8"/>
        <v/>
      </c>
      <c r="G1097" s="16">
        <f>IFERROR(__xludf.DUMMYFUNCTION("GOOGLEFINANCE(A1097,""CLOSEYEST"")"),27.09)</f>
        <v>27.09</v>
      </c>
      <c r="H1097" s="17" t="str">
        <f t="shared" si="14"/>
        <v>GAP DOWN</v>
      </c>
      <c r="I1097" s="18">
        <f t="shared" si="9"/>
        <v>27.09666667</v>
      </c>
      <c r="J1097" s="19">
        <f t="shared" si="10"/>
        <v>27.59333333</v>
      </c>
      <c r="K1097" s="19"/>
      <c r="L1097" s="19">
        <f t="shared" si="11"/>
        <v>26.59333333</v>
      </c>
      <c r="M1097" s="19">
        <f t="shared" si="12"/>
        <v>28.09666667</v>
      </c>
      <c r="N1097" s="19">
        <f t="shared" si="13"/>
        <v>26.09666667</v>
      </c>
    </row>
    <row r="1098" ht="24.75" customHeight="1">
      <c r="A1098" s="21" t="s">
        <v>1061</v>
      </c>
      <c r="B1098" s="13">
        <f>IFERROR(__xludf.DUMMYFUNCTION("GOOGLEFINANCE(A1098,""PRICE"")"),297.95)</f>
        <v>297.95</v>
      </c>
      <c r="C1098" s="14">
        <f>IFERROR(__xludf.DUMMYFUNCTION("GOOGLEFINANCE(A1098,""PRICEOPEN"")"),296.0)</f>
        <v>296</v>
      </c>
      <c r="D1098" s="14">
        <f>IFERROR(__xludf.DUMMYFUNCTION("GOOGLEFINANCE(A1098,""HIGH"")"),299.6)</f>
        <v>299.6</v>
      </c>
      <c r="E1098" s="14">
        <f>IFERROR(__xludf.DUMMYFUNCTION("GOOGLEFINANCE(A1098,""LOW"")"),294.05)</f>
        <v>294.05</v>
      </c>
      <c r="F1098" s="15" t="str">
        <f t="shared" si="8"/>
        <v/>
      </c>
      <c r="G1098" s="16">
        <f>IFERROR(__xludf.DUMMYFUNCTION("GOOGLEFINANCE(A1098,""CLOSEYEST"")"),299.9)</f>
        <v>299.9</v>
      </c>
      <c r="H1098" s="17" t="str">
        <f t="shared" si="14"/>
        <v>GAP DOWN</v>
      </c>
      <c r="I1098" s="18">
        <f t="shared" si="9"/>
        <v>297.85</v>
      </c>
      <c r="J1098" s="19">
        <f t="shared" si="10"/>
        <v>301.65</v>
      </c>
      <c r="K1098" s="19"/>
      <c r="L1098" s="19">
        <f t="shared" si="11"/>
        <v>296.1</v>
      </c>
      <c r="M1098" s="19">
        <f t="shared" si="12"/>
        <v>303.4</v>
      </c>
      <c r="N1098" s="19">
        <f t="shared" si="13"/>
        <v>292.3</v>
      </c>
    </row>
    <row r="1099" ht="24.75" customHeight="1">
      <c r="A1099" s="21" t="s">
        <v>1062</v>
      </c>
      <c r="B1099" s="13">
        <f>IFERROR(__xludf.DUMMYFUNCTION("GOOGLEFINANCE(A1099,""PRICE"")"),124.0)</f>
        <v>124</v>
      </c>
      <c r="C1099" s="14">
        <f>IFERROR(__xludf.DUMMYFUNCTION("GOOGLEFINANCE(A1099,""PRICEOPEN"")"),126.5)</f>
        <v>126.5</v>
      </c>
      <c r="D1099" s="14">
        <f>IFERROR(__xludf.DUMMYFUNCTION("GOOGLEFINANCE(A1099,""HIGH"")"),128.78)</f>
        <v>128.78</v>
      </c>
      <c r="E1099" s="14">
        <f>IFERROR(__xludf.DUMMYFUNCTION("GOOGLEFINANCE(A1099,""LOW"")"),122.43)</f>
        <v>122.43</v>
      </c>
      <c r="F1099" s="15" t="str">
        <f t="shared" si="8"/>
        <v/>
      </c>
      <c r="G1099" s="16">
        <f>IFERROR(__xludf.DUMMYFUNCTION("GOOGLEFINANCE(A1099,""CLOSEYEST"")"),127.13)</f>
        <v>127.13</v>
      </c>
      <c r="H1099" s="17" t="str">
        <f t="shared" si="14"/>
        <v/>
      </c>
      <c r="I1099" s="18">
        <f t="shared" si="9"/>
        <v>126.1133333</v>
      </c>
      <c r="J1099" s="19">
        <f t="shared" si="10"/>
        <v>129.7966667</v>
      </c>
      <c r="K1099" s="19"/>
      <c r="L1099" s="19">
        <f t="shared" si="11"/>
        <v>123.4466667</v>
      </c>
      <c r="M1099" s="19">
        <f t="shared" si="12"/>
        <v>132.4633333</v>
      </c>
      <c r="N1099" s="19">
        <f t="shared" si="13"/>
        <v>119.7633333</v>
      </c>
    </row>
    <row r="1100" ht="24.75" customHeight="1">
      <c r="A1100" s="21" t="s">
        <v>1063</v>
      </c>
      <c r="B1100" s="13">
        <f>IFERROR(__xludf.DUMMYFUNCTION("GOOGLEFINANCE(A1100,""PRICE"")"),25.94)</f>
        <v>25.94</v>
      </c>
      <c r="C1100" s="14">
        <f>IFERROR(__xludf.DUMMYFUNCTION("GOOGLEFINANCE(A1100,""PRICEOPEN"")"),24.63)</f>
        <v>24.63</v>
      </c>
      <c r="D1100" s="14">
        <f>IFERROR(__xludf.DUMMYFUNCTION("GOOGLEFINANCE(A1100,""HIGH"")"),26.0)</f>
        <v>26</v>
      </c>
      <c r="E1100" s="14">
        <f>IFERROR(__xludf.DUMMYFUNCTION("GOOGLEFINANCE(A1100,""LOW"")"),24.63)</f>
        <v>24.63</v>
      </c>
      <c r="F1100" s="15" t="str">
        <f t="shared" si="8"/>
        <v>BUY</v>
      </c>
      <c r="G1100" s="16">
        <f>IFERROR(__xludf.DUMMYFUNCTION("GOOGLEFINANCE(A1100,""CLOSEYEST"")"),25.2)</f>
        <v>25.2</v>
      </c>
      <c r="H1100" s="17" t="str">
        <f t="shared" si="14"/>
        <v>GAP DOWN</v>
      </c>
      <c r="I1100" s="18">
        <f t="shared" si="9"/>
        <v>25.27666667</v>
      </c>
      <c r="J1100" s="19">
        <f t="shared" si="10"/>
        <v>25.92333333</v>
      </c>
      <c r="K1100" s="19"/>
      <c r="L1100" s="19">
        <f t="shared" si="11"/>
        <v>24.55333333</v>
      </c>
      <c r="M1100" s="19">
        <f t="shared" si="12"/>
        <v>26.64666667</v>
      </c>
      <c r="N1100" s="19">
        <f t="shared" si="13"/>
        <v>23.90666667</v>
      </c>
    </row>
    <row r="1101" ht="24.75" customHeight="1">
      <c r="A1101" s="21" t="s">
        <v>1064</v>
      </c>
      <c r="B1101" s="13">
        <f>IFERROR(__xludf.DUMMYFUNCTION("GOOGLEFINANCE(A1101,""PRICE"")"),247.9)</f>
        <v>247.9</v>
      </c>
      <c r="C1101" s="14">
        <f>IFERROR(__xludf.DUMMYFUNCTION("GOOGLEFINANCE(A1101,""PRICEOPEN"")"),241.0)</f>
        <v>241</v>
      </c>
      <c r="D1101" s="14">
        <f>IFERROR(__xludf.DUMMYFUNCTION("GOOGLEFINANCE(A1101,""HIGH"")"),248.0)</f>
        <v>248</v>
      </c>
      <c r="E1101" s="14">
        <f>IFERROR(__xludf.DUMMYFUNCTION("GOOGLEFINANCE(A1101,""LOW"")"),238.0)</f>
        <v>238</v>
      </c>
      <c r="F1101" s="15" t="str">
        <f t="shared" si="8"/>
        <v/>
      </c>
      <c r="G1101" s="16">
        <f>IFERROR(__xludf.DUMMYFUNCTION("GOOGLEFINANCE(A1101,""CLOSEYEST"")"),237.6)</f>
        <v>237.6</v>
      </c>
      <c r="H1101" s="17" t="str">
        <f t="shared" si="14"/>
        <v>GAP UP</v>
      </c>
      <c r="I1101" s="18">
        <f t="shared" si="9"/>
        <v>241.2</v>
      </c>
      <c r="J1101" s="19">
        <f t="shared" si="10"/>
        <v>244.4</v>
      </c>
      <c r="K1101" s="19"/>
      <c r="L1101" s="19">
        <f t="shared" si="11"/>
        <v>234.4</v>
      </c>
      <c r="M1101" s="19">
        <f t="shared" si="12"/>
        <v>251.2</v>
      </c>
      <c r="N1101" s="19">
        <f t="shared" si="13"/>
        <v>231.2</v>
      </c>
    </row>
    <row r="1102" ht="24.75" customHeight="1">
      <c r="A1102" s="21" t="s">
        <v>1065</v>
      </c>
      <c r="B1102" s="13">
        <f>IFERROR(__xludf.DUMMYFUNCTION("GOOGLEFINANCE(A1102,""PRICE"")"),240.97)</f>
        <v>240.97</v>
      </c>
      <c r="C1102" s="14">
        <f>IFERROR(__xludf.DUMMYFUNCTION("GOOGLEFINANCE(A1102,""PRICEOPEN"")"),243.03)</f>
        <v>243.03</v>
      </c>
      <c r="D1102" s="14">
        <f>IFERROR(__xludf.DUMMYFUNCTION("GOOGLEFINANCE(A1102,""HIGH"")"),243.03)</f>
        <v>243.03</v>
      </c>
      <c r="E1102" s="14">
        <f>IFERROR(__xludf.DUMMYFUNCTION("GOOGLEFINANCE(A1102,""LOW"")"),236.89)</f>
        <v>236.89</v>
      </c>
      <c r="F1102" s="15" t="str">
        <f t="shared" si="8"/>
        <v>SELL</v>
      </c>
      <c r="G1102" s="16">
        <f>IFERROR(__xludf.DUMMYFUNCTION("GOOGLEFINANCE(A1102,""CLOSEYEST"")"),240.62)</f>
        <v>240.62</v>
      </c>
      <c r="H1102" s="17" t="str">
        <f t="shared" si="14"/>
        <v>GAP UP</v>
      </c>
      <c r="I1102" s="18">
        <f t="shared" si="9"/>
        <v>240.18</v>
      </c>
      <c r="J1102" s="19">
        <f t="shared" si="10"/>
        <v>243.47</v>
      </c>
      <c r="K1102" s="19"/>
      <c r="L1102" s="19">
        <f t="shared" si="11"/>
        <v>237.33</v>
      </c>
      <c r="M1102" s="19">
        <f t="shared" si="12"/>
        <v>246.32</v>
      </c>
      <c r="N1102" s="19">
        <f t="shared" si="13"/>
        <v>234.04</v>
      </c>
    </row>
    <row r="1103" ht="24.75" customHeight="1">
      <c r="A1103" s="21" t="s">
        <v>1066</v>
      </c>
      <c r="B1103" s="13">
        <f>IFERROR(__xludf.DUMMYFUNCTION("GOOGLEFINANCE(A1103,""PRICE"")"),117.25)</f>
        <v>117.25</v>
      </c>
      <c r="C1103" s="14">
        <f>IFERROR(__xludf.DUMMYFUNCTION("GOOGLEFINANCE(A1103,""PRICEOPEN"")"),119.4)</f>
        <v>119.4</v>
      </c>
      <c r="D1103" s="14">
        <f>IFERROR(__xludf.DUMMYFUNCTION("GOOGLEFINANCE(A1103,""HIGH"")"),119.4)</f>
        <v>119.4</v>
      </c>
      <c r="E1103" s="14">
        <f>IFERROR(__xludf.DUMMYFUNCTION("GOOGLEFINANCE(A1103,""LOW"")"),115.8)</f>
        <v>115.8</v>
      </c>
      <c r="F1103" s="15" t="str">
        <f t="shared" si="8"/>
        <v>SELL</v>
      </c>
      <c r="G1103" s="16">
        <f>IFERROR(__xludf.DUMMYFUNCTION("GOOGLEFINANCE(A1103,""CLOSEYEST"")"),118.35)</f>
        <v>118.35</v>
      </c>
      <c r="H1103" s="17" t="str">
        <f t="shared" si="14"/>
        <v/>
      </c>
      <c r="I1103" s="18">
        <f t="shared" si="9"/>
        <v>117.85</v>
      </c>
      <c r="J1103" s="19">
        <f t="shared" si="10"/>
        <v>119.9</v>
      </c>
      <c r="K1103" s="19"/>
      <c r="L1103" s="19">
        <f t="shared" si="11"/>
        <v>116.3</v>
      </c>
      <c r="M1103" s="19">
        <f t="shared" si="12"/>
        <v>121.45</v>
      </c>
      <c r="N1103" s="19">
        <f t="shared" si="13"/>
        <v>114.25</v>
      </c>
    </row>
    <row r="1104" ht="24.75" customHeight="1">
      <c r="A1104" s="21" t="s">
        <v>1067</v>
      </c>
      <c r="B1104" s="13">
        <f>IFERROR(__xludf.DUMMYFUNCTION("GOOGLEFINANCE(A1104,""PRICE"")"),10.23)</f>
        <v>10.23</v>
      </c>
      <c r="C1104" s="14">
        <f>IFERROR(__xludf.DUMMYFUNCTION("GOOGLEFINANCE(A1104,""PRICEOPEN"")"),10.29)</f>
        <v>10.29</v>
      </c>
      <c r="D1104" s="14">
        <f>IFERROR(__xludf.DUMMYFUNCTION("GOOGLEFINANCE(A1104,""HIGH"")"),10.43)</f>
        <v>10.43</v>
      </c>
      <c r="E1104" s="14">
        <f>IFERROR(__xludf.DUMMYFUNCTION("GOOGLEFINANCE(A1104,""LOW"")"),10.01)</f>
        <v>10.01</v>
      </c>
      <c r="F1104" s="15" t="str">
        <f t="shared" si="8"/>
        <v/>
      </c>
      <c r="G1104" s="16">
        <f>IFERROR(__xludf.DUMMYFUNCTION("GOOGLEFINANCE(A1104,""CLOSEYEST"")"),10.26)</f>
        <v>10.26</v>
      </c>
      <c r="H1104" s="17" t="str">
        <f t="shared" si="14"/>
        <v/>
      </c>
      <c r="I1104" s="18">
        <f t="shared" si="9"/>
        <v>10.23333333</v>
      </c>
      <c r="J1104" s="19">
        <f t="shared" si="10"/>
        <v>10.45666667</v>
      </c>
      <c r="K1104" s="19"/>
      <c r="L1104" s="19">
        <f t="shared" si="11"/>
        <v>10.03666667</v>
      </c>
      <c r="M1104" s="19">
        <f t="shared" si="12"/>
        <v>10.65333333</v>
      </c>
      <c r="N1104" s="19">
        <f t="shared" si="13"/>
        <v>9.813333333</v>
      </c>
    </row>
    <row r="1105" ht="24.75" customHeight="1">
      <c r="A1105" s="21" t="s">
        <v>1068</v>
      </c>
      <c r="B1105" s="13">
        <f>IFERROR(__xludf.DUMMYFUNCTION("GOOGLEFINANCE(A1105,""PRICE"")"),156.5)</f>
        <v>156.5</v>
      </c>
      <c r="C1105" s="14">
        <f>IFERROR(__xludf.DUMMYFUNCTION("GOOGLEFINANCE(A1105,""PRICEOPEN"")"),154.0)</f>
        <v>154</v>
      </c>
      <c r="D1105" s="14">
        <f>IFERROR(__xludf.DUMMYFUNCTION("GOOGLEFINANCE(A1105,""HIGH"")"),156.95)</f>
        <v>156.95</v>
      </c>
      <c r="E1105" s="14">
        <f>IFERROR(__xludf.DUMMYFUNCTION("GOOGLEFINANCE(A1105,""LOW"")"),154.0)</f>
        <v>154</v>
      </c>
      <c r="F1105" s="15" t="str">
        <f t="shared" si="8"/>
        <v>BUY</v>
      </c>
      <c r="G1105" s="16">
        <f>IFERROR(__xludf.DUMMYFUNCTION("GOOGLEFINANCE(A1105,""CLOSEYEST"")"),155.97)</f>
        <v>155.97</v>
      </c>
      <c r="H1105" s="17" t="str">
        <f t="shared" si="14"/>
        <v>GAP DOWN</v>
      </c>
      <c r="I1105" s="18">
        <f t="shared" si="9"/>
        <v>155.64</v>
      </c>
      <c r="J1105" s="19">
        <f t="shared" si="10"/>
        <v>157.28</v>
      </c>
      <c r="K1105" s="19"/>
      <c r="L1105" s="19">
        <f t="shared" si="11"/>
        <v>154.33</v>
      </c>
      <c r="M1105" s="19">
        <f t="shared" si="12"/>
        <v>158.59</v>
      </c>
      <c r="N1105" s="19">
        <f t="shared" si="13"/>
        <v>152.69</v>
      </c>
    </row>
    <row r="1106" ht="24.75" customHeight="1">
      <c r="A1106" s="21" t="s">
        <v>1069</v>
      </c>
      <c r="B1106" s="13">
        <f>IFERROR(__xludf.DUMMYFUNCTION("GOOGLEFINANCE(A1106,""PRICE"")"),240.0)</f>
        <v>240</v>
      </c>
      <c r="C1106" s="14">
        <f>IFERROR(__xludf.DUMMYFUNCTION("GOOGLEFINANCE(A1106,""PRICEOPEN"")"),231.05)</f>
        <v>231.05</v>
      </c>
      <c r="D1106" s="14">
        <f>IFERROR(__xludf.DUMMYFUNCTION("GOOGLEFINANCE(A1106,""HIGH"")"),240.0)</f>
        <v>240</v>
      </c>
      <c r="E1106" s="14">
        <f>IFERROR(__xludf.DUMMYFUNCTION("GOOGLEFINANCE(A1106,""LOW"")"),231.0)</f>
        <v>231</v>
      </c>
      <c r="F1106" s="15" t="str">
        <f t="shared" si="8"/>
        <v/>
      </c>
      <c r="G1106" s="16">
        <f>IFERROR(__xludf.DUMMYFUNCTION("GOOGLEFINANCE(A1106,""CLOSEYEST"")"),232.53)</f>
        <v>232.53</v>
      </c>
      <c r="H1106" s="17" t="str">
        <f t="shared" si="14"/>
        <v/>
      </c>
      <c r="I1106" s="18">
        <f t="shared" si="9"/>
        <v>234.51</v>
      </c>
      <c r="J1106" s="19">
        <f t="shared" si="10"/>
        <v>238.02</v>
      </c>
      <c r="K1106" s="19"/>
      <c r="L1106" s="19">
        <f t="shared" si="11"/>
        <v>229.02</v>
      </c>
      <c r="M1106" s="19">
        <f t="shared" si="12"/>
        <v>243.51</v>
      </c>
      <c r="N1106" s="19">
        <f t="shared" si="13"/>
        <v>225.51</v>
      </c>
    </row>
    <row r="1107" ht="24.75" customHeight="1">
      <c r="A1107" s="21" t="s">
        <v>1070</v>
      </c>
      <c r="B1107" s="13">
        <f>IFERROR(__xludf.DUMMYFUNCTION("GOOGLEFINANCE(A1107,""PRICE"")"),5478.0)</f>
        <v>5478</v>
      </c>
      <c r="C1107" s="14">
        <f>IFERROR(__xludf.DUMMYFUNCTION("GOOGLEFINANCE(A1107,""PRICEOPEN"")"),5455.0)</f>
        <v>5455</v>
      </c>
      <c r="D1107" s="14">
        <f>IFERROR(__xludf.DUMMYFUNCTION("GOOGLEFINANCE(A1107,""HIGH"")"),5564.5)</f>
        <v>5564.5</v>
      </c>
      <c r="E1107" s="14">
        <f>IFERROR(__xludf.DUMMYFUNCTION("GOOGLEFINANCE(A1107,""LOW"")"),5431.0)</f>
        <v>5431</v>
      </c>
      <c r="F1107" s="15" t="str">
        <f t="shared" si="8"/>
        <v/>
      </c>
      <c r="G1107" s="16">
        <f>IFERROR(__xludf.DUMMYFUNCTION("GOOGLEFINANCE(A1107,""CLOSEYEST"")"),5441.5)</f>
        <v>5441.5</v>
      </c>
      <c r="H1107" s="17" t="str">
        <f t="shared" si="14"/>
        <v/>
      </c>
      <c r="I1107" s="18">
        <f t="shared" si="9"/>
        <v>5479</v>
      </c>
      <c r="J1107" s="19">
        <f t="shared" si="10"/>
        <v>5527</v>
      </c>
      <c r="K1107" s="19"/>
      <c r="L1107" s="19">
        <f t="shared" si="11"/>
        <v>5393.5</v>
      </c>
      <c r="M1107" s="19">
        <f t="shared" si="12"/>
        <v>5612.5</v>
      </c>
      <c r="N1107" s="19">
        <f t="shared" si="13"/>
        <v>5345.5</v>
      </c>
    </row>
    <row r="1108" ht="24.75" customHeight="1">
      <c r="A1108" s="21" t="s">
        <v>1071</v>
      </c>
      <c r="B1108" s="13">
        <f>IFERROR(__xludf.DUMMYFUNCTION("GOOGLEFINANCE(A1108,""PRICE"")"),136.7)</f>
        <v>136.7</v>
      </c>
      <c r="C1108" s="14">
        <f>IFERROR(__xludf.DUMMYFUNCTION("GOOGLEFINANCE(A1108,""PRICEOPEN"")"),133.9)</f>
        <v>133.9</v>
      </c>
      <c r="D1108" s="14">
        <f>IFERROR(__xludf.DUMMYFUNCTION("GOOGLEFINANCE(A1108,""HIGH"")"),143.95)</f>
        <v>143.95</v>
      </c>
      <c r="E1108" s="14">
        <f>IFERROR(__xludf.DUMMYFUNCTION("GOOGLEFINANCE(A1108,""LOW"")"),132.34)</f>
        <v>132.34</v>
      </c>
      <c r="F1108" s="15" t="str">
        <f t="shared" si="8"/>
        <v/>
      </c>
      <c r="G1108" s="16">
        <f>IFERROR(__xludf.DUMMYFUNCTION("GOOGLEFINANCE(A1108,""CLOSEYEST"")"),132.8)</f>
        <v>132.8</v>
      </c>
      <c r="H1108" s="17" t="str">
        <f t="shared" si="14"/>
        <v/>
      </c>
      <c r="I1108" s="18">
        <f t="shared" si="9"/>
        <v>136.3633333</v>
      </c>
      <c r="J1108" s="19">
        <f t="shared" si="10"/>
        <v>140.3866667</v>
      </c>
      <c r="K1108" s="19"/>
      <c r="L1108" s="19">
        <f t="shared" si="11"/>
        <v>128.7766667</v>
      </c>
      <c r="M1108" s="19">
        <f t="shared" si="12"/>
        <v>147.9733333</v>
      </c>
      <c r="N1108" s="19">
        <f t="shared" si="13"/>
        <v>124.7533333</v>
      </c>
    </row>
    <row r="1109" ht="24.75" customHeight="1">
      <c r="A1109" s="21" t="s">
        <v>1072</v>
      </c>
      <c r="B1109" s="13">
        <f>IFERROR(__xludf.DUMMYFUNCTION("GOOGLEFINANCE(A1109,""PRICE"")"),876.0)</f>
        <v>876</v>
      </c>
      <c r="C1109" s="14">
        <f>IFERROR(__xludf.DUMMYFUNCTION("GOOGLEFINANCE(A1109,""PRICEOPEN"")"),858.0)</f>
        <v>858</v>
      </c>
      <c r="D1109" s="14">
        <f>IFERROR(__xludf.DUMMYFUNCTION("GOOGLEFINANCE(A1109,""HIGH"")"),880.0)</f>
        <v>880</v>
      </c>
      <c r="E1109" s="14">
        <f>IFERROR(__xludf.DUMMYFUNCTION("GOOGLEFINANCE(A1109,""LOW"")"),858.0)</f>
        <v>858</v>
      </c>
      <c r="F1109" s="15" t="str">
        <f t="shared" si="8"/>
        <v>BUY</v>
      </c>
      <c r="G1109" s="16">
        <f>IFERROR(__xludf.DUMMYFUNCTION("GOOGLEFINANCE(A1109,""CLOSEYEST"")"),857.3)</f>
        <v>857.3</v>
      </c>
      <c r="H1109" s="17" t="str">
        <f t="shared" si="14"/>
        <v/>
      </c>
      <c r="I1109" s="18">
        <f t="shared" si="9"/>
        <v>865.1</v>
      </c>
      <c r="J1109" s="19">
        <f t="shared" si="10"/>
        <v>872.2</v>
      </c>
      <c r="K1109" s="19"/>
      <c r="L1109" s="19">
        <f t="shared" si="11"/>
        <v>850.2</v>
      </c>
      <c r="M1109" s="19">
        <f t="shared" si="12"/>
        <v>887.1</v>
      </c>
      <c r="N1109" s="19">
        <f t="shared" si="13"/>
        <v>843.1</v>
      </c>
    </row>
    <row r="1110" ht="24.75" customHeight="1">
      <c r="A1110" s="21" t="s">
        <v>1073</v>
      </c>
      <c r="B1110" s="13" t="str">
        <f>IFERROR(__xludf.DUMMYFUNCTION("GOOGLEFINANCE(A1110,""PRICE"")"),"#N/A")</f>
        <v>#N/A</v>
      </c>
      <c r="C1110" s="14" t="str">
        <f>IFERROR(__xludf.DUMMYFUNCTION("GOOGLEFINANCE(A1110,""PRICEOPEN"")"),"#N/A")</f>
        <v>#N/A</v>
      </c>
      <c r="D1110" s="14" t="str">
        <f>IFERROR(__xludf.DUMMYFUNCTION("GOOGLEFINANCE(A1110,""HIGH"")"),"#N/A")</f>
        <v>#N/A</v>
      </c>
      <c r="E1110" s="14" t="str">
        <f>IFERROR(__xludf.DUMMYFUNCTION("GOOGLEFINANCE(A1110,""LOW"")"),"#N/A")</f>
        <v>#N/A</v>
      </c>
      <c r="F1110" s="15" t="str">
        <f t="shared" si="8"/>
        <v>#N/A</v>
      </c>
      <c r="G1110" s="16" t="str">
        <f>IFERROR(__xludf.DUMMYFUNCTION("GOOGLEFINANCE(A1110,""CLOSEYEST"")"),"#N/A")</f>
        <v>#N/A</v>
      </c>
      <c r="H1110" s="17" t="str">
        <f t="shared" si="14"/>
        <v>#N/A</v>
      </c>
      <c r="I1110" s="18" t="str">
        <f t="shared" si="9"/>
        <v>#N/A</v>
      </c>
      <c r="J1110" s="19" t="str">
        <f t="shared" si="10"/>
        <v>#N/A</v>
      </c>
      <c r="K1110" s="19"/>
      <c r="L1110" s="19" t="str">
        <f t="shared" si="11"/>
        <v>#N/A</v>
      </c>
      <c r="M1110" s="19" t="str">
        <f t="shared" si="12"/>
        <v>#N/A</v>
      </c>
      <c r="N1110" s="19" t="str">
        <f t="shared" si="13"/>
        <v>#N/A</v>
      </c>
    </row>
    <row r="1111" ht="24.75" customHeight="1">
      <c r="A1111" s="21" t="s">
        <v>1074</v>
      </c>
      <c r="B1111" s="13">
        <f>IFERROR(__xludf.DUMMYFUNCTION("GOOGLEFINANCE(A1111,""PRICE"")"),456.0)</f>
        <v>456</v>
      </c>
      <c r="C1111" s="14">
        <f>IFERROR(__xludf.DUMMYFUNCTION("GOOGLEFINANCE(A1111,""PRICEOPEN"")"),428.0)</f>
        <v>428</v>
      </c>
      <c r="D1111" s="14">
        <f>IFERROR(__xludf.DUMMYFUNCTION("GOOGLEFINANCE(A1111,""HIGH"")"),456.0)</f>
        <v>456</v>
      </c>
      <c r="E1111" s="14">
        <f>IFERROR(__xludf.DUMMYFUNCTION("GOOGLEFINANCE(A1111,""LOW"")"),428.0)</f>
        <v>428</v>
      </c>
      <c r="F1111" s="15" t="str">
        <f t="shared" si="8"/>
        <v>BUY</v>
      </c>
      <c r="G1111" s="16">
        <f>IFERROR(__xludf.DUMMYFUNCTION("GOOGLEFINANCE(A1111,""CLOSEYEST"")"),428.75)</f>
        <v>428.75</v>
      </c>
      <c r="H1111" s="17" t="str">
        <f t="shared" si="14"/>
        <v/>
      </c>
      <c r="I1111" s="18">
        <f t="shared" si="9"/>
        <v>437.5833333</v>
      </c>
      <c r="J1111" s="19">
        <f t="shared" si="10"/>
        <v>447.1666667</v>
      </c>
      <c r="K1111" s="19"/>
      <c r="L1111" s="19">
        <f t="shared" si="11"/>
        <v>419.1666667</v>
      </c>
      <c r="M1111" s="19">
        <f t="shared" si="12"/>
        <v>465.5833333</v>
      </c>
      <c r="N1111" s="19">
        <f t="shared" si="13"/>
        <v>409.5833333</v>
      </c>
    </row>
    <row r="1112" ht="24.75" customHeight="1">
      <c r="A1112" s="21" t="s">
        <v>1075</v>
      </c>
      <c r="B1112" s="13">
        <f>IFERROR(__xludf.DUMMYFUNCTION("GOOGLEFINANCE(A1112,""PRICE"")"),190.9)</f>
        <v>190.9</v>
      </c>
      <c r="C1112" s="14">
        <f>IFERROR(__xludf.DUMMYFUNCTION("GOOGLEFINANCE(A1112,""PRICEOPEN"")"),191.29)</f>
        <v>191.29</v>
      </c>
      <c r="D1112" s="14">
        <f>IFERROR(__xludf.DUMMYFUNCTION("GOOGLEFINANCE(A1112,""HIGH"")"),194.39)</f>
        <v>194.39</v>
      </c>
      <c r="E1112" s="14">
        <f>IFERROR(__xludf.DUMMYFUNCTION("GOOGLEFINANCE(A1112,""LOW"")"),187.5)</f>
        <v>187.5</v>
      </c>
      <c r="F1112" s="15" t="str">
        <f t="shared" si="8"/>
        <v/>
      </c>
      <c r="G1112" s="16">
        <f>IFERROR(__xludf.DUMMYFUNCTION("GOOGLEFINANCE(A1112,""CLOSEYEST"")"),189.86)</f>
        <v>189.86</v>
      </c>
      <c r="H1112" s="17" t="str">
        <f t="shared" si="14"/>
        <v/>
      </c>
      <c r="I1112" s="18">
        <f t="shared" si="9"/>
        <v>190.5833333</v>
      </c>
      <c r="J1112" s="19">
        <f t="shared" si="10"/>
        <v>193.6666667</v>
      </c>
      <c r="K1112" s="19"/>
      <c r="L1112" s="19">
        <f t="shared" si="11"/>
        <v>186.7766667</v>
      </c>
      <c r="M1112" s="19">
        <f t="shared" si="12"/>
        <v>197.4733333</v>
      </c>
      <c r="N1112" s="19">
        <f t="shared" si="13"/>
        <v>183.6933333</v>
      </c>
    </row>
    <row r="1113" ht="24.75" customHeight="1">
      <c r="A1113" s="21" t="s">
        <v>1076</v>
      </c>
      <c r="B1113" s="13">
        <f>IFERROR(__xludf.DUMMYFUNCTION("GOOGLEFINANCE(A1113,""PRICE"")"),55.3)</f>
        <v>55.3</v>
      </c>
      <c r="C1113" s="14">
        <f>IFERROR(__xludf.DUMMYFUNCTION("GOOGLEFINANCE(A1113,""PRICEOPEN"")"),53.6)</f>
        <v>53.6</v>
      </c>
      <c r="D1113" s="14">
        <f>IFERROR(__xludf.DUMMYFUNCTION("GOOGLEFINANCE(A1113,""HIGH"")"),56.95)</f>
        <v>56.95</v>
      </c>
      <c r="E1113" s="14">
        <f>IFERROR(__xludf.DUMMYFUNCTION("GOOGLEFINANCE(A1113,""LOW"")"),53.01)</f>
        <v>53.01</v>
      </c>
      <c r="F1113" s="15" t="str">
        <f t="shared" si="8"/>
        <v/>
      </c>
      <c r="G1113" s="16">
        <f>IFERROR(__xludf.DUMMYFUNCTION("GOOGLEFINANCE(A1113,""CLOSEYEST"")"),53.23)</f>
        <v>53.23</v>
      </c>
      <c r="H1113" s="17" t="str">
        <f t="shared" si="14"/>
        <v/>
      </c>
      <c r="I1113" s="18">
        <f t="shared" si="9"/>
        <v>54.39666667</v>
      </c>
      <c r="J1113" s="19">
        <f t="shared" si="10"/>
        <v>55.78333333</v>
      </c>
      <c r="K1113" s="19"/>
      <c r="L1113" s="19">
        <f t="shared" si="11"/>
        <v>51.84333333</v>
      </c>
      <c r="M1113" s="19">
        <f t="shared" si="12"/>
        <v>58.33666667</v>
      </c>
      <c r="N1113" s="19">
        <f t="shared" si="13"/>
        <v>50.45666667</v>
      </c>
    </row>
    <row r="1114" ht="24.75" customHeight="1">
      <c r="A1114" s="21" t="s">
        <v>1077</v>
      </c>
      <c r="B1114" s="13">
        <f>IFERROR(__xludf.DUMMYFUNCTION("GOOGLEFINANCE(A1114,""PRICE"")"),3.39)</f>
        <v>3.39</v>
      </c>
      <c r="C1114" s="14">
        <f>IFERROR(__xludf.DUMMYFUNCTION("GOOGLEFINANCE(A1114,""PRICEOPEN"")"),3.35)</f>
        <v>3.35</v>
      </c>
      <c r="D1114" s="14">
        <f>IFERROR(__xludf.DUMMYFUNCTION("GOOGLEFINANCE(A1114,""HIGH"")"),3.4)</f>
        <v>3.4</v>
      </c>
      <c r="E1114" s="14">
        <f>IFERROR(__xludf.DUMMYFUNCTION("GOOGLEFINANCE(A1114,""LOW"")"),3.33)</f>
        <v>3.33</v>
      </c>
      <c r="F1114" s="15" t="str">
        <f t="shared" si="8"/>
        <v/>
      </c>
      <c r="G1114" s="16">
        <f>IFERROR(__xludf.DUMMYFUNCTION("GOOGLEFINANCE(A1114,""CLOSEYEST"")"),3.34)</f>
        <v>3.34</v>
      </c>
      <c r="H1114" s="17" t="str">
        <f t="shared" si="14"/>
        <v/>
      </c>
      <c r="I1114" s="18">
        <f t="shared" si="9"/>
        <v>3.356666667</v>
      </c>
      <c r="J1114" s="19">
        <f t="shared" si="10"/>
        <v>3.383333333</v>
      </c>
      <c r="K1114" s="19"/>
      <c r="L1114" s="19">
        <f t="shared" si="11"/>
        <v>3.313333333</v>
      </c>
      <c r="M1114" s="19">
        <f t="shared" si="12"/>
        <v>3.426666667</v>
      </c>
      <c r="N1114" s="19">
        <f t="shared" si="13"/>
        <v>3.286666667</v>
      </c>
    </row>
    <row r="1115" ht="24.75" customHeight="1">
      <c r="A1115" s="21" t="s">
        <v>1078</v>
      </c>
      <c r="B1115" s="13">
        <f>IFERROR(__xludf.DUMMYFUNCTION("GOOGLEFINANCE(A1115,""PRICE"")"),941.75)</f>
        <v>941.75</v>
      </c>
      <c r="C1115" s="14">
        <f>IFERROR(__xludf.DUMMYFUNCTION("GOOGLEFINANCE(A1115,""PRICEOPEN"")"),942.0)</f>
        <v>942</v>
      </c>
      <c r="D1115" s="14">
        <f>IFERROR(__xludf.DUMMYFUNCTION("GOOGLEFINANCE(A1115,""HIGH"")"),951.0)</f>
        <v>951</v>
      </c>
      <c r="E1115" s="14">
        <f>IFERROR(__xludf.DUMMYFUNCTION("GOOGLEFINANCE(A1115,""LOW"")"),936.5)</f>
        <v>936.5</v>
      </c>
      <c r="F1115" s="15" t="str">
        <f t="shared" si="8"/>
        <v/>
      </c>
      <c r="G1115" s="16">
        <f>IFERROR(__xludf.DUMMYFUNCTION("GOOGLEFINANCE(A1115,""CLOSEYEST"")"),949.55)</f>
        <v>949.55</v>
      </c>
      <c r="H1115" s="17" t="str">
        <f t="shared" si="14"/>
        <v/>
      </c>
      <c r="I1115" s="18">
        <f t="shared" si="9"/>
        <v>945.6833333</v>
      </c>
      <c r="J1115" s="19">
        <f t="shared" si="10"/>
        <v>954.8666667</v>
      </c>
      <c r="K1115" s="19"/>
      <c r="L1115" s="19">
        <f t="shared" si="11"/>
        <v>940.3666667</v>
      </c>
      <c r="M1115" s="19">
        <f t="shared" si="12"/>
        <v>960.1833333</v>
      </c>
      <c r="N1115" s="19">
        <f t="shared" si="13"/>
        <v>931.1833333</v>
      </c>
    </row>
    <row r="1116" ht="24.75" customHeight="1">
      <c r="A1116" s="21" t="s">
        <v>1079</v>
      </c>
      <c r="B1116" s="13">
        <f>IFERROR(__xludf.DUMMYFUNCTION("GOOGLEFINANCE(A1116,""PRICE"")"),12.66)</f>
        <v>12.66</v>
      </c>
      <c r="C1116" s="14">
        <f>IFERROR(__xludf.DUMMYFUNCTION("GOOGLEFINANCE(A1116,""PRICEOPEN"")"),12.66)</f>
        <v>12.66</v>
      </c>
      <c r="D1116" s="14">
        <f>IFERROR(__xludf.DUMMYFUNCTION("GOOGLEFINANCE(A1116,""HIGH"")"),12.66)</f>
        <v>12.66</v>
      </c>
      <c r="E1116" s="14">
        <f>IFERROR(__xludf.DUMMYFUNCTION("GOOGLEFINANCE(A1116,""LOW"")"),12.66)</f>
        <v>12.66</v>
      </c>
      <c r="F1116" s="15" t="str">
        <f t="shared" si="8"/>
        <v>SELL</v>
      </c>
      <c r="G1116" s="16">
        <f>IFERROR(__xludf.DUMMYFUNCTION("GOOGLEFINANCE(A1116,""CLOSEYEST"")"),12.06)</f>
        <v>12.06</v>
      </c>
      <c r="H1116" s="17" t="str">
        <f t="shared" si="14"/>
        <v>GAP UP</v>
      </c>
      <c r="I1116" s="18">
        <f t="shared" si="9"/>
        <v>12.46</v>
      </c>
      <c r="J1116" s="19">
        <f t="shared" si="10"/>
        <v>12.26</v>
      </c>
      <c r="K1116" s="19"/>
      <c r="L1116" s="19">
        <f t="shared" si="11"/>
        <v>12.26</v>
      </c>
      <c r="M1116" s="19">
        <f t="shared" si="12"/>
        <v>12.46</v>
      </c>
      <c r="N1116" s="19">
        <f t="shared" si="13"/>
        <v>12.46</v>
      </c>
    </row>
    <row r="1117" ht="24.75" customHeight="1">
      <c r="A1117" s="21" t="s">
        <v>1080</v>
      </c>
      <c r="B1117" s="13">
        <f>IFERROR(__xludf.DUMMYFUNCTION("GOOGLEFINANCE(A1117,""PRICE"")"),240.0)</f>
        <v>240</v>
      </c>
      <c r="C1117" s="14">
        <f>IFERROR(__xludf.DUMMYFUNCTION("GOOGLEFINANCE(A1117,""PRICEOPEN"")"),241.69)</f>
        <v>241.69</v>
      </c>
      <c r="D1117" s="14">
        <f>IFERROR(__xludf.DUMMYFUNCTION("GOOGLEFINANCE(A1117,""HIGH"")"),241.69)</f>
        <v>241.69</v>
      </c>
      <c r="E1117" s="14">
        <f>IFERROR(__xludf.DUMMYFUNCTION("GOOGLEFINANCE(A1117,""LOW"")"),234.0)</f>
        <v>234</v>
      </c>
      <c r="F1117" s="15" t="str">
        <f t="shared" si="8"/>
        <v>SELL</v>
      </c>
      <c r="G1117" s="16">
        <f>IFERROR(__xludf.DUMMYFUNCTION("GOOGLEFINANCE(A1117,""CLOSEYEST"")"),236.89)</f>
        <v>236.89</v>
      </c>
      <c r="H1117" s="17" t="str">
        <f t="shared" si="14"/>
        <v>GAP UP</v>
      </c>
      <c r="I1117" s="18">
        <f t="shared" si="9"/>
        <v>237.5266667</v>
      </c>
      <c r="J1117" s="19">
        <f t="shared" si="10"/>
        <v>241.0533333</v>
      </c>
      <c r="K1117" s="19"/>
      <c r="L1117" s="19">
        <f t="shared" si="11"/>
        <v>233.3633333</v>
      </c>
      <c r="M1117" s="19">
        <f t="shared" si="12"/>
        <v>245.2166667</v>
      </c>
      <c r="N1117" s="19">
        <f t="shared" si="13"/>
        <v>229.8366667</v>
      </c>
    </row>
    <row r="1118" ht="24.75" customHeight="1">
      <c r="A1118" s="21" t="s">
        <v>1081</v>
      </c>
      <c r="B1118" s="13">
        <f>IFERROR(__xludf.DUMMYFUNCTION("GOOGLEFINANCE(A1118,""PRICE"")"),2.22)</f>
        <v>2.22</v>
      </c>
      <c r="C1118" s="14">
        <f>IFERROR(__xludf.DUMMYFUNCTION("GOOGLEFINANCE(A1118,""PRICEOPEN"")"),2.2)</f>
        <v>2.2</v>
      </c>
      <c r="D1118" s="14">
        <f>IFERROR(__xludf.DUMMYFUNCTION("GOOGLEFINANCE(A1118,""HIGH"")"),2.22)</f>
        <v>2.22</v>
      </c>
      <c r="E1118" s="14">
        <f>IFERROR(__xludf.DUMMYFUNCTION("GOOGLEFINANCE(A1118,""LOW"")"),2.19)</f>
        <v>2.19</v>
      </c>
      <c r="F1118" s="15" t="str">
        <f t="shared" si="8"/>
        <v/>
      </c>
      <c r="G1118" s="16">
        <f>IFERROR(__xludf.DUMMYFUNCTION("GOOGLEFINANCE(A1118,""CLOSEYEST"")"),2.2)</f>
        <v>2.2</v>
      </c>
      <c r="H1118" s="17" t="str">
        <f t="shared" si="14"/>
        <v/>
      </c>
      <c r="I1118" s="18">
        <f t="shared" si="9"/>
        <v>2.203333333</v>
      </c>
      <c r="J1118" s="19">
        <f t="shared" si="10"/>
        <v>2.216666667</v>
      </c>
      <c r="K1118" s="19"/>
      <c r="L1118" s="19">
        <f t="shared" si="11"/>
        <v>2.186666667</v>
      </c>
      <c r="M1118" s="19">
        <f t="shared" si="12"/>
        <v>2.233333333</v>
      </c>
      <c r="N1118" s="19">
        <f t="shared" si="13"/>
        <v>2.173333333</v>
      </c>
    </row>
    <row r="1119" ht="24.75" customHeight="1">
      <c r="A1119" s="21" t="s">
        <v>1082</v>
      </c>
      <c r="B1119" s="13">
        <f>IFERROR(__xludf.DUMMYFUNCTION("GOOGLEFINANCE(A1119,""PRICE"")"),274.0)</f>
        <v>274</v>
      </c>
      <c r="C1119" s="14">
        <f>IFERROR(__xludf.DUMMYFUNCTION("GOOGLEFINANCE(A1119,""PRICEOPEN"")"),238.0)</f>
        <v>238</v>
      </c>
      <c r="D1119" s="14">
        <f>IFERROR(__xludf.DUMMYFUNCTION("GOOGLEFINANCE(A1119,""HIGH"")"),274.8)</f>
        <v>274.8</v>
      </c>
      <c r="E1119" s="14">
        <f>IFERROR(__xludf.DUMMYFUNCTION("GOOGLEFINANCE(A1119,""LOW"")"),236.05)</f>
        <v>236.05</v>
      </c>
      <c r="F1119" s="15" t="str">
        <f t="shared" si="8"/>
        <v/>
      </c>
      <c r="G1119" s="16">
        <f>IFERROR(__xludf.DUMMYFUNCTION("GOOGLEFINANCE(A1119,""CLOSEYEST"")"),231.57)</f>
        <v>231.57</v>
      </c>
      <c r="H1119" s="17" t="str">
        <f t="shared" si="14"/>
        <v>GAP UP</v>
      </c>
      <c r="I1119" s="18">
        <f t="shared" si="9"/>
        <v>247.4733333</v>
      </c>
      <c r="J1119" s="19">
        <f t="shared" si="10"/>
        <v>258.8966667</v>
      </c>
      <c r="K1119" s="19"/>
      <c r="L1119" s="19">
        <f t="shared" si="11"/>
        <v>220.1466667</v>
      </c>
      <c r="M1119" s="19">
        <f t="shared" si="12"/>
        <v>286.2233333</v>
      </c>
      <c r="N1119" s="19">
        <f t="shared" si="13"/>
        <v>208.7233333</v>
      </c>
    </row>
    <row r="1120" ht="24.75" customHeight="1">
      <c r="A1120" s="21" t="s">
        <v>1083</v>
      </c>
      <c r="B1120" s="13">
        <f>IFERROR(__xludf.DUMMYFUNCTION("GOOGLEFINANCE(A1120,""PRICE"")"),61.6)</f>
        <v>61.6</v>
      </c>
      <c r="C1120" s="14">
        <f>IFERROR(__xludf.DUMMYFUNCTION("GOOGLEFINANCE(A1120,""PRICEOPEN"")"),61.35)</f>
        <v>61.35</v>
      </c>
      <c r="D1120" s="14">
        <f>IFERROR(__xludf.DUMMYFUNCTION("GOOGLEFINANCE(A1120,""HIGH"")"),61.99)</f>
        <v>61.99</v>
      </c>
      <c r="E1120" s="14">
        <f>IFERROR(__xludf.DUMMYFUNCTION("GOOGLEFINANCE(A1120,""LOW"")"),61.3)</f>
        <v>61.3</v>
      </c>
      <c r="F1120" s="15" t="str">
        <f t="shared" si="8"/>
        <v/>
      </c>
      <c r="G1120" s="16">
        <f>IFERROR(__xludf.DUMMYFUNCTION("GOOGLEFINANCE(A1120,""CLOSEYEST"")"),61.31)</f>
        <v>61.31</v>
      </c>
      <c r="H1120" s="17" t="str">
        <f t="shared" si="14"/>
        <v/>
      </c>
      <c r="I1120" s="18">
        <f t="shared" si="9"/>
        <v>61.53333333</v>
      </c>
      <c r="J1120" s="19">
        <f t="shared" si="10"/>
        <v>61.76666667</v>
      </c>
      <c r="K1120" s="19"/>
      <c r="L1120" s="19">
        <f t="shared" si="11"/>
        <v>61.07666667</v>
      </c>
      <c r="M1120" s="19">
        <f t="shared" si="12"/>
        <v>62.22333333</v>
      </c>
      <c r="N1120" s="19">
        <f t="shared" si="13"/>
        <v>60.84333333</v>
      </c>
    </row>
    <row r="1121" ht="24.75" customHeight="1">
      <c r="A1121" s="21" t="s">
        <v>1084</v>
      </c>
      <c r="B1121" s="13" t="str">
        <f>IFERROR(__xludf.DUMMYFUNCTION("GOOGLEFINANCE(A1121,""PRICE"")"),"#N/A")</f>
        <v>#N/A</v>
      </c>
      <c r="C1121" s="14" t="str">
        <f>IFERROR(__xludf.DUMMYFUNCTION("GOOGLEFINANCE(A1121,""PRICEOPEN"")"),"#N/A")</f>
        <v>#N/A</v>
      </c>
      <c r="D1121" s="14" t="str">
        <f>IFERROR(__xludf.DUMMYFUNCTION("GOOGLEFINANCE(A1121,""HIGH"")"),"#N/A")</f>
        <v>#N/A</v>
      </c>
      <c r="E1121" s="14" t="str">
        <f>IFERROR(__xludf.DUMMYFUNCTION("GOOGLEFINANCE(A1121,""LOW"")"),"#N/A")</f>
        <v>#N/A</v>
      </c>
      <c r="F1121" s="15" t="str">
        <f t="shared" si="8"/>
        <v>#N/A</v>
      </c>
      <c r="G1121" s="16" t="str">
        <f>IFERROR(__xludf.DUMMYFUNCTION("GOOGLEFINANCE(A1121,""CLOSEYEST"")"),"#N/A")</f>
        <v>#N/A</v>
      </c>
      <c r="H1121" s="17" t="str">
        <f t="shared" si="14"/>
        <v>#N/A</v>
      </c>
      <c r="I1121" s="18" t="str">
        <f t="shared" si="9"/>
        <v>#N/A</v>
      </c>
      <c r="J1121" s="19" t="str">
        <f t="shared" si="10"/>
        <v>#N/A</v>
      </c>
      <c r="K1121" s="19"/>
      <c r="L1121" s="19" t="str">
        <f t="shared" si="11"/>
        <v>#N/A</v>
      </c>
      <c r="M1121" s="19" t="str">
        <f t="shared" si="12"/>
        <v>#N/A</v>
      </c>
      <c r="N1121" s="19" t="str">
        <f t="shared" si="13"/>
        <v>#N/A</v>
      </c>
    </row>
    <row r="1122" ht="24.75" customHeight="1">
      <c r="A1122" s="21" t="s">
        <v>1085</v>
      </c>
      <c r="B1122" s="13">
        <f>IFERROR(__xludf.DUMMYFUNCTION("GOOGLEFINANCE(A1122,""PRICE"")"),85.24)</f>
        <v>85.24</v>
      </c>
      <c r="C1122" s="14">
        <f>IFERROR(__xludf.DUMMYFUNCTION("GOOGLEFINANCE(A1122,""PRICEOPEN"")"),85.1)</f>
        <v>85.1</v>
      </c>
      <c r="D1122" s="14">
        <f>IFERROR(__xludf.DUMMYFUNCTION("GOOGLEFINANCE(A1122,""HIGH"")"),85.92)</f>
        <v>85.92</v>
      </c>
      <c r="E1122" s="14">
        <f>IFERROR(__xludf.DUMMYFUNCTION("GOOGLEFINANCE(A1122,""LOW"")"),83.95)</f>
        <v>83.95</v>
      </c>
      <c r="F1122" s="15" t="str">
        <f t="shared" si="8"/>
        <v/>
      </c>
      <c r="G1122" s="16">
        <f>IFERROR(__xludf.DUMMYFUNCTION("GOOGLEFINANCE(A1122,""CLOSEYEST"")"),85.06)</f>
        <v>85.06</v>
      </c>
      <c r="H1122" s="17" t="str">
        <f t="shared" si="14"/>
        <v/>
      </c>
      <c r="I1122" s="18">
        <f t="shared" si="9"/>
        <v>84.97666667</v>
      </c>
      <c r="J1122" s="19">
        <f t="shared" si="10"/>
        <v>86.00333333</v>
      </c>
      <c r="K1122" s="19"/>
      <c r="L1122" s="19">
        <f t="shared" si="11"/>
        <v>84.03333333</v>
      </c>
      <c r="M1122" s="19">
        <f t="shared" si="12"/>
        <v>86.94666667</v>
      </c>
      <c r="N1122" s="19">
        <f t="shared" si="13"/>
        <v>83.00666667</v>
      </c>
    </row>
    <row r="1123" ht="24.75" customHeight="1">
      <c r="A1123" s="21" t="s">
        <v>1086</v>
      </c>
      <c r="B1123" s="13">
        <f>IFERROR(__xludf.DUMMYFUNCTION("GOOGLEFINANCE(A1123,""PRICE"")"),1.3)</f>
        <v>1.3</v>
      </c>
      <c r="C1123" s="14">
        <f>IFERROR(__xludf.DUMMYFUNCTION("GOOGLEFINANCE(A1123,""PRICEOPEN"")"),1.23)</f>
        <v>1.23</v>
      </c>
      <c r="D1123" s="14">
        <f>IFERROR(__xludf.DUMMYFUNCTION("GOOGLEFINANCE(A1123,""HIGH"")"),1.3)</f>
        <v>1.3</v>
      </c>
      <c r="E1123" s="14">
        <f>IFERROR(__xludf.DUMMYFUNCTION("GOOGLEFINANCE(A1123,""LOW"")"),1.22)</f>
        <v>1.22</v>
      </c>
      <c r="F1123" s="15" t="str">
        <f t="shared" si="8"/>
        <v/>
      </c>
      <c r="G1123" s="16">
        <f>IFERROR(__xludf.DUMMYFUNCTION("GOOGLEFINANCE(A1123,""CLOSEYEST"")"),1.24)</f>
        <v>1.24</v>
      </c>
      <c r="H1123" s="17" t="str">
        <f t="shared" si="14"/>
        <v/>
      </c>
      <c r="I1123" s="18">
        <f t="shared" si="9"/>
        <v>1.253333333</v>
      </c>
      <c r="J1123" s="19">
        <f t="shared" si="10"/>
        <v>1.286666667</v>
      </c>
      <c r="K1123" s="19"/>
      <c r="L1123" s="19">
        <f t="shared" si="11"/>
        <v>1.206666667</v>
      </c>
      <c r="M1123" s="19">
        <f t="shared" si="12"/>
        <v>1.333333333</v>
      </c>
      <c r="N1123" s="19">
        <f t="shared" si="13"/>
        <v>1.173333333</v>
      </c>
    </row>
    <row r="1124" ht="24.75" customHeight="1">
      <c r="A1124" s="21" t="s">
        <v>1087</v>
      </c>
      <c r="B1124" s="13">
        <f>IFERROR(__xludf.DUMMYFUNCTION("GOOGLEFINANCE(A1124,""PRICE"")"),97.9)</f>
        <v>97.9</v>
      </c>
      <c r="C1124" s="14">
        <f>IFERROR(__xludf.DUMMYFUNCTION("GOOGLEFINANCE(A1124,""PRICEOPEN"")"),98.89)</f>
        <v>98.89</v>
      </c>
      <c r="D1124" s="14">
        <f>IFERROR(__xludf.DUMMYFUNCTION("GOOGLEFINANCE(A1124,""HIGH"")"),98.9)</f>
        <v>98.9</v>
      </c>
      <c r="E1124" s="14">
        <f>IFERROR(__xludf.DUMMYFUNCTION("GOOGLEFINANCE(A1124,""LOW"")"),96.2)</f>
        <v>96.2</v>
      </c>
      <c r="F1124" s="15" t="str">
        <f t="shared" si="8"/>
        <v/>
      </c>
      <c r="G1124" s="16">
        <f>IFERROR(__xludf.DUMMYFUNCTION("GOOGLEFINANCE(A1124,""CLOSEYEST"")"),97.23)</f>
        <v>97.23</v>
      </c>
      <c r="H1124" s="17" t="str">
        <f t="shared" si="14"/>
        <v>GAP UP</v>
      </c>
      <c r="I1124" s="18">
        <f t="shared" si="9"/>
        <v>97.44333333</v>
      </c>
      <c r="J1124" s="19">
        <f t="shared" si="10"/>
        <v>98.68666667</v>
      </c>
      <c r="K1124" s="19"/>
      <c r="L1124" s="19">
        <f t="shared" si="11"/>
        <v>95.98666667</v>
      </c>
      <c r="M1124" s="19">
        <f t="shared" si="12"/>
        <v>100.1433333</v>
      </c>
      <c r="N1124" s="19">
        <f t="shared" si="13"/>
        <v>94.74333333</v>
      </c>
    </row>
    <row r="1125" ht="24.75" customHeight="1">
      <c r="A1125" s="21" t="s">
        <v>1088</v>
      </c>
      <c r="B1125" s="13">
        <f>IFERROR(__xludf.DUMMYFUNCTION("GOOGLEFINANCE(A1125,""PRICE"")"),820.0)</f>
        <v>820</v>
      </c>
      <c r="C1125" s="14">
        <f>IFERROR(__xludf.DUMMYFUNCTION("GOOGLEFINANCE(A1125,""PRICEOPEN"")"),800.5)</f>
        <v>800.5</v>
      </c>
      <c r="D1125" s="14">
        <f>IFERROR(__xludf.DUMMYFUNCTION("GOOGLEFINANCE(A1125,""HIGH"")"),829.7)</f>
        <v>829.7</v>
      </c>
      <c r="E1125" s="14">
        <f>IFERROR(__xludf.DUMMYFUNCTION("GOOGLEFINANCE(A1125,""LOW"")"),792.6)</f>
        <v>792.6</v>
      </c>
      <c r="F1125" s="15" t="str">
        <f t="shared" si="8"/>
        <v/>
      </c>
      <c r="G1125" s="16">
        <f>IFERROR(__xludf.DUMMYFUNCTION("GOOGLEFINANCE(A1125,""CLOSEYEST"")"),790.0)</f>
        <v>790</v>
      </c>
      <c r="H1125" s="17" t="str">
        <f t="shared" si="14"/>
        <v>GAP UP</v>
      </c>
      <c r="I1125" s="18">
        <f t="shared" si="9"/>
        <v>804.1</v>
      </c>
      <c r="J1125" s="19">
        <f t="shared" si="10"/>
        <v>815.6</v>
      </c>
      <c r="K1125" s="19"/>
      <c r="L1125" s="19">
        <f t="shared" si="11"/>
        <v>778.5</v>
      </c>
      <c r="M1125" s="19">
        <f t="shared" si="12"/>
        <v>841.2</v>
      </c>
      <c r="N1125" s="19">
        <f t="shared" si="13"/>
        <v>767</v>
      </c>
    </row>
    <row r="1126" ht="24.75" customHeight="1">
      <c r="A1126" s="21" t="s">
        <v>1089</v>
      </c>
      <c r="B1126" s="13">
        <f>IFERROR(__xludf.DUMMYFUNCTION("GOOGLEFINANCE(A1126,""PRICE"")"),91.55)</f>
        <v>91.55</v>
      </c>
      <c r="C1126" s="14">
        <f>IFERROR(__xludf.DUMMYFUNCTION("GOOGLEFINANCE(A1126,""PRICEOPEN"")"),90.8)</f>
        <v>90.8</v>
      </c>
      <c r="D1126" s="14">
        <f>IFERROR(__xludf.DUMMYFUNCTION("GOOGLEFINANCE(A1126,""HIGH"")"),91.95)</f>
        <v>91.95</v>
      </c>
      <c r="E1126" s="14">
        <f>IFERROR(__xludf.DUMMYFUNCTION("GOOGLEFINANCE(A1126,""LOW"")"),90.0)</f>
        <v>90</v>
      </c>
      <c r="F1126" s="15" t="str">
        <f t="shared" si="8"/>
        <v/>
      </c>
      <c r="G1126" s="16">
        <f>IFERROR(__xludf.DUMMYFUNCTION("GOOGLEFINANCE(A1126,""CLOSEYEST"")"),90.81)</f>
        <v>90.81</v>
      </c>
      <c r="H1126" s="17" t="str">
        <f t="shared" si="14"/>
        <v/>
      </c>
      <c r="I1126" s="18">
        <f t="shared" si="9"/>
        <v>90.92</v>
      </c>
      <c r="J1126" s="19">
        <f t="shared" si="10"/>
        <v>91.84</v>
      </c>
      <c r="K1126" s="19"/>
      <c r="L1126" s="19">
        <f t="shared" si="11"/>
        <v>89.89</v>
      </c>
      <c r="M1126" s="19">
        <f t="shared" si="12"/>
        <v>92.87</v>
      </c>
      <c r="N1126" s="19">
        <f t="shared" si="13"/>
        <v>88.97</v>
      </c>
    </row>
    <row r="1127" ht="24.75" customHeight="1">
      <c r="A1127" s="21" t="s">
        <v>1090</v>
      </c>
      <c r="B1127" s="13">
        <f>IFERROR(__xludf.DUMMYFUNCTION("GOOGLEFINANCE(A1127,""PRICE"")"),187.5)</f>
        <v>187.5</v>
      </c>
      <c r="C1127" s="14">
        <f>IFERROR(__xludf.DUMMYFUNCTION("GOOGLEFINANCE(A1127,""PRICEOPEN"")"),185.64)</f>
        <v>185.64</v>
      </c>
      <c r="D1127" s="14">
        <f>IFERROR(__xludf.DUMMYFUNCTION("GOOGLEFINANCE(A1127,""HIGH"")"),189.02)</f>
        <v>189.02</v>
      </c>
      <c r="E1127" s="14">
        <f>IFERROR(__xludf.DUMMYFUNCTION("GOOGLEFINANCE(A1127,""LOW"")"),185.64)</f>
        <v>185.64</v>
      </c>
      <c r="F1127" s="15" t="str">
        <f t="shared" si="8"/>
        <v>BUY</v>
      </c>
      <c r="G1127" s="16">
        <f>IFERROR(__xludf.DUMMYFUNCTION("GOOGLEFINANCE(A1127,""CLOSEYEST"")"),185.64)</f>
        <v>185.64</v>
      </c>
      <c r="H1127" s="17" t="str">
        <f t="shared" si="14"/>
        <v/>
      </c>
      <c r="I1127" s="18">
        <f t="shared" si="9"/>
        <v>186.7666667</v>
      </c>
      <c r="J1127" s="19">
        <f t="shared" si="10"/>
        <v>187.8933333</v>
      </c>
      <c r="K1127" s="19"/>
      <c r="L1127" s="19">
        <f t="shared" si="11"/>
        <v>184.5133333</v>
      </c>
      <c r="M1127" s="19">
        <f t="shared" si="12"/>
        <v>190.1466667</v>
      </c>
      <c r="N1127" s="19">
        <f t="shared" si="13"/>
        <v>183.3866667</v>
      </c>
    </row>
    <row r="1128" ht="24.75" customHeight="1">
      <c r="A1128" s="21" t="s">
        <v>1091</v>
      </c>
      <c r="B1128" s="13" t="str">
        <f>IFERROR(__xludf.DUMMYFUNCTION("GOOGLEFINANCE(A1128,""PRICE"")"),"#N/A")</f>
        <v>#N/A</v>
      </c>
      <c r="C1128" s="14" t="str">
        <f>IFERROR(__xludf.DUMMYFUNCTION("GOOGLEFINANCE(A1128,""PRICEOPEN"")"),"#N/A")</f>
        <v>#N/A</v>
      </c>
      <c r="D1128" s="14" t="str">
        <f>IFERROR(__xludf.DUMMYFUNCTION("GOOGLEFINANCE(A1128,""HIGH"")"),"#N/A")</f>
        <v>#N/A</v>
      </c>
      <c r="E1128" s="14" t="str">
        <f>IFERROR(__xludf.DUMMYFUNCTION("GOOGLEFINANCE(A1128,""LOW"")"),"#N/A")</f>
        <v>#N/A</v>
      </c>
      <c r="F1128" s="15" t="str">
        <f t="shared" si="8"/>
        <v>#N/A</v>
      </c>
      <c r="G1128" s="16" t="str">
        <f>IFERROR(__xludf.DUMMYFUNCTION("GOOGLEFINANCE(A1128,""CLOSEYEST"")"),"#N/A")</f>
        <v>#N/A</v>
      </c>
      <c r="H1128" s="17" t="str">
        <f t="shared" si="14"/>
        <v>#N/A</v>
      </c>
      <c r="I1128" s="18" t="str">
        <f t="shared" si="9"/>
        <v>#N/A</v>
      </c>
      <c r="J1128" s="19" t="str">
        <f t="shared" si="10"/>
        <v>#N/A</v>
      </c>
      <c r="K1128" s="19"/>
      <c r="L1128" s="19" t="str">
        <f t="shared" si="11"/>
        <v>#N/A</v>
      </c>
      <c r="M1128" s="19" t="str">
        <f t="shared" si="12"/>
        <v>#N/A</v>
      </c>
      <c r="N1128" s="19" t="str">
        <f t="shared" si="13"/>
        <v>#N/A</v>
      </c>
    </row>
    <row r="1129" ht="24.75" customHeight="1">
      <c r="A1129" s="21" t="s">
        <v>1092</v>
      </c>
      <c r="B1129" s="13">
        <f>IFERROR(__xludf.DUMMYFUNCTION("GOOGLEFINANCE(A1129,""PRICE"")"),109.99)</f>
        <v>109.99</v>
      </c>
      <c r="C1129" s="14">
        <f>IFERROR(__xludf.DUMMYFUNCTION("GOOGLEFINANCE(A1129,""PRICEOPEN"")"),110.69)</f>
        <v>110.69</v>
      </c>
      <c r="D1129" s="14">
        <f>IFERROR(__xludf.DUMMYFUNCTION("GOOGLEFINANCE(A1129,""HIGH"")"),111.0)</f>
        <v>111</v>
      </c>
      <c r="E1129" s="14">
        <f>IFERROR(__xludf.DUMMYFUNCTION("GOOGLEFINANCE(A1129,""LOW"")"),109.0)</f>
        <v>109</v>
      </c>
      <c r="F1129" s="15" t="str">
        <f t="shared" si="8"/>
        <v/>
      </c>
      <c r="G1129" s="16">
        <f>IFERROR(__xludf.DUMMYFUNCTION("GOOGLEFINANCE(A1129,""CLOSEYEST"")"),110.42)</f>
        <v>110.42</v>
      </c>
      <c r="H1129" s="17" t="str">
        <f t="shared" si="14"/>
        <v/>
      </c>
      <c r="I1129" s="18">
        <f t="shared" si="9"/>
        <v>110.14</v>
      </c>
      <c r="J1129" s="19">
        <f t="shared" si="10"/>
        <v>111.28</v>
      </c>
      <c r="K1129" s="19"/>
      <c r="L1129" s="19">
        <f t="shared" si="11"/>
        <v>109.28</v>
      </c>
      <c r="M1129" s="19">
        <f t="shared" si="12"/>
        <v>112.14</v>
      </c>
      <c r="N1129" s="19">
        <f t="shared" si="13"/>
        <v>108.14</v>
      </c>
    </row>
    <row r="1130" ht="24.75" customHeight="1">
      <c r="A1130" s="21" t="s">
        <v>1093</v>
      </c>
      <c r="B1130" s="13">
        <f>IFERROR(__xludf.DUMMYFUNCTION("GOOGLEFINANCE(A1130,""PRICE"")"),93.26)</f>
        <v>93.26</v>
      </c>
      <c r="C1130" s="14">
        <f>IFERROR(__xludf.DUMMYFUNCTION("GOOGLEFINANCE(A1130,""PRICEOPEN"")"),94.2)</f>
        <v>94.2</v>
      </c>
      <c r="D1130" s="14">
        <f>IFERROR(__xludf.DUMMYFUNCTION("GOOGLEFINANCE(A1130,""HIGH"")"),94.59)</f>
        <v>94.59</v>
      </c>
      <c r="E1130" s="14">
        <f>IFERROR(__xludf.DUMMYFUNCTION("GOOGLEFINANCE(A1130,""LOW"")"),92.4)</f>
        <v>92.4</v>
      </c>
      <c r="F1130" s="15" t="str">
        <f t="shared" si="8"/>
        <v/>
      </c>
      <c r="G1130" s="16">
        <f>IFERROR(__xludf.DUMMYFUNCTION("GOOGLEFINANCE(A1130,""CLOSEYEST"")"),93.8)</f>
        <v>93.8</v>
      </c>
      <c r="H1130" s="17" t="str">
        <f t="shared" si="14"/>
        <v/>
      </c>
      <c r="I1130" s="18">
        <f t="shared" si="9"/>
        <v>93.59666667</v>
      </c>
      <c r="J1130" s="19">
        <f t="shared" si="10"/>
        <v>94.79333333</v>
      </c>
      <c r="K1130" s="19"/>
      <c r="L1130" s="19">
        <f t="shared" si="11"/>
        <v>92.60333333</v>
      </c>
      <c r="M1130" s="19">
        <f t="shared" si="12"/>
        <v>95.78666667</v>
      </c>
      <c r="N1130" s="19">
        <f t="shared" si="13"/>
        <v>91.40666667</v>
      </c>
    </row>
    <row r="1131" ht="24.75" customHeight="1">
      <c r="A1131" s="21" t="s">
        <v>1094</v>
      </c>
      <c r="B1131" s="13">
        <f>IFERROR(__xludf.DUMMYFUNCTION("GOOGLEFINANCE(A1131,""PRICE"")"),8.08)</f>
        <v>8.08</v>
      </c>
      <c r="C1131" s="14">
        <f>IFERROR(__xludf.DUMMYFUNCTION("GOOGLEFINANCE(A1131,""PRICEOPEN"")"),8.28)</f>
        <v>8.28</v>
      </c>
      <c r="D1131" s="14">
        <f>IFERROR(__xludf.DUMMYFUNCTION("GOOGLEFINANCE(A1131,""HIGH"")"),8.3)</f>
        <v>8.3</v>
      </c>
      <c r="E1131" s="14">
        <f>IFERROR(__xludf.DUMMYFUNCTION("GOOGLEFINANCE(A1131,""LOW"")"),8.01)</f>
        <v>8.01</v>
      </c>
      <c r="F1131" s="15" t="str">
        <f t="shared" si="8"/>
        <v/>
      </c>
      <c r="G1131" s="16">
        <f>IFERROR(__xludf.DUMMYFUNCTION("GOOGLEFINANCE(A1131,""CLOSEYEST"")"),8.12)</f>
        <v>8.12</v>
      </c>
      <c r="H1131" s="17" t="str">
        <f t="shared" si="14"/>
        <v>GAP UP</v>
      </c>
      <c r="I1131" s="18">
        <f t="shared" si="9"/>
        <v>8.143333333</v>
      </c>
      <c r="J1131" s="19">
        <f t="shared" si="10"/>
        <v>8.276666667</v>
      </c>
      <c r="K1131" s="19"/>
      <c r="L1131" s="19">
        <f t="shared" si="11"/>
        <v>7.986666667</v>
      </c>
      <c r="M1131" s="19">
        <f t="shared" si="12"/>
        <v>8.433333333</v>
      </c>
      <c r="N1131" s="19">
        <f t="shared" si="13"/>
        <v>7.853333333</v>
      </c>
    </row>
    <row r="1132" ht="24.75" customHeight="1">
      <c r="A1132" s="21" t="s">
        <v>1095</v>
      </c>
      <c r="B1132" s="13">
        <f>IFERROR(__xludf.DUMMYFUNCTION("GOOGLEFINANCE(A1132,""PRICE"")"),15.37)</f>
        <v>15.37</v>
      </c>
      <c r="C1132" s="14">
        <f>IFERROR(__xludf.DUMMYFUNCTION("GOOGLEFINANCE(A1132,""PRICEOPEN"")"),15.17)</f>
        <v>15.17</v>
      </c>
      <c r="D1132" s="14">
        <f>IFERROR(__xludf.DUMMYFUNCTION("GOOGLEFINANCE(A1132,""HIGH"")"),15.42)</f>
        <v>15.42</v>
      </c>
      <c r="E1132" s="14">
        <f>IFERROR(__xludf.DUMMYFUNCTION("GOOGLEFINANCE(A1132,""LOW"")"),15.08)</f>
        <v>15.08</v>
      </c>
      <c r="F1132" s="15" t="str">
        <f t="shared" si="8"/>
        <v/>
      </c>
      <c r="G1132" s="16">
        <f>IFERROR(__xludf.DUMMYFUNCTION("GOOGLEFINANCE(A1132,""CLOSEYEST"")"),15.08)</f>
        <v>15.08</v>
      </c>
      <c r="H1132" s="17" t="str">
        <f t="shared" si="14"/>
        <v/>
      </c>
      <c r="I1132" s="18">
        <f t="shared" si="9"/>
        <v>15.19333333</v>
      </c>
      <c r="J1132" s="19">
        <f t="shared" si="10"/>
        <v>15.30666667</v>
      </c>
      <c r="K1132" s="19"/>
      <c r="L1132" s="19">
        <f t="shared" si="11"/>
        <v>14.96666667</v>
      </c>
      <c r="M1132" s="19">
        <f t="shared" si="12"/>
        <v>15.53333333</v>
      </c>
      <c r="N1132" s="19">
        <f t="shared" si="13"/>
        <v>14.85333333</v>
      </c>
    </row>
    <row r="1133" ht="24.75" customHeight="1">
      <c r="A1133" s="21" t="s">
        <v>1096</v>
      </c>
      <c r="B1133" s="13">
        <f>IFERROR(__xludf.DUMMYFUNCTION("GOOGLEFINANCE(A1133,""PRICE"")"),376.15)</f>
        <v>376.15</v>
      </c>
      <c r="C1133" s="14">
        <f>IFERROR(__xludf.DUMMYFUNCTION("GOOGLEFINANCE(A1133,""PRICEOPEN"")"),369.0)</f>
        <v>369</v>
      </c>
      <c r="D1133" s="14">
        <f>IFERROR(__xludf.DUMMYFUNCTION("GOOGLEFINANCE(A1133,""HIGH"")"),381.8)</f>
        <v>381.8</v>
      </c>
      <c r="E1133" s="14">
        <f>IFERROR(__xludf.DUMMYFUNCTION("GOOGLEFINANCE(A1133,""LOW"")"),366.5)</f>
        <v>366.5</v>
      </c>
      <c r="F1133" s="15" t="str">
        <f t="shared" si="8"/>
        <v/>
      </c>
      <c r="G1133" s="16">
        <f>IFERROR(__xludf.DUMMYFUNCTION("GOOGLEFINANCE(A1133,""CLOSEYEST"")"),366.3)</f>
        <v>366.3</v>
      </c>
      <c r="H1133" s="17" t="str">
        <f t="shared" si="14"/>
        <v/>
      </c>
      <c r="I1133" s="18">
        <f t="shared" si="9"/>
        <v>371.5333333</v>
      </c>
      <c r="J1133" s="19">
        <f t="shared" si="10"/>
        <v>376.5666667</v>
      </c>
      <c r="K1133" s="19"/>
      <c r="L1133" s="19">
        <f t="shared" si="11"/>
        <v>361.2666667</v>
      </c>
      <c r="M1133" s="19">
        <f t="shared" si="12"/>
        <v>386.8333333</v>
      </c>
      <c r="N1133" s="19">
        <f t="shared" si="13"/>
        <v>356.2333333</v>
      </c>
    </row>
    <row r="1134" ht="24.75" customHeight="1">
      <c r="A1134" s="21" t="s">
        <v>1097</v>
      </c>
      <c r="B1134" s="13">
        <f>IFERROR(__xludf.DUMMYFUNCTION("GOOGLEFINANCE(A1134,""PRICE"")"),151.25)</f>
        <v>151.25</v>
      </c>
      <c r="C1134" s="14">
        <f>IFERROR(__xludf.DUMMYFUNCTION("GOOGLEFINANCE(A1134,""PRICEOPEN"")"),145.59)</f>
        <v>145.59</v>
      </c>
      <c r="D1134" s="14">
        <f>IFERROR(__xludf.DUMMYFUNCTION("GOOGLEFINANCE(A1134,""HIGH"")"),153.9)</f>
        <v>153.9</v>
      </c>
      <c r="E1134" s="14">
        <f>IFERROR(__xludf.DUMMYFUNCTION("GOOGLEFINANCE(A1134,""LOW"")"),145.19)</f>
        <v>145.19</v>
      </c>
      <c r="F1134" s="15" t="str">
        <f t="shared" si="8"/>
        <v/>
      </c>
      <c r="G1134" s="16">
        <f>IFERROR(__xludf.DUMMYFUNCTION("GOOGLEFINANCE(A1134,""CLOSEYEST"")"),144.99)</f>
        <v>144.99</v>
      </c>
      <c r="H1134" s="17" t="str">
        <f t="shared" si="14"/>
        <v/>
      </c>
      <c r="I1134" s="18">
        <f t="shared" si="9"/>
        <v>148.0266667</v>
      </c>
      <c r="J1134" s="19">
        <f t="shared" si="10"/>
        <v>150.8633333</v>
      </c>
      <c r="K1134" s="19"/>
      <c r="L1134" s="19">
        <f t="shared" si="11"/>
        <v>142.1533333</v>
      </c>
      <c r="M1134" s="19">
        <f t="shared" si="12"/>
        <v>156.7366667</v>
      </c>
      <c r="N1134" s="19">
        <f t="shared" si="13"/>
        <v>139.3166667</v>
      </c>
    </row>
    <row r="1135" ht="24.75" customHeight="1">
      <c r="A1135" s="21" t="s">
        <v>1098</v>
      </c>
      <c r="B1135" s="13">
        <f>IFERROR(__xludf.DUMMYFUNCTION("GOOGLEFINANCE(A1135,""PRICE"")"),27.0)</f>
        <v>27</v>
      </c>
      <c r="C1135" s="14">
        <f>IFERROR(__xludf.DUMMYFUNCTION("GOOGLEFINANCE(A1135,""PRICEOPEN"")"),25.64)</f>
        <v>25.64</v>
      </c>
      <c r="D1135" s="14">
        <f>IFERROR(__xludf.DUMMYFUNCTION("GOOGLEFINANCE(A1135,""HIGH"")"),27.03)</f>
        <v>27.03</v>
      </c>
      <c r="E1135" s="14">
        <f>IFERROR(__xludf.DUMMYFUNCTION("GOOGLEFINANCE(A1135,""LOW"")"),25.64)</f>
        <v>25.64</v>
      </c>
      <c r="F1135" s="15" t="str">
        <f t="shared" si="8"/>
        <v>BUY</v>
      </c>
      <c r="G1135" s="16">
        <f>IFERROR(__xludf.DUMMYFUNCTION("GOOGLEFINANCE(A1135,""CLOSEYEST"")"),25.81)</f>
        <v>25.81</v>
      </c>
      <c r="H1135" s="17" t="str">
        <f t="shared" si="14"/>
        <v/>
      </c>
      <c r="I1135" s="18">
        <f t="shared" si="9"/>
        <v>26.16</v>
      </c>
      <c r="J1135" s="19">
        <f t="shared" si="10"/>
        <v>26.68</v>
      </c>
      <c r="K1135" s="19"/>
      <c r="L1135" s="19">
        <f t="shared" si="11"/>
        <v>25.29</v>
      </c>
      <c r="M1135" s="19">
        <f t="shared" si="12"/>
        <v>27.55</v>
      </c>
      <c r="N1135" s="19">
        <f t="shared" si="13"/>
        <v>24.77</v>
      </c>
    </row>
    <row r="1136" ht="24.75" customHeight="1">
      <c r="A1136" s="21" t="s">
        <v>1099</v>
      </c>
      <c r="B1136" s="13">
        <f>IFERROR(__xludf.DUMMYFUNCTION("GOOGLEFINANCE(A1136,""PRICE"")"),445.0)</f>
        <v>445</v>
      </c>
      <c r="C1136" s="14">
        <f>IFERROR(__xludf.DUMMYFUNCTION("GOOGLEFINANCE(A1136,""PRICEOPEN"")"),451.9)</f>
        <v>451.9</v>
      </c>
      <c r="D1136" s="14">
        <f>IFERROR(__xludf.DUMMYFUNCTION("GOOGLEFINANCE(A1136,""HIGH"")"),451.9)</f>
        <v>451.9</v>
      </c>
      <c r="E1136" s="14">
        <f>IFERROR(__xludf.DUMMYFUNCTION("GOOGLEFINANCE(A1136,""LOW"")"),440.0)</f>
        <v>440</v>
      </c>
      <c r="F1136" s="15" t="str">
        <f t="shared" si="8"/>
        <v>SELL</v>
      </c>
      <c r="G1136" s="16">
        <f>IFERROR(__xludf.DUMMYFUNCTION("GOOGLEFINANCE(A1136,""CLOSEYEST"")"),444.95)</f>
        <v>444.95</v>
      </c>
      <c r="H1136" s="17" t="str">
        <f t="shared" si="14"/>
        <v>GAP UP</v>
      </c>
      <c r="I1136" s="18">
        <f t="shared" si="9"/>
        <v>445.6166667</v>
      </c>
      <c r="J1136" s="19">
        <f t="shared" si="10"/>
        <v>451.2333333</v>
      </c>
      <c r="K1136" s="19"/>
      <c r="L1136" s="19">
        <f t="shared" si="11"/>
        <v>439.3333333</v>
      </c>
      <c r="M1136" s="19">
        <f t="shared" si="12"/>
        <v>457.5166667</v>
      </c>
      <c r="N1136" s="19">
        <f t="shared" si="13"/>
        <v>433.7166667</v>
      </c>
    </row>
    <row r="1137" ht="24.75" customHeight="1">
      <c r="A1137" s="21" t="s">
        <v>1100</v>
      </c>
      <c r="B1137" s="13">
        <f>IFERROR(__xludf.DUMMYFUNCTION("GOOGLEFINANCE(A1137,""PRICE"")"),116.7)</f>
        <v>116.7</v>
      </c>
      <c r="C1137" s="14">
        <f>IFERROR(__xludf.DUMMYFUNCTION("GOOGLEFINANCE(A1137,""PRICEOPEN"")"),118.46)</f>
        <v>118.46</v>
      </c>
      <c r="D1137" s="14">
        <f>IFERROR(__xludf.DUMMYFUNCTION("GOOGLEFINANCE(A1137,""HIGH"")"),119.08)</f>
        <v>119.08</v>
      </c>
      <c r="E1137" s="14">
        <f>IFERROR(__xludf.DUMMYFUNCTION("GOOGLEFINANCE(A1137,""LOW"")"),115.1)</f>
        <v>115.1</v>
      </c>
      <c r="F1137" s="15" t="str">
        <f t="shared" si="8"/>
        <v/>
      </c>
      <c r="G1137" s="16">
        <f>IFERROR(__xludf.DUMMYFUNCTION("GOOGLEFINANCE(A1137,""CLOSEYEST"")"),115.24)</f>
        <v>115.24</v>
      </c>
      <c r="H1137" s="17" t="str">
        <f t="shared" si="14"/>
        <v>GAP UP</v>
      </c>
      <c r="I1137" s="18">
        <f t="shared" si="9"/>
        <v>116.4733333</v>
      </c>
      <c r="J1137" s="19">
        <f t="shared" si="10"/>
        <v>117.8466667</v>
      </c>
      <c r="K1137" s="19"/>
      <c r="L1137" s="19">
        <f t="shared" si="11"/>
        <v>113.8666667</v>
      </c>
      <c r="M1137" s="19">
        <f t="shared" si="12"/>
        <v>120.4533333</v>
      </c>
      <c r="N1137" s="19">
        <f t="shared" si="13"/>
        <v>112.4933333</v>
      </c>
    </row>
    <row r="1138" ht="24.75" customHeight="1">
      <c r="A1138" s="21" t="s">
        <v>1101</v>
      </c>
      <c r="B1138" s="13">
        <f>IFERROR(__xludf.DUMMYFUNCTION("GOOGLEFINANCE(A1138,""PRICE"")"),28.3)</f>
        <v>28.3</v>
      </c>
      <c r="C1138" s="14">
        <f>IFERROR(__xludf.DUMMYFUNCTION("GOOGLEFINANCE(A1138,""PRICEOPEN"")"),28.88)</f>
        <v>28.88</v>
      </c>
      <c r="D1138" s="14">
        <f>IFERROR(__xludf.DUMMYFUNCTION("GOOGLEFINANCE(A1138,""HIGH"")"),29.0)</f>
        <v>29</v>
      </c>
      <c r="E1138" s="14">
        <f>IFERROR(__xludf.DUMMYFUNCTION("GOOGLEFINANCE(A1138,""LOW"")"),28.01)</f>
        <v>28.01</v>
      </c>
      <c r="F1138" s="15" t="str">
        <f t="shared" si="8"/>
        <v/>
      </c>
      <c r="G1138" s="16">
        <f>IFERROR(__xludf.DUMMYFUNCTION("GOOGLEFINANCE(A1138,""CLOSEYEST"")"),28.59)</f>
        <v>28.59</v>
      </c>
      <c r="H1138" s="17" t="str">
        <f t="shared" si="14"/>
        <v>GAP UP</v>
      </c>
      <c r="I1138" s="18">
        <f t="shared" si="9"/>
        <v>28.53333333</v>
      </c>
      <c r="J1138" s="19">
        <f t="shared" si="10"/>
        <v>29.05666667</v>
      </c>
      <c r="K1138" s="19"/>
      <c r="L1138" s="19">
        <f t="shared" si="11"/>
        <v>28.06666667</v>
      </c>
      <c r="M1138" s="19">
        <f t="shared" si="12"/>
        <v>29.52333333</v>
      </c>
      <c r="N1138" s="19">
        <f t="shared" si="13"/>
        <v>27.54333333</v>
      </c>
    </row>
    <row r="1139" ht="24.75" customHeight="1">
      <c r="A1139" s="21" t="s">
        <v>1102</v>
      </c>
      <c r="B1139" s="13">
        <f>IFERROR(__xludf.DUMMYFUNCTION("GOOGLEFINANCE(A1139,""PRICE"")"),489.0)</f>
        <v>489</v>
      </c>
      <c r="C1139" s="14">
        <f>IFERROR(__xludf.DUMMYFUNCTION("GOOGLEFINANCE(A1139,""PRICEOPEN"")"),488.45)</f>
        <v>488.45</v>
      </c>
      <c r="D1139" s="14">
        <f>IFERROR(__xludf.DUMMYFUNCTION("GOOGLEFINANCE(A1139,""HIGH"")"),504.0)</f>
        <v>504</v>
      </c>
      <c r="E1139" s="14">
        <f>IFERROR(__xludf.DUMMYFUNCTION("GOOGLEFINANCE(A1139,""LOW"")"),483.4)</f>
        <v>483.4</v>
      </c>
      <c r="F1139" s="15" t="str">
        <f t="shared" si="8"/>
        <v/>
      </c>
      <c r="G1139" s="16">
        <f>IFERROR(__xludf.DUMMYFUNCTION("GOOGLEFINANCE(A1139,""CLOSEYEST"")"),485.75)</f>
        <v>485.75</v>
      </c>
      <c r="H1139" s="17" t="str">
        <f t="shared" si="14"/>
        <v/>
      </c>
      <c r="I1139" s="18">
        <f t="shared" si="9"/>
        <v>491.05</v>
      </c>
      <c r="J1139" s="19">
        <f t="shared" si="10"/>
        <v>498.7</v>
      </c>
      <c r="K1139" s="19"/>
      <c r="L1139" s="19">
        <f t="shared" si="11"/>
        <v>478.1</v>
      </c>
      <c r="M1139" s="19">
        <f t="shared" si="12"/>
        <v>511.65</v>
      </c>
      <c r="N1139" s="19">
        <f t="shared" si="13"/>
        <v>470.45</v>
      </c>
    </row>
    <row r="1140" ht="24.75" customHeight="1">
      <c r="A1140" s="21" t="s">
        <v>1103</v>
      </c>
      <c r="B1140" s="13" t="str">
        <f>IFERROR(__xludf.DUMMYFUNCTION("GOOGLEFINANCE(A1140,""PRICE"")"),"#N/A")</f>
        <v>#N/A</v>
      </c>
      <c r="C1140" s="14" t="str">
        <f>IFERROR(__xludf.DUMMYFUNCTION("GOOGLEFINANCE(A1140,""PRICEOPEN"")"),"#N/A")</f>
        <v>#N/A</v>
      </c>
      <c r="D1140" s="14" t="str">
        <f>IFERROR(__xludf.DUMMYFUNCTION("GOOGLEFINANCE(A1140,""HIGH"")"),"#N/A")</f>
        <v>#N/A</v>
      </c>
      <c r="E1140" s="14" t="str">
        <f>IFERROR(__xludf.DUMMYFUNCTION("GOOGLEFINANCE(A1140,""LOW"")"),"#N/A")</f>
        <v>#N/A</v>
      </c>
      <c r="F1140" s="15" t="str">
        <f t="shared" si="8"/>
        <v>#N/A</v>
      </c>
      <c r="G1140" s="16" t="str">
        <f>IFERROR(__xludf.DUMMYFUNCTION("GOOGLEFINANCE(A1140,""CLOSEYEST"")"),"#N/A")</f>
        <v>#N/A</v>
      </c>
      <c r="H1140" s="17" t="str">
        <f t="shared" si="14"/>
        <v>#N/A</v>
      </c>
      <c r="I1140" s="18" t="str">
        <f t="shared" si="9"/>
        <v>#N/A</v>
      </c>
      <c r="J1140" s="19" t="str">
        <f t="shared" si="10"/>
        <v>#N/A</v>
      </c>
      <c r="K1140" s="19"/>
      <c r="L1140" s="19" t="str">
        <f t="shared" si="11"/>
        <v>#N/A</v>
      </c>
      <c r="M1140" s="19" t="str">
        <f t="shared" si="12"/>
        <v>#N/A</v>
      </c>
      <c r="N1140" s="19" t="str">
        <f t="shared" si="13"/>
        <v>#N/A</v>
      </c>
    </row>
    <row r="1141" ht="24.75" customHeight="1">
      <c r="A1141" s="21" t="s">
        <v>1104</v>
      </c>
      <c r="B1141" s="13">
        <f>IFERROR(__xludf.DUMMYFUNCTION("GOOGLEFINANCE(A1141,""PRICE"")"),712.05)</f>
        <v>712.05</v>
      </c>
      <c r="C1141" s="14">
        <f>IFERROR(__xludf.DUMMYFUNCTION("GOOGLEFINANCE(A1141,""PRICEOPEN"")"),724.2)</f>
        <v>724.2</v>
      </c>
      <c r="D1141" s="14">
        <f>IFERROR(__xludf.DUMMYFUNCTION("GOOGLEFINANCE(A1141,""HIGH"")"),730.6)</f>
        <v>730.6</v>
      </c>
      <c r="E1141" s="14">
        <f>IFERROR(__xludf.DUMMYFUNCTION("GOOGLEFINANCE(A1141,""LOW"")"),711.0)</f>
        <v>711</v>
      </c>
      <c r="F1141" s="15" t="str">
        <f t="shared" si="8"/>
        <v/>
      </c>
      <c r="G1141" s="16">
        <f>IFERROR(__xludf.DUMMYFUNCTION("GOOGLEFINANCE(A1141,""CLOSEYEST"")"),724.2)</f>
        <v>724.2</v>
      </c>
      <c r="H1141" s="17" t="str">
        <f t="shared" si="14"/>
        <v/>
      </c>
      <c r="I1141" s="18">
        <f t="shared" si="9"/>
        <v>721.9333333</v>
      </c>
      <c r="J1141" s="19">
        <f t="shared" si="10"/>
        <v>732.8666667</v>
      </c>
      <c r="K1141" s="19"/>
      <c r="L1141" s="19">
        <f t="shared" si="11"/>
        <v>713.2666667</v>
      </c>
      <c r="M1141" s="19">
        <f t="shared" si="12"/>
        <v>741.5333333</v>
      </c>
      <c r="N1141" s="19">
        <f t="shared" si="13"/>
        <v>702.3333333</v>
      </c>
    </row>
    <row r="1142" ht="24.75" customHeight="1">
      <c r="A1142" s="21" t="s">
        <v>1105</v>
      </c>
      <c r="B1142" s="13">
        <f>IFERROR(__xludf.DUMMYFUNCTION("GOOGLEFINANCE(A1142,""PRICE"")"),941.55)</f>
        <v>941.55</v>
      </c>
      <c r="C1142" s="14">
        <f>IFERROR(__xludf.DUMMYFUNCTION("GOOGLEFINANCE(A1142,""PRICEOPEN"")"),950.15)</f>
        <v>950.15</v>
      </c>
      <c r="D1142" s="14">
        <f>IFERROR(__xludf.DUMMYFUNCTION("GOOGLEFINANCE(A1142,""HIGH"")"),955.05)</f>
        <v>955.05</v>
      </c>
      <c r="E1142" s="14">
        <f>IFERROR(__xludf.DUMMYFUNCTION("GOOGLEFINANCE(A1142,""LOW"")"),925.65)</f>
        <v>925.65</v>
      </c>
      <c r="F1142" s="15" t="str">
        <f t="shared" si="8"/>
        <v/>
      </c>
      <c r="G1142" s="16">
        <f>IFERROR(__xludf.DUMMYFUNCTION("GOOGLEFINANCE(A1142,""CLOSEYEST"")"),940.75)</f>
        <v>940.75</v>
      </c>
      <c r="H1142" s="17" t="str">
        <f t="shared" si="14"/>
        <v/>
      </c>
      <c r="I1142" s="18">
        <f t="shared" si="9"/>
        <v>940.4833333</v>
      </c>
      <c r="J1142" s="19">
        <f t="shared" si="10"/>
        <v>955.3166667</v>
      </c>
      <c r="K1142" s="19"/>
      <c r="L1142" s="19">
        <f t="shared" si="11"/>
        <v>925.9166667</v>
      </c>
      <c r="M1142" s="19">
        <f t="shared" si="12"/>
        <v>969.8833333</v>
      </c>
      <c r="N1142" s="19">
        <f t="shared" si="13"/>
        <v>911.0833333</v>
      </c>
    </row>
    <row r="1143" ht="24.75" customHeight="1">
      <c r="A1143" s="21" t="s">
        <v>1106</v>
      </c>
      <c r="B1143" s="13" t="str">
        <f>IFERROR(__xludf.DUMMYFUNCTION("GOOGLEFINANCE(A1143,""PRICE"")"),"#N/A")</f>
        <v>#N/A</v>
      </c>
      <c r="C1143" s="14" t="str">
        <f>IFERROR(__xludf.DUMMYFUNCTION("GOOGLEFINANCE(A1143,""PRICEOPEN"")"),"#N/A")</f>
        <v>#N/A</v>
      </c>
      <c r="D1143" s="14" t="str">
        <f>IFERROR(__xludf.DUMMYFUNCTION("GOOGLEFINANCE(A1143,""HIGH"")"),"#N/A")</f>
        <v>#N/A</v>
      </c>
      <c r="E1143" s="14" t="str">
        <f>IFERROR(__xludf.DUMMYFUNCTION("GOOGLEFINANCE(A1143,""LOW"")"),"#N/A")</f>
        <v>#N/A</v>
      </c>
      <c r="F1143" s="15" t="str">
        <f t="shared" si="8"/>
        <v>#N/A</v>
      </c>
      <c r="G1143" s="16" t="str">
        <f>IFERROR(__xludf.DUMMYFUNCTION("GOOGLEFINANCE(A1143,""CLOSEYEST"")"),"#N/A")</f>
        <v>#N/A</v>
      </c>
      <c r="H1143" s="17" t="str">
        <f t="shared" si="14"/>
        <v>#N/A</v>
      </c>
      <c r="I1143" s="18" t="str">
        <f t="shared" si="9"/>
        <v>#N/A</v>
      </c>
      <c r="J1143" s="19" t="str">
        <f t="shared" si="10"/>
        <v>#N/A</v>
      </c>
      <c r="K1143" s="19"/>
      <c r="L1143" s="19" t="str">
        <f t="shared" si="11"/>
        <v>#N/A</v>
      </c>
      <c r="M1143" s="19" t="str">
        <f t="shared" si="12"/>
        <v>#N/A</v>
      </c>
      <c r="N1143" s="19" t="str">
        <f t="shared" si="13"/>
        <v>#N/A</v>
      </c>
    </row>
    <row r="1144" ht="24.75" customHeight="1">
      <c r="A1144" s="21" t="s">
        <v>1107</v>
      </c>
      <c r="B1144" s="13">
        <f>IFERROR(__xludf.DUMMYFUNCTION("GOOGLEFINANCE(A1144,""PRICE"")"),104.97)</f>
        <v>104.97</v>
      </c>
      <c r="C1144" s="14">
        <f>IFERROR(__xludf.DUMMYFUNCTION("GOOGLEFINANCE(A1144,""PRICEOPEN"")"),102.0)</f>
        <v>102</v>
      </c>
      <c r="D1144" s="14">
        <f>IFERROR(__xludf.DUMMYFUNCTION("GOOGLEFINANCE(A1144,""HIGH"")"),105.1)</f>
        <v>105.1</v>
      </c>
      <c r="E1144" s="14">
        <f>IFERROR(__xludf.DUMMYFUNCTION("GOOGLEFINANCE(A1144,""LOW"")"),101.63)</f>
        <v>101.63</v>
      </c>
      <c r="F1144" s="15" t="str">
        <f t="shared" si="8"/>
        <v/>
      </c>
      <c r="G1144" s="16">
        <f>IFERROR(__xludf.DUMMYFUNCTION("GOOGLEFINANCE(A1144,""CLOSEYEST"")"),102.84)</f>
        <v>102.84</v>
      </c>
      <c r="H1144" s="17" t="str">
        <f t="shared" si="14"/>
        <v/>
      </c>
      <c r="I1144" s="18">
        <f t="shared" si="9"/>
        <v>103.19</v>
      </c>
      <c r="J1144" s="19">
        <f t="shared" si="10"/>
        <v>104.75</v>
      </c>
      <c r="K1144" s="19"/>
      <c r="L1144" s="19">
        <f t="shared" si="11"/>
        <v>101.28</v>
      </c>
      <c r="M1144" s="19">
        <f t="shared" si="12"/>
        <v>106.66</v>
      </c>
      <c r="N1144" s="19">
        <f t="shared" si="13"/>
        <v>99.72</v>
      </c>
    </row>
    <row r="1145" ht="24.75" customHeight="1">
      <c r="A1145" s="21" t="s">
        <v>1108</v>
      </c>
      <c r="B1145" s="13">
        <f>IFERROR(__xludf.DUMMYFUNCTION("GOOGLEFINANCE(A1145,""PRICE"")"),580.0)</f>
        <v>580</v>
      </c>
      <c r="C1145" s="14">
        <f>IFERROR(__xludf.DUMMYFUNCTION("GOOGLEFINANCE(A1145,""PRICEOPEN"")"),580.7)</f>
        <v>580.7</v>
      </c>
      <c r="D1145" s="14">
        <f>IFERROR(__xludf.DUMMYFUNCTION("GOOGLEFINANCE(A1145,""HIGH"")"),584.5)</f>
        <v>584.5</v>
      </c>
      <c r="E1145" s="14">
        <f>IFERROR(__xludf.DUMMYFUNCTION("GOOGLEFINANCE(A1145,""LOW"")"),575.55)</f>
        <v>575.55</v>
      </c>
      <c r="F1145" s="15" t="str">
        <f t="shared" si="8"/>
        <v/>
      </c>
      <c r="G1145" s="16">
        <f>IFERROR(__xludf.DUMMYFUNCTION("GOOGLEFINANCE(A1145,""CLOSEYEST"")"),573.7)</f>
        <v>573.7</v>
      </c>
      <c r="H1145" s="17" t="str">
        <f t="shared" si="14"/>
        <v>GAP UP</v>
      </c>
      <c r="I1145" s="18">
        <f t="shared" si="9"/>
        <v>577.9166667</v>
      </c>
      <c r="J1145" s="19">
        <f t="shared" si="10"/>
        <v>580.2833333</v>
      </c>
      <c r="K1145" s="19"/>
      <c r="L1145" s="19">
        <f t="shared" si="11"/>
        <v>571.3333333</v>
      </c>
      <c r="M1145" s="19">
        <f t="shared" si="12"/>
        <v>586.8666667</v>
      </c>
      <c r="N1145" s="19">
        <f t="shared" si="13"/>
        <v>568.9666667</v>
      </c>
    </row>
    <row r="1146" ht="24.75" customHeight="1">
      <c r="A1146" s="21" t="s">
        <v>1109</v>
      </c>
      <c r="B1146" s="13">
        <f>IFERROR(__xludf.DUMMYFUNCTION("GOOGLEFINANCE(A1146,""PRICE"")"),5.47)</f>
        <v>5.47</v>
      </c>
      <c r="C1146" s="14">
        <f>IFERROR(__xludf.DUMMYFUNCTION("GOOGLEFINANCE(A1146,""PRICEOPEN"")"),5.52)</f>
        <v>5.52</v>
      </c>
      <c r="D1146" s="14">
        <f>IFERROR(__xludf.DUMMYFUNCTION("GOOGLEFINANCE(A1146,""HIGH"")"),5.52)</f>
        <v>5.52</v>
      </c>
      <c r="E1146" s="14">
        <f>IFERROR(__xludf.DUMMYFUNCTION("GOOGLEFINANCE(A1146,""LOW"")"),5.3)</f>
        <v>5.3</v>
      </c>
      <c r="F1146" s="15" t="str">
        <f t="shared" si="8"/>
        <v>SELL</v>
      </c>
      <c r="G1146" s="16">
        <f>IFERROR(__xludf.DUMMYFUNCTION("GOOGLEFINANCE(A1146,""CLOSEYEST"")"),5.52)</f>
        <v>5.52</v>
      </c>
      <c r="H1146" s="17" t="str">
        <f t="shared" si="14"/>
        <v/>
      </c>
      <c r="I1146" s="18">
        <f t="shared" si="9"/>
        <v>5.446666667</v>
      </c>
      <c r="J1146" s="19">
        <f t="shared" si="10"/>
        <v>5.593333333</v>
      </c>
      <c r="K1146" s="19"/>
      <c r="L1146" s="19">
        <f t="shared" si="11"/>
        <v>5.373333333</v>
      </c>
      <c r="M1146" s="19">
        <f t="shared" si="12"/>
        <v>5.666666667</v>
      </c>
      <c r="N1146" s="19">
        <f t="shared" si="13"/>
        <v>5.226666667</v>
      </c>
    </row>
    <row r="1147" ht="24.75" customHeight="1">
      <c r="A1147" s="21" t="s">
        <v>1110</v>
      </c>
      <c r="B1147" s="13">
        <f>IFERROR(__xludf.DUMMYFUNCTION("GOOGLEFINANCE(A1147,""PRICE"")"),145.0)</f>
        <v>145</v>
      </c>
      <c r="C1147" s="14">
        <f>IFERROR(__xludf.DUMMYFUNCTION("GOOGLEFINANCE(A1147,""PRICEOPEN"")"),145.32)</f>
        <v>145.32</v>
      </c>
      <c r="D1147" s="14">
        <f>IFERROR(__xludf.DUMMYFUNCTION("GOOGLEFINANCE(A1147,""HIGH"")"),147.34)</f>
        <v>147.34</v>
      </c>
      <c r="E1147" s="14">
        <f>IFERROR(__xludf.DUMMYFUNCTION("GOOGLEFINANCE(A1147,""LOW"")"),143.05)</f>
        <v>143.05</v>
      </c>
      <c r="F1147" s="15" t="str">
        <f t="shared" si="8"/>
        <v/>
      </c>
      <c r="G1147" s="16">
        <f>IFERROR(__xludf.DUMMYFUNCTION("GOOGLEFINANCE(A1147,""CLOSEYEST"")"),144.2)</f>
        <v>144.2</v>
      </c>
      <c r="H1147" s="17" t="str">
        <f t="shared" si="14"/>
        <v/>
      </c>
      <c r="I1147" s="18">
        <f t="shared" si="9"/>
        <v>144.8633333</v>
      </c>
      <c r="J1147" s="19">
        <f t="shared" si="10"/>
        <v>146.6766667</v>
      </c>
      <c r="K1147" s="19"/>
      <c r="L1147" s="19">
        <f t="shared" si="11"/>
        <v>142.3866667</v>
      </c>
      <c r="M1147" s="19">
        <f t="shared" si="12"/>
        <v>149.1533333</v>
      </c>
      <c r="N1147" s="19">
        <f t="shared" si="13"/>
        <v>140.5733333</v>
      </c>
    </row>
    <row r="1148" ht="24.75" customHeight="1">
      <c r="A1148" s="21" t="s">
        <v>1111</v>
      </c>
      <c r="B1148" s="13">
        <f>IFERROR(__xludf.DUMMYFUNCTION("GOOGLEFINANCE(A1148,""PRICE"")"),84.0)</f>
        <v>84</v>
      </c>
      <c r="C1148" s="14">
        <f>IFERROR(__xludf.DUMMYFUNCTION("GOOGLEFINANCE(A1148,""PRICEOPEN"")"),80.3)</f>
        <v>80.3</v>
      </c>
      <c r="D1148" s="14">
        <f>IFERROR(__xludf.DUMMYFUNCTION("GOOGLEFINANCE(A1148,""HIGH"")"),86.9)</f>
        <v>86.9</v>
      </c>
      <c r="E1148" s="14">
        <f>IFERROR(__xludf.DUMMYFUNCTION("GOOGLEFINANCE(A1148,""LOW"")"),80.3)</f>
        <v>80.3</v>
      </c>
      <c r="F1148" s="15" t="str">
        <f t="shared" si="8"/>
        <v>BUY</v>
      </c>
      <c r="G1148" s="16">
        <f>IFERROR(__xludf.DUMMYFUNCTION("GOOGLEFINANCE(A1148,""CLOSEYEST"")"),84.42)</f>
        <v>84.42</v>
      </c>
      <c r="H1148" s="17" t="str">
        <f t="shared" si="14"/>
        <v>GAP DOWN</v>
      </c>
      <c r="I1148" s="18">
        <f t="shared" si="9"/>
        <v>83.87333333</v>
      </c>
      <c r="J1148" s="19">
        <f t="shared" si="10"/>
        <v>87.44666667</v>
      </c>
      <c r="K1148" s="19"/>
      <c r="L1148" s="19">
        <f t="shared" si="11"/>
        <v>80.84666667</v>
      </c>
      <c r="M1148" s="19">
        <f t="shared" si="12"/>
        <v>90.47333333</v>
      </c>
      <c r="N1148" s="19">
        <f t="shared" si="13"/>
        <v>77.27333333</v>
      </c>
    </row>
    <row r="1149" ht="24.75" customHeight="1">
      <c r="A1149" s="21" t="s">
        <v>1112</v>
      </c>
      <c r="B1149" s="13">
        <f>IFERROR(__xludf.DUMMYFUNCTION("GOOGLEFINANCE(A1149,""PRICE"")"),474.65)</f>
        <v>474.65</v>
      </c>
      <c r="C1149" s="14">
        <f>IFERROR(__xludf.DUMMYFUNCTION("GOOGLEFINANCE(A1149,""PRICEOPEN"")"),475.0)</f>
        <v>475</v>
      </c>
      <c r="D1149" s="14">
        <f>IFERROR(__xludf.DUMMYFUNCTION("GOOGLEFINANCE(A1149,""HIGH"")"),489.95)</f>
        <v>489.95</v>
      </c>
      <c r="E1149" s="14">
        <f>IFERROR(__xludf.DUMMYFUNCTION("GOOGLEFINANCE(A1149,""LOW"")"),472.2)</f>
        <v>472.2</v>
      </c>
      <c r="F1149" s="15" t="str">
        <f t="shared" si="8"/>
        <v/>
      </c>
      <c r="G1149" s="16">
        <f>IFERROR(__xludf.DUMMYFUNCTION("GOOGLEFINANCE(A1149,""CLOSEYEST"")"),477.25)</f>
        <v>477.25</v>
      </c>
      <c r="H1149" s="17" t="str">
        <f t="shared" si="14"/>
        <v/>
      </c>
      <c r="I1149" s="18">
        <f t="shared" si="9"/>
        <v>479.8</v>
      </c>
      <c r="J1149" s="19">
        <f t="shared" si="10"/>
        <v>487.4</v>
      </c>
      <c r="K1149" s="19"/>
      <c r="L1149" s="19">
        <f t="shared" si="11"/>
        <v>469.65</v>
      </c>
      <c r="M1149" s="19">
        <f t="shared" si="12"/>
        <v>497.55</v>
      </c>
      <c r="N1149" s="19">
        <f t="shared" si="13"/>
        <v>462.05</v>
      </c>
    </row>
    <row r="1150" ht="24.75" customHeight="1">
      <c r="A1150" s="21" t="s">
        <v>1113</v>
      </c>
      <c r="B1150" s="13">
        <f>IFERROR(__xludf.DUMMYFUNCTION("GOOGLEFINANCE(A1150,""PRICE"")"),276.0)</f>
        <v>276</v>
      </c>
      <c r="C1150" s="14">
        <f>IFERROR(__xludf.DUMMYFUNCTION("GOOGLEFINANCE(A1150,""PRICEOPEN"")"),279.6)</f>
        <v>279.6</v>
      </c>
      <c r="D1150" s="14">
        <f>IFERROR(__xludf.DUMMYFUNCTION("GOOGLEFINANCE(A1150,""HIGH"")"),281.0)</f>
        <v>281</v>
      </c>
      <c r="E1150" s="14">
        <f>IFERROR(__xludf.DUMMYFUNCTION("GOOGLEFINANCE(A1150,""LOW"")"),274.4)</f>
        <v>274.4</v>
      </c>
      <c r="F1150" s="15" t="str">
        <f t="shared" si="8"/>
        <v/>
      </c>
      <c r="G1150" s="16">
        <f>IFERROR(__xludf.DUMMYFUNCTION("GOOGLEFINANCE(A1150,""CLOSEYEST"")"),278.1)</f>
        <v>278.1</v>
      </c>
      <c r="H1150" s="17" t="str">
        <f t="shared" si="14"/>
        <v/>
      </c>
      <c r="I1150" s="18">
        <f t="shared" si="9"/>
        <v>277.8333333</v>
      </c>
      <c r="J1150" s="19">
        <f t="shared" si="10"/>
        <v>281.2666667</v>
      </c>
      <c r="K1150" s="19"/>
      <c r="L1150" s="19">
        <f t="shared" si="11"/>
        <v>274.6666667</v>
      </c>
      <c r="M1150" s="19">
        <f t="shared" si="12"/>
        <v>284.4333333</v>
      </c>
      <c r="N1150" s="19">
        <f t="shared" si="13"/>
        <v>271.2333333</v>
      </c>
    </row>
    <row r="1151" ht="24.75" customHeight="1">
      <c r="A1151" s="21" t="s">
        <v>1114</v>
      </c>
      <c r="B1151" s="13">
        <f>IFERROR(__xludf.DUMMYFUNCTION("GOOGLEFINANCE(A1151,""PRICE"")"),2735.0)</f>
        <v>2735</v>
      </c>
      <c r="C1151" s="14">
        <f>IFERROR(__xludf.DUMMYFUNCTION("GOOGLEFINANCE(A1151,""PRICEOPEN"")"),2720.1)</f>
        <v>2720.1</v>
      </c>
      <c r="D1151" s="14">
        <f>IFERROR(__xludf.DUMMYFUNCTION("GOOGLEFINANCE(A1151,""HIGH"")"),2800.0)</f>
        <v>2800</v>
      </c>
      <c r="E1151" s="14">
        <f>IFERROR(__xludf.DUMMYFUNCTION("GOOGLEFINANCE(A1151,""LOW"")"),2650.0)</f>
        <v>2650</v>
      </c>
      <c r="F1151" s="15" t="str">
        <f t="shared" si="8"/>
        <v/>
      </c>
      <c r="G1151" s="16">
        <f>IFERROR(__xludf.DUMMYFUNCTION("GOOGLEFINANCE(A1151,""CLOSEYEST"")"),2764.1)</f>
        <v>2764.1</v>
      </c>
      <c r="H1151" s="17" t="str">
        <f t="shared" si="14"/>
        <v>GAP DOWN</v>
      </c>
      <c r="I1151" s="18">
        <f t="shared" si="9"/>
        <v>2738.033333</v>
      </c>
      <c r="J1151" s="19">
        <f t="shared" si="10"/>
        <v>2826.066667</v>
      </c>
      <c r="K1151" s="19"/>
      <c r="L1151" s="19">
        <f t="shared" si="11"/>
        <v>2676.066667</v>
      </c>
      <c r="M1151" s="19">
        <f t="shared" si="12"/>
        <v>2888.033333</v>
      </c>
      <c r="N1151" s="19">
        <f t="shared" si="13"/>
        <v>2588.033333</v>
      </c>
    </row>
    <row r="1152" ht="24.75" customHeight="1">
      <c r="A1152" s="21" t="s">
        <v>1115</v>
      </c>
      <c r="B1152" s="13">
        <f>IFERROR(__xludf.DUMMYFUNCTION("GOOGLEFINANCE(A1152,""PRICE"")"),508.0)</f>
        <v>508</v>
      </c>
      <c r="C1152" s="14">
        <f>IFERROR(__xludf.DUMMYFUNCTION("GOOGLEFINANCE(A1152,""PRICEOPEN"")"),506.6)</f>
        <v>506.6</v>
      </c>
      <c r="D1152" s="14">
        <f>IFERROR(__xludf.DUMMYFUNCTION("GOOGLEFINANCE(A1152,""HIGH"")"),509.8)</f>
        <v>509.8</v>
      </c>
      <c r="E1152" s="14">
        <f>IFERROR(__xludf.DUMMYFUNCTION("GOOGLEFINANCE(A1152,""LOW"")"),493.3)</f>
        <v>493.3</v>
      </c>
      <c r="F1152" s="15" t="str">
        <f t="shared" si="8"/>
        <v/>
      </c>
      <c r="G1152" s="16">
        <f>IFERROR(__xludf.DUMMYFUNCTION("GOOGLEFINANCE(A1152,""CLOSEYEST"")"),508.4)</f>
        <v>508.4</v>
      </c>
      <c r="H1152" s="17" t="str">
        <f t="shared" si="14"/>
        <v/>
      </c>
      <c r="I1152" s="18">
        <f t="shared" si="9"/>
        <v>503.8333333</v>
      </c>
      <c r="J1152" s="19">
        <f t="shared" si="10"/>
        <v>514.3666667</v>
      </c>
      <c r="K1152" s="19"/>
      <c r="L1152" s="19">
        <f t="shared" si="11"/>
        <v>497.8666667</v>
      </c>
      <c r="M1152" s="19">
        <f t="shared" si="12"/>
        <v>520.3333333</v>
      </c>
      <c r="N1152" s="19">
        <f t="shared" si="13"/>
        <v>487.3333333</v>
      </c>
    </row>
    <row r="1153" ht="24.75" customHeight="1">
      <c r="A1153" s="21" t="s">
        <v>1116</v>
      </c>
      <c r="B1153" s="13">
        <f>IFERROR(__xludf.DUMMYFUNCTION("GOOGLEFINANCE(A1153,""PRICE"")"),673.4)</f>
        <v>673.4</v>
      </c>
      <c r="C1153" s="14">
        <f>IFERROR(__xludf.DUMMYFUNCTION("GOOGLEFINANCE(A1153,""PRICEOPEN"")"),664.5)</f>
        <v>664.5</v>
      </c>
      <c r="D1153" s="14">
        <f>IFERROR(__xludf.DUMMYFUNCTION("GOOGLEFINANCE(A1153,""HIGH"")"),673.9)</f>
        <v>673.9</v>
      </c>
      <c r="E1153" s="14">
        <f>IFERROR(__xludf.DUMMYFUNCTION("GOOGLEFINANCE(A1153,""LOW"")"),660.5)</f>
        <v>660.5</v>
      </c>
      <c r="F1153" s="15" t="str">
        <f t="shared" si="8"/>
        <v/>
      </c>
      <c r="G1153" s="16">
        <f>IFERROR(__xludf.DUMMYFUNCTION("GOOGLEFINANCE(A1153,""CLOSEYEST"")"),666.7)</f>
        <v>666.7</v>
      </c>
      <c r="H1153" s="17" t="str">
        <f t="shared" si="14"/>
        <v/>
      </c>
      <c r="I1153" s="18">
        <f t="shared" si="9"/>
        <v>667.0333333</v>
      </c>
      <c r="J1153" s="19">
        <f t="shared" si="10"/>
        <v>673.5666667</v>
      </c>
      <c r="K1153" s="19"/>
      <c r="L1153" s="19">
        <f t="shared" si="11"/>
        <v>660.1666667</v>
      </c>
      <c r="M1153" s="19">
        <f t="shared" si="12"/>
        <v>680.4333333</v>
      </c>
      <c r="N1153" s="19">
        <f t="shared" si="13"/>
        <v>653.6333333</v>
      </c>
    </row>
    <row r="1154" ht="24.75" customHeight="1">
      <c r="A1154" s="21" t="s">
        <v>1117</v>
      </c>
      <c r="B1154" s="13">
        <f>IFERROR(__xludf.DUMMYFUNCTION("GOOGLEFINANCE(A1154,""PRICE"")"),38.5)</f>
        <v>38.5</v>
      </c>
      <c r="C1154" s="14">
        <f>IFERROR(__xludf.DUMMYFUNCTION("GOOGLEFINANCE(A1154,""PRICEOPEN"")"),37.32)</f>
        <v>37.32</v>
      </c>
      <c r="D1154" s="14">
        <f>IFERROR(__xludf.DUMMYFUNCTION("GOOGLEFINANCE(A1154,""HIGH"")"),39.18)</f>
        <v>39.18</v>
      </c>
      <c r="E1154" s="14">
        <f>IFERROR(__xludf.DUMMYFUNCTION("GOOGLEFINANCE(A1154,""LOW"")"),36.67)</f>
        <v>36.67</v>
      </c>
      <c r="F1154" s="15" t="str">
        <f t="shared" si="8"/>
        <v/>
      </c>
      <c r="G1154" s="16">
        <f>IFERROR(__xludf.DUMMYFUNCTION("GOOGLEFINANCE(A1154,""CLOSEYEST"")"),37.32)</f>
        <v>37.32</v>
      </c>
      <c r="H1154" s="17" t="str">
        <f t="shared" si="14"/>
        <v/>
      </c>
      <c r="I1154" s="18">
        <f t="shared" si="9"/>
        <v>37.72333333</v>
      </c>
      <c r="J1154" s="19">
        <f t="shared" si="10"/>
        <v>38.77666667</v>
      </c>
      <c r="K1154" s="19"/>
      <c r="L1154" s="19">
        <f t="shared" si="11"/>
        <v>36.26666667</v>
      </c>
      <c r="M1154" s="19">
        <f t="shared" si="12"/>
        <v>40.23333333</v>
      </c>
      <c r="N1154" s="19">
        <f t="shared" si="13"/>
        <v>35.21333333</v>
      </c>
    </row>
    <row r="1155" ht="24.75" customHeight="1">
      <c r="A1155" s="21" t="s">
        <v>1118</v>
      </c>
      <c r="B1155" s="13">
        <f>IFERROR(__xludf.DUMMYFUNCTION("GOOGLEFINANCE(A1155,""PRICE"")"),1156.4)</f>
        <v>1156.4</v>
      </c>
      <c r="C1155" s="14">
        <f>IFERROR(__xludf.DUMMYFUNCTION("GOOGLEFINANCE(A1155,""PRICEOPEN"")"),1189.0)</f>
        <v>1189</v>
      </c>
      <c r="D1155" s="14">
        <f>IFERROR(__xludf.DUMMYFUNCTION("GOOGLEFINANCE(A1155,""HIGH"")"),1189.0)</f>
        <v>1189</v>
      </c>
      <c r="E1155" s="14">
        <f>IFERROR(__xludf.DUMMYFUNCTION("GOOGLEFINANCE(A1155,""LOW"")"),1154.5)</f>
        <v>1154.5</v>
      </c>
      <c r="F1155" s="15" t="str">
        <f t="shared" si="8"/>
        <v>SELL</v>
      </c>
      <c r="G1155" s="16">
        <f>IFERROR(__xludf.DUMMYFUNCTION("GOOGLEFINANCE(A1155,""CLOSEYEST"")"),1179.6)</f>
        <v>1179.6</v>
      </c>
      <c r="H1155" s="17" t="str">
        <f t="shared" si="14"/>
        <v/>
      </c>
      <c r="I1155" s="18">
        <f t="shared" si="9"/>
        <v>1174.366667</v>
      </c>
      <c r="J1155" s="19">
        <f t="shared" si="10"/>
        <v>1194.233333</v>
      </c>
      <c r="K1155" s="19"/>
      <c r="L1155" s="19">
        <f t="shared" si="11"/>
        <v>1159.733333</v>
      </c>
      <c r="M1155" s="19">
        <f t="shared" si="12"/>
        <v>1208.866667</v>
      </c>
      <c r="N1155" s="19">
        <f t="shared" si="13"/>
        <v>1139.866667</v>
      </c>
    </row>
    <row r="1156" ht="24.75" customHeight="1">
      <c r="A1156" s="21" t="s">
        <v>1119</v>
      </c>
      <c r="B1156" s="13">
        <f>IFERROR(__xludf.DUMMYFUNCTION("GOOGLEFINANCE(A1156,""PRICE"")"),64.18)</f>
        <v>64.18</v>
      </c>
      <c r="C1156" s="14">
        <f>IFERROR(__xludf.DUMMYFUNCTION("GOOGLEFINANCE(A1156,""PRICEOPEN"")"),64.4)</f>
        <v>64.4</v>
      </c>
      <c r="D1156" s="14">
        <f>IFERROR(__xludf.DUMMYFUNCTION("GOOGLEFINANCE(A1156,""HIGH"")"),65.61)</f>
        <v>65.61</v>
      </c>
      <c r="E1156" s="14">
        <f>IFERROR(__xludf.DUMMYFUNCTION("GOOGLEFINANCE(A1156,""LOW"")"),62.95)</f>
        <v>62.95</v>
      </c>
      <c r="F1156" s="15" t="str">
        <f t="shared" si="8"/>
        <v/>
      </c>
      <c r="G1156" s="16">
        <f>IFERROR(__xludf.DUMMYFUNCTION("GOOGLEFINANCE(A1156,""CLOSEYEST"")"),64.4)</f>
        <v>64.4</v>
      </c>
      <c r="H1156" s="17" t="str">
        <f t="shared" si="14"/>
        <v/>
      </c>
      <c r="I1156" s="18">
        <f t="shared" si="9"/>
        <v>64.32</v>
      </c>
      <c r="J1156" s="19">
        <f t="shared" si="10"/>
        <v>65.69</v>
      </c>
      <c r="K1156" s="19"/>
      <c r="L1156" s="19">
        <f t="shared" si="11"/>
        <v>63.03</v>
      </c>
      <c r="M1156" s="19">
        <f t="shared" si="12"/>
        <v>66.98</v>
      </c>
      <c r="N1156" s="19">
        <f t="shared" si="13"/>
        <v>61.66</v>
      </c>
    </row>
    <row r="1157" ht="24.75" customHeight="1">
      <c r="A1157" s="21" t="s">
        <v>1120</v>
      </c>
      <c r="B1157" s="13">
        <f>IFERROR(__xludf.DUMMYFUNCTION("GOOGLEFINANCE(A1157,""PRICE"")"),45.76)</f>
        <v>45.76</v>
      </c>
      <c r="C1157" s="14">
        <f>IFERROR(__xludf.DUMMYFUNCTION("GOOGLEFINANCE(A1157,""PRICEOPEN"")"),46.36)</f>
        <v>46.36</v>
      </c>
      <c r="D1157" s="14">
        <f>IFERROR(__xludf.DUMMYFUNCTION("GOOGLEFINANCE(A1157,""HIGH"")"),47.22)</f>
        <v>47.22</v>
      </c>
      <c r="E1157" s="14">
        <f>IFERROR(__xludf.DUMMYFUNCTION("GOOGLEFINANCE(A1157,""LOW"")"),44.8)</f>
        <v>44.8</v>
      </c>
      <c r="F1157" s="15" t="str">
        <f t="shared" si="8"/>
        <v/>
      </c>
      <c r="G1157" s="16">
        <f>IFERROR(__xludf.DUMMYFUNCTION("GOOGLEFINANCE(A1157,""CLOSEYEST"")"),46.14)</f>
        <v>46.14</v>
      </c>
      <c r="H1157" s="17" t="str">
        <f t="shared" si="14"/>
        <v/>
      </c>
      <c r="I1157" s="18">
        <f t="shared" si="9"/>
        <v>46.05333333</v>
      </c>
      <c r="J1157" s="19">
        <f t="shared" si="10"/>
        <v>47.30666667</v>
      </c>
      <c r="K1157" s="19"/>
      <c r="L1157" s="19">
        <f t="shared" si="11"/>
        <v>44.88666667</v>
      </c>
      <c r="M1157" s="19">
        <f t="shared" si="12"/>
        <v>48.47333333</v>
      </c>
      <c r="N1157" s="19">
        <f t="shared" si="13"/>
        <v>43.63333333</v>
      </c>
    </row>
    <row r="1158" ht="24.75" customHeight="1">
      <c r="A1158" s="21" t="s">
        <v>1121</v>
      </c>
      <c r="B1158" s="13">
        <f>IFERROR(__xludf.DUMMYFUNCTION("GOOGLEFINANCE(A1158,""PRICE"")"),82.48)</f>
        <v>82.48</v>
      </c>
      <c r="C1158" s="14">
        <f>IFERROR(__xludf.DUMMYFUNCTION("GOOGLEFINANCE(A1158,""PRICEOPEN"")"),85.67)</f>
        <v>85.67</v>
      </c>
      <c r="D1158" s="14">
        <f>IFERROR(__xludf.DUMMYFUNCTION("GOOGLEFINANCE(A1158,""HIGH"")"),85.67)</f>
        <v>85.67</v>
      </c>
      <c r="E1158" s="14">
        <f>IFERROR(__xludf.DUMMYFUNCTION("GOOGLEFINANCE(A1158,""LOW"")"),81.6)</f>
        <v>81.6</v>
      </c>
      <c r="F1158" s="15" t="str">
        <f t="shared" si="8"/>
        <v>SELL</v>
      </c>
      <c r="G1158" s="16">
        <f>IFERROR(__xludf.DUMMYFUNCTION("GOOGLEFINANCE(A1158,""CLOSEYEST"")"),83.9)</f>
        <v>83.9</v>
      </c>
      <c r="H1158" s="17" t="str">
        <f t="shared" si="14"/>
        <v>GAP UP</v>
      </c>
      <c r="I1158" s="18">
        <f t="shared" si="9"/>
        <v>83.72333333</v>
      </c>
      <c r="J1158" s="19">
        <f t="shared" si="10"/>
        <v>85.84666667</v>
      </c>
      <c r="K1158" s="19"/>
      <c r="L1158" s="19">
        <f t="shared" si="11"/>
        <v>81.77666667</v>
      </c>
      <c r="M1158" s="19">
        <f t="shared" si="12"/>
        <v>87.79333333</v>
      </c>
      <c r="N1158" s="19">
        <f t="shared" si="13"/>
        <v>79.65333333</v>
      </c>
    </row>
    <row r="1159" ht="24.75" customHeight="1">
      <c r="A1159" s="21" t="s">
        <v>1122</v>
      </c>
      <c r="B1159" s="13">
        <f>IFERROR(__xludf.DUMMYFUNCTION("GOOGLEFINANCE(A1159,""PRICE"")"),73.96)</f>
        <v>73.96</v>
      </c>
      <c r="C1159" s="14">
        <f>IFERROR(__xludf.DUMMYFUNCTION("GOOGLEFINANCE(A1159,""PRICEOPEN"")"),73.5)</f>
        <v>73.5</v>
      </c>
      <c r="D1159" s="14">
        <f>IFERROR(__xludf.DUMMYFUNCTION("GOOGLEFINANCE(A1159,""HIGH"")"),73.97)</f>
        <v>73.97</v>
      </c>
      <c r="E1159" s="14">
        <f>IFERROR(__xludf.DUMMYFUNCTION("GOOGLEFINANCE(A1159,""LOW"")"),73.27)</f>
        <v>73.27</v>
      </c>
      <c r="F1159" s="15" t="str">
        <f t="shared" si="8"/>
        <v/>
      </c>
      <c r="G1159" s="16">
        <f>IFERROR(__xludf.DUMMYFUNCTION("GOOGLEFINANCE(A1159,""CLOSEYEST"")"),73.64)</f>
        <v>73.64</v>
      </c>
      <c r="H1159" s="17" t="str">
        <f t="shared" si="14"/>
        <v/>
      </c>
      <c r="I1159" s="18">
        <f t="shared" si="9"/>
        <v>73.62666667</v>
      </c>
      <c r="J1159" s="19">
        <f t="shared" si="10"/>
        <v>73.98333333</v>
      </c>
      <c r="K1159" s="19"/>
      <c r="L1159" s="19">
        <f t="shared" si="11"/>
        <v>73.28333333</v>
      </c>
      <c r="M1159" s="19">
        <f t="shared" si="12"/>
        <v>74.32666667</v>
      </c>
      <c r="N1159" s="19">
        <f t="shared" si="13"/>
        <v>72.92666667</v>
      </c>
    </row>
    <row r="1160" ht="24.75" customHeight="1">
      <c r="A1160" s="21" t="s">
        <v>1123</v>
      </c>
      <c r="B1160" s="13">
        <f>IFERROR(__xludf.DUMMYFUNCTION("GOOGLEFINANCE(A1160,""PRICE"")"),99.0)</f>
        <v>99</v>
      </c>
      <c r="C1160" s="14">
        <f>IFERROR(__xludf.DUMMYFUNCTION("GOOGLEFINANCE(A1160,""PRICEOPEN"")"),96.75)</f>
        <v>96.75</v>
      </c>
      <c r="D1160" s="14">
        <f>IFERROR(__xludf.DUMMYFUNCTION("GOOGLEFINANCE(A1160,""HIGH"")"),99.0)</f>
        <v>99</v>
      </c>
      <c r="E1160" s="14">
        <f>IFERROR(__xludf.DUMMYFUNCTION("GOOGLEFINANCE(A1160,""LOW"")"),96.05)</f>
        <v>96.05</v>
      </c>
      <c r="F1160" s="15" t="str">
        <f t="shared" si="8"/>
        <v/>
      </c>
      <c r="G1160" s="16">
        <f>IFERROR(__xludf.DUMMYFUNCTION("GOOGLEFINANCE(A1160,""CLOSEYEST"")"),95.58)</f>
        <v>95.58</v>
      </c>
      <c r="H1160" s="17" t="str">
        <f t="shared" si="14"/>
        <v>GAP UP</v>
      </c>
      <c r="I1160" s="18">
        <f t="shared" si="9"/>
        <v>96.87666667</v>
      </c>
      <c r="J1160" s="19">
        <f t="shared" si="10"/>
        <v>97.70333333</v>
      </c>
      <c r="K1160" s="19"/>
      <c r="L1160" s="19">
        <f t="shared" si="11"/>
        <v>94.75333333</v>
      </c>
      <c r="M1160" s="19">
        <f t="shared" si="12"/>
        <v>99.82666667</v>
      </c>
      <c r="N1160" s="19">
        <f t="shared" si="13"/>
        <v>93.92666667</v>
      </c>
    </row>
    <row r="1161" ht="24.75" customHeight="1">
      <c r="A1161" s="21" t="s">
        <v>1124</v>
      </c>
      <c r="B1161" s="13">
        <f>IFERROR(__xludf.DUMMYFUNCTION("GOOGLEFINANCE(A1161,""PRICE"")"),9.4)</f>
        <v>9.4</v>
      </c>
      <c r="C1161" s="14">
        <f>IFERROR(__xludf.DUMMYFUNCTION("GOOGLEFINANCE(A1161,""PRICEOPEN"")"),9.56)</f>
        <v>9.56</v>
      </c>
      <c r="D1161" s="14">
        <f>IFERROR(__xludf.DUMMYFUNCTION("GOOGLEFINANCE(A1161,""HIGH"")"),9.56)</f>
        <v>9.56</v>
      </c>
      <c r="E1161" s="14">
        <f>IFERROR(__xludf.DUMMYFUNCTION("GOOGLEFINANCE(A1161,""LOW"")"),9.31)</f>
        <v>9.31</v>
      </c>
      <c r="F1161" s="15" t="str">
        <f t="shared" si="8"/>
        <v>SELL</v>
      </c>
      <c r="G1161" s="16">
        <f>IFERROR(__xludf.DUMMYFUNCTION("GOOGLEFINANCE(A1161,""CLOSEYEST"")"),9.44)</f>
        <v>9.44</v>
      </c>
      <c r="H1161" s="17" t="str">
        <f t="shared" si="14"/>
        <v>GAP UP</v>
      </c>
      <c r="I1161" s="18">
        <f t="shared" si="9"/>
        <v>9.436666667</v>
      </c>
      <c r="J1161" s="19">
        <f t="shared" si="10"/>
        <v>9.563333333</v>
      </c>
      <c r="K1161" s="19"/>
      <c r="L1161" s="19">
        <f t="shared" si="11"/>
        <v>9.313333333</v>
      </c>
      <c r="M1161" s="19">
        <f t="shared" si="12"/>
        <v>9.686666667</v>
      </c>
      <c r="N1161" s="19">
        <f t="shared" si="13"/>
        <v>9.186666667</v>
      </c>
    </row>
    <row r="1162" ht="24.75" customHeight="1">
      <c r="A1162" s="21" t="s">
        <v>1125</v>
      </c>
      <c r="B1162" s="13">
        <f>IFERROR(__xludf.DUMMYFUNCTION("GOOGLEFINANCE(A1162,""PRICE"")"),1.51)</f>
        <v>1.51</v>
      </c>
      <c r="C1162" s="14">
        <f>IFERROR(__xludf.DUMMYFUNCTION("GOOGLEFINANCE(A1162,""PRICEOPEN"")"),1.51)</f>
        <v>1.51</v>
      </c>
      <c r="D1162" s="14">
        <f>IFERROR(__xludf.DUMMYFUNCTION("GOOGLEFINANCE(A1162,""HIGH"")"),1.54)</f>
        <v>1.54</v>
      </c>
      <c r="E1162" s="14">
        <f>IFERROR(__xludf.DUMMYFUNCTION("GOOGLEFINANCE(A1162,""LOW"")"),1.49)</f>
        <v>1.49</v>
      </c>
      <c r="F1162" s="15" t="str">
        <f t="shared" si="8"/>
        <v/>
      </c>
      <c r="G1162" s="16">
        <f>IFERROR(__xludf.DUMMYFUNCTION("GOOGLEFINANCE(A1162,""CLOSEYEST"")"),1.49)</f>
        <v>1.49</v>
      </c>
      <c r="H1162" s="17" t="str">
        <f t="shared" si="14"/>
        <v>GAP UP</v>
      </c>
      <c r="I1162" s="18">
        <f t="shared" si="9"/>
        <v>1.506666667</v>
      </c>
      <c r="J1162" s="19">
        <f t="shared" si="10"/>
        <v>1.523333333</v>
      </c>
      <c r="K1162" s="19"/>
      <c r="L1162" s="19">
        <f t="shared" si="11"/>
        <v>1.473333333</v>
      </c>
      <c r="M1162" s="19">
        <f t="shared" si="12"/>
        <v>1.556666667</v>
      </c>
      <c r="N1162" s="19">
        <f t="shared" si="13"/>
        <v>1.456666667</v>
      </c>
    </row>
    <row r="1163" ht="24.75" customHeight="1">
      <c r="A1163" s="21" t="s">
        <v>1126</v>
      </c>
      <c r="B1163" s="13">
        <f>IFERROR(__xludf.DUMMYFUNCTION("GOOGLEFINANCE(A1163,""PRICE"")"),10.99)</f>
        <v>10.99</v>
      </c>
      <c r="C1163" s="14">
        <f>IFERROR(__xludf.DUMMYFUNCTION("GOOGLEFINANCE(A1163,""PRICEOPEN"")"),10.99)</f>
        <v>10.99</v>
      </c>
      <c r="D1163" s="14">
        <f>IFERROR(__xludf.DUMMYFUNCTION("GOOGLEFINANCE(A1163,""HIGH"")"),10.99)</f>
        <v>10.99</v>
      </c>
      <c r="E1163" s="14">
        <f>IFERROR(__xludf.DUMMYFUNCTION("GOOGLEFINANCE(A1163,""LOW"")"),10.99)</f>
        <v>10.99</v>
      </c>
      <c r="F1163" s="15" t="str">
        <f t="shared" si="8"/>
        <v>SELL</v>
      </c>
      <c r="G1163" s="16">
        <f>IFERROR(__xludf.DUMMYFUNCTION("GOOGLEFINANCE(A1163,""CLOSEYEST"")"),10.99)</f>
        <v>10.99</v>
      </c>
      <c r="H1163" s="17" t="str">
        <f t="shared" si="14"/>
        <v/>
      </c>
      <c r="I1163" s="18">
        <f t="shared" si="9"/>
        <v>10.99</v>
      </c>
      <c r="J1163" s="19">
        <f t="shared" si="10"/>
        <v>10.99</v>
      </c>
      <c r="K1163" s="19"/>
      <c r="L1163" s="19">
        <f t="shared" si="11"/>
        <v>10.99</v>
      </c>
      <c r="M1163" s="19">
        <f t="shared" si="12"/>
        <v>10.99</v>
      </c>
      <c r="N1163" s="19">
        <f t="shared" si="13"/>
        <v>10.99</v>
      </c>
    </row>
    <row r="1164" ht="24.75" customHeight="1">
      <c r="A1164" s="21" t="s">
        <v>1127</v>
      </c>
      <c r="B1164" s="13" t="str">
        <f>IFERROR(__xludf.DUMMYFUNCTION("GOOGLEFINANCE(A1164,""PRICE"")"),"#N/A")</f>
        <v>#N/A</v>
      </c>
      <c r="C1164" s="14" t="str">
        <f>IFERROR(__xludf.DUMMYFUNCTION("GOOGLEFINANCE(A1164,""PRICEOPEN"")"),"#N/A")</f>
        <v>#N/A</v>
      </c>
      <c r="D1164" s="14" t="str">
        <f>IFERROR(__xludf.DUMMYFUNCTION("GOOGLEFINANCE(A1164,""HIGH"")"),"#N/A")</f>
        <v>#N/A</v>
      </c>
      <c r="E1164" s="14" t="str">
        <f>IFERROR(__xludf.DUMMYFUNCTION("GOOGLEFINANCE(A1164,""LOW"")"),"#N/A")</f>
        <v>#N/A</v>
      </c>
      <c r="F1164" s="15" t="str">
        <f t="shared" si="8"/>
        <v>#N/A</v>
      </c>
      <c r="G1164" s="16" t="str">
        <f>IFERROR(__xludf.DUMMYFUNCTION("GOOGLEFINANCE(A1164,""CLOSEYEST"")"),"#N/A")</f>
        <v>#N/A</v>
      </c>
      <c r="H1164" s="17" t="str">
        <f t="shared" si="14"/>
        <v>#N/A</v>
      </c>
      <c r="I1164" s="18" t="str">
        <f t="shared" si="9"/>
        <v>#N/A</v>
      </c>
      <c r="J1164" s="19" t="str">
        <f t="shared" si="10"/>
        <v>#N/A</v>
      </c>
      <c r="K1164" s="19"/>
      <c r="L1164" s="19" t="str">
        <f t="shared" si="11"/>
        <v>#N/A</v>
      </c>
      <c r="M1164" s="19" t="str">
        <f t="shared" si="12"/>
        <v>#N/A</v>
      </c>
      <c r="N1164" s="19" t="str">
        <f t="shared" si="13"/>
        <v>#N/A</v>
      </c>
    </row>
    <row r="1165" ht="24.75" customHeight="1">
      <c r="A1165" s="21" t="s">
        <v>1128</v>
      </c>
      <c r="B1165" s="13">
        <f>IFERROR(__xludf.DUMMYFUNCTION("GOOGLEFINANCE(A1165,""PRICE"")"),104.92)</f>
        <v>104.92</v>
      </c>
      <c r="C1165" s="14">
        <f>IFERROR(__xludf.DUMMYFUNCTION("GOOGLEFINANCE(A1165,""PRICEOPEN"")"),104.4)</f>
        <v>104.4</v>
      </c>
      <c r="D1165" s="14">
        <f>IFERROR(__xludf.DUMMYFUNCTION("GOOGLEFINANCE(A1165,""HIGH"")"),108.49)</f>
        <v>108.49</v>
      </c>
      <c r="E1165" s="14">
        <f>IFERROR(__xludf.DUMMYFUNCTION("GOOGLEFINANCE(A1165,""LOW"")"),103.11)</f>
        <v>103.11</v>
      </c>
      <c r="F1165" s="15" t="str">
        <f t="shared" si="8"/>
        <v/>
      </c>
      <c r="G1165" s="16">
        <f>IFERROR(__xludf.DUMMYFUNCTION("GOOGLEFINANCE(A1165,""CLOSEYEST"")"),103.21)</f>
        <v>103.21</v>
      </c>
      <c r="H1165" s="17" t="str">
        <f t="shared" si="14"/>
        <v>GAP UP</v>
      </c>
      <c r="I1165" s="18">
        <f t="shared" si="9"/>
        <v>104.9366667</v>
      </c>
      <c r="J1165" s="19">
        <f t="shared" si="10"/>
        <v>106.7633333</v>
      </c>
      <c r="K1165" s="19"/>
      <c r="L1165" s="19">
        <f t="shared" si="11"/>
        <v>101.3833333</v>
      </c>
      <c r="M1165" s="19">
        <f t="shared" si="12"/>
        <v>110.3166667</v>
      </c>
      <c r="N1165" s="19">
        <f t="shared" si="13"/>
        <v>99.55666667</v>
      </c>
    </row>
    <row r="1166" ht="24.75" customHeight="1">
      <c r="A1166" s="21" t="s">
        <v>1129</v>
      </c>
      <c r="B1166" s="13">
        <f>IFERROR(__xludf.DUMMYFUNCTION("GOOGLEFINANCE(A1166,""PRICE"")"),3.9)</f>
        <v>3.9</v>
      </c>
      <c r="C1166" s="14">
        <f>IFERROR(__xludf.DUMMYFUNCTION("GOOGLEFINANCE(A1166,""PRICEOPEN"")"),3.88)</f>
        <v>3.88</v>
      </c>
      <c r="D1166" s="14">
        <f>IFERROR(__xludf.DUMMYFUNCTION("GOOGLEFINANCE(A1166,""HIGH"")"),3.97)</f>
        <v>3.97</v>
      </c>
      <c r="E1166" s="14">
        <f>IFERROR(__xludf.DUMMYFUNCTION("GOOGLEFINANCE(A1166,""LOW"")"),3.88)</f>
        <v>3.88</v>
      </c>
      <c r="F1166" s="15" t="str">
        <f t="shared" si="8"/>
        <v>BUY</v>
      </c>
      <c r="G1166" s="16">
        <f>IFERROR(__xludf.DUMMYFUNCTION("GOOGLEFINANCE(A1166,""CLOSEYEST"")"),3.88)</f>
        <v>3.88</v>
      </c>
      <c r="H1166" s="17" t="str">
        <f t="shared" si="14"/>
        <v/>
      </c>
      <c r="I1166" s="18">
        <f t="shared" si="9"/>
        <v>3.91</v>
      </c>
      <c r="J1166" s="19">
        <f t="shared" si="10"/>
        <v>3.94</v>
      </c>
      <c r="K1166" s="19"/>
      <c r="L1166" s="19">
        <f t="shared" si="11"/>
        <v>3.85</v>
      </c>
      <c r="M1166" s="19">
        <f t="shared" si="12"/>
        <v>4</v>
      </c>
      <c r="N1166" s="19">
        <f t="shared" si="13"/>
        <v>3.82</v>
      </c>
    </row>
    <row r="1167" ht="24.75" customHeight="1">
      <c r="A1167" s="21" t="s">
        <v>1130</v>
      </c>
      <c r="B1167" s="13">
        <f>IFERROR(__xludf.DUMMYFUNCTION("GOOGLEFINANCE(A1167,""PRICE"")"),116.7)</f>
        <v>116.7</v>
      </c>
      <c r="C1167" s="14">
        <f>IFERROR(__xludf.DUMMYFUNCTION("GOOGLEFINANCE(A1167,""PRICEOPEN"")"),114.85)</f>
        <v>114.85</v>
      </c>
      <c r="D1167" s="14">
        <f>IFERROR(__xludf.DUMMYFUNCTION("GOOGLEFINANCE(A1167,""HIGH"")"),118.9)</f>
        <v>118.9</v>
      </c>
      <c r="E1167" s="14">
        <f>IFERROR(__xludf.DUMMYFUNCTION("GOOGLEFINANCE(A1167,""LOW"")"),113.86)</f>
        <v>113.86</v>
      </c>
      <c r="F1167" s="15" t="str">
        <f t="shared" si="8"/>
        <v/>
      </c>
      <c r="G1167" s="16">
        <f>IFERROR(__xludf.DUMMYFUNCTION("GOOGLEFINANCE(A1167,""CLOSEYEST"")"),113.73)</f>
        <v>113.73</v>
      </c>
      <c r="H1167" s="17" t="str">
        <f t="shared" si="14"/>
        <v/>
      </c>
      <c r="I1167" s="18">
        <f t="shared" si="9"/>
        <v>115.4966667</v>
      </c>
      <c r="J1167" s="19">
        <f t="shared" si="10"/>
        <v>117.1333333</v>
      </c>
      <c r="K1167" s="19"/>
      <c r="L1167" s="19">
        <f t="shared" si="11"/>
        <v>112.0933333</v>
      </c>
      <c r="M1167" s="19">
        <f t="shared" si="12"/>
        <v>120.5366667</v>
      </c>
      <c r="N1167" s="19">
        <f t="shared" si="13"/>
        <v>110.4566667</v>
      </c>
    </row>
    <row r="1168" ht="24.75" customHeight="1">
      <c r="A1168" s="21" t="s">
        <v>1131</v>
      </c>
      <c r="B1168" s="13">
        <f>IFERROR(__xludf.DUMMYFUNCTION("GOOGLEFINANCE(A1168,""PRICE"")"),203.8)</f>
        <v>203.8</v>
      </c>
      <c r="C1168" s="14">
        <f>IFERROR(__xludf.DUMMYFUNCTION("GOOGLEFINANCE(A1168,""PRICEOPEN"")"),187.53)</f>
        <v>187.53</v>
      </c>
      <c r="D1168" s="14">
        <f>IFERROR(__xludf.DUMMYFUNCTION("GOOGLEFINANCE(A1168,""HIGH"")"),203.8)</f>
        <v>203.8</v>
      </c>
      <c r="E1168" s="14">
        <f>IFERROR(__xludf.DUMMYFUNCTION("GOOGLEFINANCE(A1168,""LOW"")"),186.96)</f>
        <v>186.96</v>
      </c>
      <c r="F1168" s="15" t="str">
        <f t="shared" si="8"/>
        <v/>
      </c>
      <c r="G1168" s="16">
        <f>IFERROR(__xludf.DUMMYFUNCTION("GOOGLEFINANCE(A1168,""CLOSEYEST"")"),187.53)</f>
        <v>187.53</v>
      </c>
      <c r="H1168" s="17" t="str">
        <f t="shared" si="14"/>
        <v/>
      </c>
      <c r="I1168" s="18">
        <f t="shared" si="9"/>
        <v>192.7633333</v>
      </c>
      <c r="J1168" s="19">
        <f t="shared" si="10"/>
        <v>198.5666667</v>
      </c>
      <c r="K1168" s="19"/>
      <c r="L1168" s="19">
        <f t="shared" si="11"/>
        <v>181.7266667</v>
      </c>
      <c r="M1168" s="19">
        <f t="shared" si="12"/>
        <v>209.6033333</v>
      </c>
      <c r="N1168" s="19">
        <f t="shared" si="13"/>
        <v>175.9233333</v>
      </c>
    </row>
    <row r="1169" ht="24.75" customHeight="1">
      <c r="A1169" s="21" t="s">
        <v>1132</v>
      </c>
      <c r="B1169" s="13">
        <f>IFERROR(__xludf.DUMMYFUNCTION("GOOGLEFINANCE(A1169,""PRICE"")"),470.0)</f>
        <v>470</v>
      </c>
      <c r="C1169" s="14">
        <f>IFERROR(__xludf.DUMMYFUNCTION("GOOGLEFINANCE(A1169,""PRICEOPEN"")"),470.0)</f>
        <v>470</v>
      </c>
      <c r="D1169" s="14">
        <f>IFERROR(__xludf.DUMMYFUNCTION("GOOGLEFINANCE(A1169,""HIGH"")"),470.0)</f>
        <v>470</v>
      </c>
      <c r="E1169" s="14">
        <f>IFERROR(__xludf.DUMMYFUNCTION("GOOGLEFINANCE(A1169,""LOW"")"),452.05)</f>
        <v>452.05</v>
      </c>
      <c r="F1169" s="15" t="str">
        <f t="shared" si="8"/>
        <v>SELL</v>
      </c>
      <c r="G1169" s="16">
        <f>IFERROR(__xludf.DUMMYFUNCTION("GOOGLEFINANCE(A1169,""CLOSEYEST"")"),453.95)</f>
        <v>453.95</v>
      </c>
      <c r="H1169" s="17" t="str">
        <f t="shared" si="14"/>
        <v>GAP UP</v>
      </c>
      <c r="I1169" s="18">
        <f t="shared" si="9"/>
        <v>458.6666667</v>
      </c>
      <c r="J1169" s="19">
        <f t="shared" si="10"/>
        <v>465.2833333</v>
      </c>
      <c r="K1169" s="19"/>
      <c r="L1169" s="19">
        <f t="shared" si="11"/>
        <v>447.3333333</v>
      </c>
      <c r="M1169" s="19">
        <f t="shared" si="12"/>
        <v>476.6166667</v>
      </c>
      <c r="N1169" s="19">
        <f t="shared" si="13"/>
        <v>440.7166667</v>
      </c>
    </row>
    <row r="1170" ht="24.75" customHeight="1">
      <c r="A1170" s="21" t="s">
        <v>1133</v>
      </c>
      <c r="B1170" s="13">
        <f>IFERROR(__xludf.DUMMYFUNCTION("GOOGLEFINANCE(A1170,""PRICE"")"),86.02)</f>
        <v>86.02</v>
      </c>
      <c r="C1170" s="14">
        <f>IFERROR(__xludf.DUMMYFUNCTION("GOOGLEFINANCE(A1170,""PRICEOPEN"")"),85.0)</f>
        <v>85</v>
      </c>
      <c r="D1170" s="14">
        <f>IFERROR(__xludf.DUMMYFUNCTION("GOOGLEFINANCE(A1170,""HIGH"")"),86.95)</f>
        <v>86.95</v>
      </c>
      <c r="E1170" s="14">
        <f>IFERROR(__xludf.DUMMYFUNCTION("GOOGLEFINANCE(A1170,""LOW"")"),84.94)</f>
        <v>84.94</v>
      </c>
      <c r="F1170" s="15" t="str">
        <f t="shared" si="8"/>
        <v/>
      </c>
      <c r="G1170" s="16">
        <f>IFERROR(__xludf.DUMMYFUNCTION("GOOGLEFINANCE(A1170,""CLOSEYEST"")"),84.9)</f>
        <v>84.9</v>
      </c>
      <c r="H1170" s="17" t="str">
        <f t="shared" si="14"/>
        <v/>
      </c>
      <c r="I1170" s="18">
        <f t="shared" si="9"/>
        <v>85.59666667</v>
      </c>
      <c r="J1170" s="19">
        <f t="shared" si="10"/>
        <v>86.25333333</v>
      </c>
      <c r="K1170" s="19"/>
      <c r="L1170" s="19">
        <f t="shared" si="11"/>
        <v>84.24333333</v>
      </c>
      <c r="M1170" s="19">
        <f t="shared" si="12"/>
        <v>87.60666667</v>
      </c>
      <c r="N1170" s="19">
        <f t="shared" si="13"/>
        <v>83.58666667</v>
      </c>
    </row>
    <row r="1171" ht="24.75" customHeight="1">
      <c r="A1171" s="21" t="s">
        <v>1134</v>
      </c>
      <c r="B1171" s="13">
        <f>IFERROR(__xludf.DUMMYFUNCTION("GOOGLEFINANCE(A1171,""PRICE"")"),188.88)</f>
        <v>188.88</v>
      </c>
      <c r="C1171" s="14">
        <f>IFERROR(__xludf.DUMMYFUNCTION("GOOGLEFINANCE(A1171,""PRICEOPEN"")"),185.97)</f>
        <v>185.97</v>
      </c>
      <c r="D1171" s="14">
        <f>IFERROR(__xludf.DUMMYFUNCTION("GOOGLEFINANCE(A1171,""HIGH"")"),189.7)</f>
        <v>189.7</v>
      </c>
      <c r="E1171" s="14">
        <f>IFERROR(__xludf.DUMMYFUNCTION("GOOGLEFINANCE(A1171,""LOW"")"),185.05)</f>
        <v>185.05</v>
      </c>
      <c r="F1171" s="15" t="str">
        <f t="shared" si="8"/>
        <v/>
      </c>
      <c r="G1171" s="16">
        <f>IFERROR(__xludf.DUMMYFUNCTION("GOOGLEFINANCE(A1171,""CLOSEYEST"")"),185.25)</f>
        <v>185.25</v>
      </c>
      <c r="H1171" s="17" t="str">
        <f t="shared" si="14"/>
        <v/>
      </c>
      <c r="I1171" s="18">
        <f t="shared" si="9"/>
        <v>186.6666667</v>
      </c>
      <c r="J1171" s="19">
        <f t="shared" si="10"/>
        <v>188.2833333</v>
      </c>
      <c r="K1171" s="19"/>
      <c r="L1171" s="19">
        <f t="shared" si="11"/>
        <v>183.6333333</v>
      </c>
      <c r="M1171" s="19">
        <f t="shared" si="12"/>
        <v>191.3166667</v>
      </c>
      <c r="N1171" s="19">
        <f t="shared" si="13"/>
        <v>182.0166667</v>
      </c>
    </row>
    <row r="1172" ht="24.75" customHeight="1">
      <c r="A1172" s="21" t="s">
        <v>1135</v>
      </c>
      <c r="B1172" s="13">
        <f>IFERROR(__xludf.DUMMYFUNCTION("GOOGLEFINANCE(A1172,""PRICE"")"),55.84)</f>
        <v>55.84</v>
      </c>
      <c r="C1172" s="14">
        <f>IFERROR(__xludf.DUMMYFUNCTION("GOOGLEFINANCE(A1172,""PRICEOPEN"")"),55.5)</f>
        <v>55.5</v>
      </c>
      <c r="D1172" s="14">
        <f>IFERROR(__xludf.DUMMYFUNCTION("GOOGLEFINANCE(A1172,""HIGH"")"),56.26)</f>
        <v>56.26</v>
      </c>
      <c r="E1172" s="14">
        <f>IFERROR(__xludf.DUMMYFUNCTION("GOOGLEFINANCE(A1172,""LOW"")"),54.07)</f>
        <v>54.07</v>
      </c>
      <c r="F1172" s="15" t="str">
        <f t="shared" si="8"/>
        <v/>
      </c>
      <c r="G1172" s="16">
        <f>IFERROR(__xludf.DUMMYFUNCTION("GOOGLEFINANCE(A1172,""CLOSEYEST"")"),55.7)</f>
        <v>55.7</v>
      </c>
      <c r="H1172" s="17" t="str">
        <f t="shared" si="14"/>
        <v/>
      </c>
      <c r="I1172" s="18">
        <f t="shared" si="9"/>
        <v>55.34333333</v>
      </c>
      <c r="J1172" s="19">
        <f t="shared" si="10"/>
        <v>56.61666667</v>
      </c>
      <c r="K1172" s="19"/>
      <c r="L1172" s="19">
        <f t="shared" si="11"/>
        <v>54.42666667</v>
      </c>
      <c r="M1172" s="19">
        <f t="shared" si="12"/>
        <v>57.53333333</v>
      </c>
      <c r="N1172" s="19">
        <f t="shared" si="13"/>
        <v>53.15333333</v>
      </c>
    </row>
    <row r="1173" ht="24.75" customHeight="1">
      <c r="A1173" s="21" t="s">
        <v>1136</v>
      </c>
      <c r="B1173" s="13">
        <f>IFERROR(__xludf.DUMMYFUNCTION("GOOGLEFINANCE(A1173,""PRICE"")"),245.5)</f>
        <v>245.5</v>
      </c>
      <c r="C1173" s="14">
        <f>IFERROR(__xludf.DUMMYFUNCTION("GOOGLEFINANCE(A1173,""PRICEOPEN"")"),239.0)</f>
        <v>239</v>
      </c>
      <c r="D1173" s="14">
        <f>IFERROR(__xludf.DUMMYFUNCTION("GOOGLEFINANCE(A1173,""HIGH"")"),245.5)</f>
        <v>245.5</v>
      </c>
      <c r="E1173" s="14">
        <f>IFERROR(__xludf.DUMMYFUNCTION("GOOGLEFINANCE(A1173,""LOW"")"),238.83)</f>
        <v>238.83</v>
      </c>
      <c r="F1173" s="15" t="str">
        <f t="shared" si="8"/>
        <v/>
      </c>
      <c r="G1173" s="16">
        <f>IFERROR(__xludf.DUMMYFUNCTION("GOOGLEFINANCE(A1173,""CLOSEYEST"")"),239.33)</f>
        <v>239.33</v>
      </c>
      <c r="H1173" s="17" t="str">
        <f t="shared" si="14"/>
        <v/>
      </c>
      <c r="I1173" s="18">
        <f t="shared" si="9"/>
        <v>241.22</v>
      </c>
      <c r="J1173" s="19">
        <f t="shared" si="10"/>
        <v>243.61</v>
      </c>
      <c r="K1173" s="19"/>
      <c r="L1173" s="19">
        <f t="shared" si="11"/>
        <v>236.94</v>
      </c>
      <c r="M1173" s="19">
        <f t="shared" si="12"/>
        <v>247.89</v>
      </c>
      <c r="N1173" s="19">
        <f t="shared" si="13"/>
        <v>234.55</v>
      </c>
    </row>
    <row r="1174" ht="24.75" customHeight="1">
      <c r="A1174" s="21" t="s">
        <v>1137</v>
      </c>
      <c r="B1174" s="13">
        <f>IFERROR(__xludf.DUMMYFUNCTION("GOOGLEFINANCE(A1174,""PRICE"")"),275.0)</f>
        <v>275</v>
      </c>
      <c r="C1174" s="14">
        <f>IFERROR(__xludf.DUMMYFUNCTION("GOOGLEFINANCE(A1174,""PRICEOPEN"")"),276.95)</f>
        <v>276.95</v>
      </c>
      <c r="D1174" s="14">
        <f>IFERROR(__xludf.DUMMYFUNCTION("GOOGLEFINANCE(A1174,""HIGH"")"),276.95)</f>
        <v>276.95</v>
      </c>
      <c r="E1174" s="14">
        <f>IFERROR(__xludf.DUMMYFUNCTION("GOOGLEFINANCE(A1174,""LOW"")"),271.1)</f>
        <v>271.1</v>
      </c>
      <c r="F1174" s="15" t="str">
        <f t="shared" si="8"/>
        <v>SELL</v>
      </c>
      <c r="G1174" s="16">
        <f>IFERROR(__xludf.DUMMYFUNCTION("GOOGLEFINANCE(A1174,""CLOSEYEST"")"),274.65)</f>
        <v>274.65</v>
      </c>
      <c r="H1174" s="17" t="str">
        <f t="shared" si="14"/>
        <v/>
      </c>
      <c r="I1174" s="18">
        <f t="shared" si="9"/>
        <v>274.2333333</v>
      </c>
      <c r="J1174" s="19">
        <f t="shared" si="10"/>
        <v>277.3666667</v>
      </c>
      <c r="K1174" s="19"/>
      <c r="L1174" s="19">
        <f t="shared" si="11"/>
        <v>271.5166667</v>
      </c>
      <c r="M1174" s="19">
        <f t="shared" si="12"/>
        <v>280.0833333</v>
      </c>
      <c r="N1174" s="19">
        <f t="shared" si="13"/>
        <v>268.3833333</v>
      </c>
    </row>
    <row r="1175" ht="24.75" customHeight="1">
      <c r="A1175" s="21" t="s">
        <v>1138</v>
      </c>
      <c r="B1175" s="13">
        <f>IFERROR(__xludf.DUMMYFUNCTION("GOOGLEFINANCE(A1175,""PRICE"")"),2233.0)</f>
        <v>2233</v>
      </c>
      <c r="C1175" s="14">
        <f>IFERROR(__xludf.DUMMYFUNCTION("GOOGLEFINANCE(A1175,""PRICEOPEN"")"),2207.0)</f>
        <v>2207</v>
      </c>
      <c r="D1175" s="14">
        <f>IFERROR(__xludf.DUMMYFUNCTION("GOOGLEFINANCE(A1175,""HIGH"")"),2348.9)</f>
        <v>2348.9</v>
      </c>
      <c r="E1175" s="14">
        <f>IFERROR(__xludf.DUMMYFUNCTION("GOOGLEFINANCE(A1175,""LOW"")"),2133.1)</f>
        <v>2133.1</v>
      </c>
      <c r="F1175" s="15" t="str">
        <f t="shared" si="8"/>
        <v/>
      </c>
      <c r="G1175" s="16">
        <f>IFERROR(__xludf.DUMMYFUNCTION("GOOGLEFINANCE(A1175,""CLOSEYEST"")"),2168.5)</f>
        <v>2168.5</v>
      </c>
      <c r="H1175" s="17" t="str">
        <f t="shared" si="14"/>
        <v>GAP UP</v>
      </c>
      <c r="I1175" s="18">
        <f t="shared" si="9"/>
        <v>2216.833333</v>
      </c>
      <c r="J1175" s="19">
        <f t="shared" si="10"/>
        <v>2300.566667</v>
      </c>
      <c r="K1175" s="19"/>
      <c r="L1175" s="19">
        <f t="shared" si="11"/>
        <v>2084.766667</v>
      </c>
      <c r="M1175" s="19">
        <f t="shared" si="12"/>
        <v>2432.633333</v>
      </c>
      <c r="N1175" s="19">
        <f t="shared" si="13"/>
        <v>2001.033333</v>
      </c>
    </row>
    <row r="1176" ht="24.75" customHeight="1">
      <c r="A1176" s="21" t="s">
        <v>1139</v>
      </c>
      <c r="B1176" s="13" t="str">
        <f>IFERROR(__xludf.DUMMYFUNCTION("GOOGLEFINANCE(A1176,""PRICE"")"),"#N/A")</f>
        <v>#N/A</v>
      </c>
      <c r="C1176" s="14" t="str">
        <f>IFERROR(__xludf.DUMMYFUNCTION("GOOGLEFINANCE(A1176,""PRICEOPEN"")"),"#N/A")</f>
        <v>#N/A</v>
      </c>
      <c r="D1176" s="14" t="str">
        <f>IFERROR(__xludf.DUMMYFUNCTION("GOOGLEFINANCE(A1176,""HIGH"")"),"#N/A")</f>
        <v>#N/A</v>
      </c>
      <c r="E1176" s="14" t="str">
        <f>IFERROR(__xludf.DUMMYFUNCTION("GOOGLEFINANCE(A1176,""LOW"")"),"#N/A")</f>
        <v>#N/A</v>
      </c>
      <c r="F1176" s="15" t="str">
        <f t="shared" si="8"/>
        <v>#N/A</v>
      </c>
      <c r="G1176" s="16" t="str">
        <f>IFERROR(__xludf.DUMMYFUNCTION("GOOGLEFINANCE(A1176,""CLOSEYEST"")"),"#N/A")</f>
        <v>#N/A</v>
      </c>
      <c r="H1176" s="17" t="str">
        <f t="shared" si="14"/>
        <v>#N/A</v>
      </c>
      <c r="I1176" s="18" t="str">
        <f t="shared" si="9"/>
        <v>#N/A</v>
      </c>
      <c r="J1176" s="19" t="str">
        <f t="shared" si="10"/>
        <v>#N/A</v>
      </c>
      <c r="K1176" s="19"/>
      <c r="L1176" s="19" t="str">
        <f t="shared" si="11"/>
        <v>#N/A</v>
      </c>
      <c r="M1176" s="19" t="str">
        <f t="shared" si="12"/>
        <v>#N/A</v>
      </c>
      <c r="N1176" s="19" t="str">
        <f t="shared" si="13"/>
        <v>#N/A</v>
      </c>
    </row>
    <row r="1177" ht="24.75" customHeight="1">
      <c r="A1177" s="21" t="s">
        <v>1140</v>
      </c>
      <c r="B1177" s="13">
        <f>IFERROR(__xludf.DUMMYFUNCTION("GOOGLEFINANCE(A1177,""PRICE"")"),141.72)</f>
        <v>141.72</v>
      </c>
      <c r="C1177" s="14">
        <f>IFERROR(__xludf.DUMMYFUNCTION("GOOGLEFINANCE(A1177,""PRICEOPEN"")"),142.23)</f>
        <v>142.23</v>
      </c>
      <c r="D1177" s="14">
        <f>IFERROR(__xludf.DUMMYFUNCTION("GOOGLEFINANCE(A1177,""HIGH"")"),142.23)</f>
        <v>142.23</v>
      </c>
      <c r="E1177" s="14">
        <f>IFERROR(__xludf.DUMMYFUNCTION("GOOGLEFINANCE(A1177,""LOW"")"),139.44)</f>
        <v>139.44</v>
      </c>
      <c r="F1177" s="15" t="str">
        <f t="shared" si="8"/>
        <v>SELL</v>
      </c>
      <c r="G1177" s="16">
        <f>IFERROR(__xludf.DUMMYFUNCTION("GOOGLEFINANCE(A1177,""CLOSEYEST"")"),140.84)</f>
        <v>140.84</v>
      </c>
      <c r="H1177" s="17" t="str">
        <f t="shared" si="14"/>
        <v/>
      </c>
      <c r="I1177" s="18">
        <f t="shared" si="9"/>
        <v>140.8366667</v>
      </c>
      <c r="J1177" s="19">
        <f t="shared" si="10"/>
        <v>142.2333333</v>
      </c>
      <c r="K1177" s="19"/>
      <c r="L1177" s="19">
        <f t="shared" si="11"/>
        <v>139.4433333</v>
      </c>
      <c r="M1177" s="19">
        <f t="shared" si="12"/>
        <v>143.6266667</v>
      </c>
      <c r="N1177" s="19">
        <f t="shared" si="13"/>
        <v>138.0466667</v>
      </c>
    </row>
    <row r="1178" ht="24.75" customHeight="1">
      <c r="A1178" s="21" t="s">
        <v>1141</v>
      </c>
      <c r="B1178" s="13">
        <f>IFERROR(__xludf.DUMMYFUNCTION("GOOGLEFINANCE(A1178,""PRICE"")"),1.91)</f>
        <v>1.91</v>
      </c>
      <c r="C1178" s="14">
        <f>IFERROR(__xludf.DUMMYFUNCTION("GOOGLEFINANCE(A1178,""PRICEOPEN"")"),1.91)</f>
        <v>1.91</v>
      </c>
      <c r="D1178" s="14">
        <f>IFERROR(__xludf.DUMMYFUNCTION("GOOGLEFINANCE(A1178,""HIGH"")"),1.91)</f>
        <v>1.91</v>
      </c>
      <c r="E1178" s="14">
        <f>IFERROR(__xludf.DUMMYFUNCTION("GOOGLEFINANCE(A1178,""LOW"")"),1.91)</f>
        <v>1.91</v>
      </c>
      <c r="F1178" s="15" t="str">
        <f t="shared" si="8"/>
        <v>SELL</v>
      </c>
      <c r="G1178" s="16">
        <f>IFERROR(__xludf.DUMMYFUNCTION("GOOGLEFINANCE(A1178,""CLOSEYEST"")"),1.88)</f>
        <v>1.88</v>
      </c>
      <c r="H1178" s="17" t="str">
        <f t="shared" si="14"/>
        <v>GAP UP</v>
      </c>
      <c r="I1178" s="18">
        <f t="shared" si="9"/>
        <v>1.9</v>
      </c>
      <c r="J1178" s="19">
        <f t="shared" si="10"/>
        <v>1.89</v>
      </c>
      <c r="K1178" s="19"/>
      <c r="L1178" s="19">
        <f t="shared" si="11"/>
        <v>1.89</v>
      </c>
      <c r="M1178" s="19">
        <f t="shared" si="12"/>
        <v>1.9</v>
      </c>
      <c r="N1178" s="19">
        <f t="shared" si="13"/>
        <v>1.9</v>
      </c>
    </row>
    <row r="1179" ht="24.75" customHeight="1">
      <c r="A1179" s="21" t="s">
        <v>1142</v>
      </c>
      <c r="B1179" s="13">
        <f>IFERROR(__xludf.DUMMYFUNCTION("GOOGLEFINANCE(A1179,""PRICE"")"),76.0)</f>
        <v>76</v>
      </c>
      <c r="C1179" s="14">
        <f>IFERROR(__xludf.DUMMYFUNCTION("GOOGLEFINANCE(A1179,""PRICEOPEN"")"),73.11)</f>
        <v>73.11</v>
      </c>
      <c r="D1179" s="14">
        <f>IFERROR(__xludf.DUMMYFUNCTION("GOOGLEFINANCE(A1179,""HIGH"")"),76.65)</f>
        <v>76.65</v>
      </c>
      <c r="E1179" s="14">
        <f>IFERROR(__xludf.DUMMYFUNCTION("GOOGLEFINANCE(A1179,""LOW"")"),73.11)</f>
        <v>73.11</v>
      </c>
      <c r="F1179" s="15" t="str">
        <f t="shared" si="8"/>
        <v>BUY</v>
      </c>
      <c r="G1179" s="16">
        <f>IFERROR(__xludf.DUMMYFUNCTION("GOOGLEFINANCE(A1179,""CLOSEYEST"")"),73.5)</f>
        <v>73.5</v>
      </c>
      <c r="H1179" s="17" t="str">
        <f t="shared" si="14"/>
        <v/>
      </c>
      <c r="I1179" s="18">
        <f t="shared" si="9"/>
        <v>74.42</v>
      </c>
      <c r="J1179" s="19">
        <f t="shared" si="10"/>
        <v>75.73</v>
      </c>
      <c r="K1179" s="19"/>
      <c r="L1179" s="19">
        <f t="shared" si="11"/>
        <v>72.19</v>
      </c>
      <c r="M1179" s="19">
        <f t="shared" si="12"/>
        <v>77.96</v>
      </c>
      <c r="N1179" s="19">
        <f t="shared" si="13"/>
        <v>70.88</v>
      </c>
    </row>
    <row r="1180" ht="24.75" customHeight="1">
      <c r="A1180" s="21" t="s">
        <v>1143</v>
      </c>
      <c r="B1180" s="13">
        <f>IFERROR(__xludf.DUMMYFUNCTION("GOOGLEFINANCE(A1180,""PRICE"")"),67.8)</f>
        <v>67.8</v>
      </c>
      <c r="C1180" s="14">
        <f>IFERROR(__xludf.DUMMYFUNCTION("GOOGLEFINANCE(A1180,""PRICEOPEN"")"),67.71)</f>
        <v>67.71</v>
      </c>
      <c r="D1180" s="14">
        <f>IFERROR(__xludf.DUMMYFUNCTION("GOOGLEFINANCE(A1180,""HIGH"")"),69.0)</f>
        <v>69</v>
      </c>
      <c r="E1180" s="14">
        <f>IFERROR(__xludf.DUMMYFUNCTION("GOOGLEFINANCE(A1180,""LOW"")"),67.11)</f>
        <v>67.11</v>
      </c>
      <c r="F1180" s="15" t="str">
        <f t="shared" si="8"/>
        <v/>
      </c>
      <c r="G1180" s="16">
        <f>IFERROR(__xludf.DUMMYFUNCTION("GOOGLEFINANCE(A1180,""CLOSEYEST"")"),67.71)</f>
        <v>67.71</v>
      </c>
      <c r="H1180" s="17" t="str">
        <f t="shared" si="14"/>
        <v/>
      </c>
      <c r="I1180" s="18">
        <f t="shared" si="9"/>
        <v>67.94</v>
      </c>
      <c r="J1180" s="19">
        <f t="shared" si="10"/>
        <v>68.77</v>
      </c>
      <c r="K1180" s="19"/>
      <c r="L1180" s="19">
        <f t="shared" si="11"/>
        <v>66.88</v>
      </c>
      <c r="M1180" s="19">
        <f t="shared" si="12"/>
        <v>69.83</v>
      </c>
      <c r="N1180" s="19">
        <f t="shared" si="13"/>
        <v>66.05</v>
      </c>
    </row>
    <row r="1181" ht="24.75" customHeight="1">
      <c r="A1181" s="21" t="s">
        <v>1144</v>
      </c>
      <c r="B1181" s="13" t="str">
        <f>IFERROR(__xludf.DUMMYFUNCTION("GOOGLEFINANCE(A1181,""PRICE"")"),"#N/A")</f>
        <v>#N/A</v>
      </c>
      <c r="C1181" s="14" t="str">
        <f>IFERROR(__xludf.DUMMYFUNCTION("GOOGLEFINANCE(A1181,""PRICEOPEN"")"),"#N/A")</f>
        <v>#N/A</v>
      </c>
      <c r="D1181" s="14" t="str">
        <f>IFERROR(__xludf.DUMMYFUNCTION("GOOGLEFINANCE(A1181,""HIGH"")"),"#N/A")</f>
        <v>#N/A</v>
      </c>
      <c r="E1181" s="14" t="str">
        <f>IFERROR(__xludf.DUMMYFUNCTION("GOOGLEFINANCE(A1181,""LOW"")"),"#N/A")</f>
        <v>#N/A</v>
      </c>
      <c r="F1181" s="15" t="str">
        <f t="shared" si="8"/>
        <v>#N/A</v>
      </c>
      <c r="G1181" s="16" t="str">
        <f>IFERROR(__xludf.DUMMYFUNCTION("GOOGLEFINANCE(A1181,""CLOSEYEST"")"),"#N/A")</f>
        <v>#N/A</v>
      </c>
      <c r="H1181" s="17" t="str">
        <f t="shared" si="14"/>
        <v>#N/A</v>
      </c>
      <c r="I1181" s="18" t="str">
        <f t="shared" si="9"/>
        <v>#N/A</v>
      </c>
      <c r="J1181" s="19" t="str">
        <f t="shared" si="10"/>
        <v>#N/A</v>
      </c>
      <c r="K1181" s="19"/>
      <c r="L1181" s="19" t="str">
        <f t="shared" si="11"/>
        <v>#N/A</v>
      </c>
      <c r="M1181" s="19" t="str">
        <f t="shared" si="12"/>
        <v>#N/A</v>
      </c>
      <c r="N1181" s="19" t="str">
        <f t="shared" si="13"/>
        <v>#N/A</v>
      </c>
    </row>
    <row r="1182" ht="24.75" customHeight="1">
      <c r="A1182" s="21" t="s">
        <v>1145</v>
      </c>
      <c r="B1182" s="13">
        <f>IFERROR(__xludf.DUMMYFUNCTION("GOOGLEFINANCE(A1182,""PRICE"")"),0.54)</f>
        <v>0.54</v>
      </c>
      <c r="C1182" s="14">
        <f>IFERROR(__xludf.DUMMYFUNCTION("GOOGLEFINANCE(A1182,""PRICEOPEN"")"),0.56)</f>
        <v>0.56</v>
      </c>
      <c r="D1182" s="14">
        <f>IFERROR(__xludf.DUMMYFUNCTION("GOOGLEFINANCE(A1182,""HIGH"")"),0.56)</f>
        <v>0.56</v>
      </c>
      <c r="E1182" s="14">
        <f>IFERROR(__xludf.DUMMYFUNCTION("GOOGLEFINANCE(A1182,""LOW"")"),0.54)</f>
        <v>0.54</v>
      </c>
      <c r="F1182" s="15" t="str">
        <f t="shared" si="8"/>
        <v>SELL</v>
      </c>
      <c r="G1182" s="16">
        <f>IFERROR(__xludf.DUMMYFUNCTION("GOOGLEFINANCE(A1182,""CLOSEYEST"")"),0.55)</f>
        <v>0.55</v>
      </c>
      <c r="H1182" s="17" t="str">
        <f t="shared" si="14"/>
        <v>GAP UP</v>
      </c>
      <c r="I1182" s="18">
        <f t="shared" si="9"/>
        <v>0.55</v>
      </c>
      <c r="J1182" s="19">
        <f t="shared" si="10"/>
        <v>0.56</v>
      </c>
      <c r="K1182" s="19"/>
      <c r="L1182" s="19">
        <f t="shared" si="11"/>
        <v>0.54</v>
      </c>
      <c r="M1182" s="19">
        <f t="shared" si="12"/>
        <v>0.57</v>
      </c>
      <c r="N1182" s="19">
        <f t="shared" si="13"/>
        <v>0.53</v>
      </c>
    </row>
    <row r="1183" ht="24.75" customHeight="1">
      <c r="A1183" s="21" t="s">
        <v>1146</v>
      </c>
      <c r="B1183" s="13">
        <f>IFERROR(__xludf.DUMMYFUNCTION("GOOGLEFINANCE(A1183,""PRICE"")"),295.95)</f>
        <v>295.95</v>
      </c>
      <c r="C1183" s="14">
        <f>IFERROR(__xludf.DUMMYFUNCTION("GOOGLEFINANCE(A1183,""PRICEOPEN"")"),292.5)</f>
        <v>292.5</v>
      </c>
      <c r="D1183" s="14">
        <f>IFERROR(__xludf.DUMMYFUNCTION("GOOGLEFINANCE(A1183,""HIGH"")"),298.45)</f>
        <v>298.45</v>
      </c>
      <c r="E1183" s="14">
        <f>IFERROR(__xludf.DUMMYFUNCTION("GOOGLEFINANCE(A1183,""LOW"")"),290.25)</f>
        <v>290.25</v>
      </c>
      <c r="F1183" s="15" t="str">
        <f t="shared" si="8"/>
        <v/>
      </c>
      <c r="G1183" s="16">
        <f>IFERROR(__xludf.DUMMYFUNCTION("GOOGLEFINANCE(A1183,""CLOSEYEST"")"),291.25)</f>
        <v>291.25</v>
      </c>
      <c r="H1183" s="17" t="str">
        <f t="shared" si="14"/>
        <v/>
      </c>
      <c r="I1183" s="18">
        <f t="shared" si="9"/>
        <v>293.3166667</v>
      </c>
      <c r="J1183" s="19">
        <f t="shared" si="10"/>
        <v>296.3833333</v>
      </c>
      <c r="K1183" s="19"/>
      <c r="L1183" s="19">
        <f t="shared" si="11"/>
        <v>288.1833333</v>
      </c>
      <c r="M1183" s="19">
        <f t="shared" si="12"/>
        <v>301.5166667</v>
      </c>
      <c r="N1183" s="19">
        <f t="shared" si="13"/>
        <v>285.1166667</v>
      </c>
    </row>
    <row r="1184" ht="24.75" customHeight="1">
      <c r="A1184" s="21" t="s">
        <v>1147</v>
      </c>
      <c r="B1184" s="13">
        <f>IFERROR(__xludf.DUMMYFUNCTION("GOOGLEFINANCE(A1184,""PRICE"")"),1214.0)</f>
        <v>1214</v>
      </c>
      <c r="C1184" s="14">
        <f>IFERROR(__xludf.DUMMYFUNCTION("GOOGLEFINANCE(A1184,""PRICEOPEN"")"),1242.0)</f>
        <v>1242</v>
      </c>
      <c r="D1184" s="14">
        <f>IFERROR(__xludf.DUMMYFUNCTION("GOOGLEFINANCE(A1184,""HIGH"")"),1245.0)</f>
        <v>1245</v>
      </c>
      <c r="E1184" s="14">
        <f>IFERROR(__xludf.DUMMYFUNCTION("GOOGLEFINANCE(A1184,""LOW"")"),1194.0)</f>
        <v>1194</v>
      </c>
      <c r="F1184" s="15" t="str">
        <f t="shared" si="8"/>
        <v/>
      </c>
      <c r="G1184" s="16">
        <f>IFERROR(__xludf.DUMMYFUNCTION("GOOGLEFINANCE(A1184,""CLOSEYEST"")"),1221.3)</f>
        <v>1221.3</v>
      </c>
      <c r="H1184" s="17" t="str">
        <f t="shared" si="14"/>
        <v>GAP UP</v>
      </c>
      <c r="I1184" s="18">
        <f t="shared" si="9"/>
        <v>1220.1</v>
      </c>
      <c r="J1184" s="19">
        <f t="shared" si="10"/>
        <v>1246.2</v>
      </c>
      <c r="K1184" s="19"/>
      <c r="L1184" s="19">
        <f t="shared" si="11"/>
        <v>1195.2</v>
      </c>
      <c r="M1184" s="19">
        <f t="shared" si="12"/>
        <v>1271.1</v>
      </c>
      <c r="N1184" s="19">
        <f t="shared" si="13"/>
        <v>1169.1</v>
      </c>
    </row>
    <row r="1185" ht="24.75" customHeight="1">
      <c r="A1185" s="21" t="s">
        <v>1148</v>
      </c>
      <c r="B1185" s="13" t="str">
        <f>IFERROR(__xludf.DUMMYFUNCTION("GOOGLEFINANCE(A1185,""PRICE"")"),"#N/A")</f>
        <v>#N/A</v>
      </c>
      <c r="C1185" s="14" t="str">
        <f>IFERROR(__xludf.DUMMYFUNCTION("GOOGLEFINANCE(A1185,""PRICEOPEN"")"),"#N/A")</f>
        <v>#N/A</v>
      </c>
      <c r="D1185" s="14" t="str">
        <f>IFERROR(__xludf.DUMMYFUNCTION("GOOGLEFINANCE(A1185,""HIGH"")"),"#N/A")</f>
        <v>#N/A</v>
      </c>
      <c r="E1185" s="14" t="str">
        <f>IFERROR(__xludf.DUMMYFUNCTION("GOOGLEFINANCE(A1185,""LOW"")"),"#N/A")</f>
        <v>#N/A</v>
      </c>
      <c r="F1185" s="15" t="str">
        <f t="shared" si="8"/>
        <v>#N/A</v>
      </c>
      <c r="G1185" s="16" t="str">
        <f>IFERROR(__xludf.DUMMYFUNCTION("GOOGLEFINANCE(A1185,""CLOSEYEST"")"),"#N/A")</f>
        <v>#N/A</v>
      </c>
      <c r="H1185" s="17" t="str">
        <f t="shared" si="14"/>
        <v>#N/A</v>
      </c>
      <c r="I1185" s="18" t="str">
        <f t="shared" si="9"/>
        <v>#N/A</v>
      </c>
      <c r="J1185" s="19" t="str">
        <f t="shared" si="10"/>
        <v>#N/A</v>
      </c>
      <c r="K1185" s="19"/>
      <c r="L1185" s="19" t="str">
        <f t="shared" si="11"/>
        <v>#N/A</v>
      </c>
      <c r="M1185" s="19" t="str">
        <f t="shared" si="12"/>
        <v>#N/A</v>
      </c>
      <c r="N1185" s="19" t="str">
        <f t="shared" si="13"/>
        <v>#N/A</v>
      </c>
    </row>
    <row r="1186" ht="24.75" customHeight="1">
      <c r="A1186" s="21" t="s">
        <v>1149</v>
      </c>
      <c r="B1186" s="13">
        <f>IFERROR(__xludf.DUMMYFUNCTION("GOOGLEFINANCE(A1186,""PRICE"")"),167.0)</f>
        <v>167</v>
      </c>
      <c r="C1186" s="14">
        <f>IFERROR(__xludf.DUMMYFUNCTION("GOOGLEFINANCE(A1186,""PRICEOPEN"")"),163.0)</f>
        <v>163</v>
      </c>
      <c r="D1186" s="14">
        <f>IFERROR(__xludf.DUMMYFUNCTION("GOOGLEFINANCE(A1186,""HIGH"")"),168.79)</f>
        <v>168.79</v>
      </c>
      <c r="E1186" s="14">
        <f>IFERROR(__xludf.DUMMYFUNCTION("GOOGLEFINANCE(A1186,""LOW"")"),161.55)</f>
        <v>161.55</v>
      </c>
      <c r="F1186" s="15" t="str">
        <f t="shared" si="8"/>
        <v/>
      </c>
      <c r="G1186" s="16">
        <f>IFERROR(__xludf.DUMMYFUNCTION("GOOGLEFINANCE(A1186,""CLOSEYEST"")"),164.76)</f>
        <v>164.76</v>
      </c>
      <c r="H1186" s="17" t="str">
        <f t="shared" si="14"/>
        <v>GAP DOWN</v>
      </c>
      <c r="I1186" s="18">
        <f t="shared" si="9"/>
        <v>165.0333333</v>
      </c>
      <c r="J1186" s="19">
        <f t="shared" si="10"/>
        <v>168.5166667</v>
      </c>
      <c r="K1186" s="19"/>
      <c r="L1186" s="19">
        <f t="shared" si="11"/>
        <v>161.2766667</v>
      </c>
      <c r="M1186" s="19">
        <f t="shared" si="12"/>
        <v>172.2733333</v>
      </c>
      <c r="N1186" s="19">
        <f t="shared" si="13"/>
        <v>157.7933333</v>
      </c>
    </row>
    <row r="1187" ht="24.75" customHeight="1">
      <c r="A1187" s="21" t="s">
        <v>1150</v>
      </c>
      <c r="B1187" s="13">
        <f>IFERROR(__xludf.DUMMYFUNCTION("GOOGLEFINANCE(A1187,""PRICE"")"),129.95)</f>
        <v>129.95</v>
      </c>
      <c r="C1187" s="14">
        <f>IFERROR(__xludf.DUMMYFUNCTION("GOOGLEFINANCE(A1187,""PRICEOPEN"")"),128.3)</f>
        <v>128.3</v>
      </c>
      <c r="D1187" s="14">
        <f>IFERROR(__xludf.DUMMYFUNCTION("GOOGLEFINANCE(A1187,""HIGH"")"),131.46)</f>
        <v>131.46</v>
      </c>
      <c r="E1187" s="14">
        <f>IFERROR(__xludf.DUMMYFUNCTION("GOOGLEFINANCE(A1187,""LOW"")"),128.3)</f>
        <v>128.3</v>
      </c>
      <c r="F1187" s="15" t="str">
        <f t="shared" si="8"/>
        <v>BUY</v>
      </c>
      <c r="G1187" s="16">
        <f>IFERROR(__xludf.DUMMYFUNCTION("GOOGLEFINANCE(A1187,""CLOSEYEST"")"),128.91)</f>
        <v>128.91</v>
      </c>
      <c r="H1187" s="17" t="str">
        <f t="shared" si="14"/>
        <v/>
      </c>
      <c r="I1187" s="18">
        <f t="shared" si="9"/>
        <v>129.5566667</v>
      </c>
      <c r="J1187" s="19">
        <f t="shared" si="10"/>
        <v>130.8133333</v>
      </c>
      <c r="K1187" s="19"/>
      <c r="L1187" s="19">
        <f t="shared" si="11"/>
        <v>127.6533333</v>
      </c>
      <c r="M1187" s="19">
        <f t="shared" si="12"/>
        <v>132.7166667</v>
      </c>
      <c r="N1187" s="19">
        <f t="shared" si="13"/>
        <v>126.3966667</v>
      </c>
    </row>
    <row r="1188" ht="24.75" customHeight="1">
      <c r="A1188" s="21" t="s">
        <v>1151</v>
      </c>
      <c r="B1188" s="13">
        <f>IFERROR(__xludf.DUMMYFUNCTION("GOOGLEFINANCE(A1188,""PRICE"")"),169.0)</f>
        <v>169</v>
      </c>
      <c r="C1188" s="14">
        <f>IFERROR(__xludf.DUMMYFUNCTION("GOOGLEFINANCE(A1188,""PRICEOPEN"")"),171.9)</f>
        <v>171.9</v>
      </c>
      <c r="D1188" s="14">
        <f>IFERROR(__xludf.DUMMYFUNCTION("GOOGLEFINANCE(A1188,""HIGH"")"),176.84)</f>
        <v>176.84</v>
      </c>
      <c r="E1188" s="14">
        <f>IFERROR(__xludf.DUMMYFUNCTION("GOOGLEFINANCE(A1188,""LOW"")"),168.05)</f>
        <v>168.05</v>
      </c>
      <c r="F1188" s="15" t="str">
        <f t="shared" si="8"/>
        <v/>
      </c>
      <c r="G1188" s="16">
        <f>IFERROR(__xludf.DUMMYFUNCTION("GOOGLEFINANCE(A1188,""CLOSEYEST"")"),169.13)</f>
        <v>169.13</v>
      </c>
      <c r="H1188" s="17" t="str">
        <f t="shared" si="14"/>
        <v>GAP UP</v>
      </c>
      <c r="I1188" s="18">
        <f t="shared" si="9"/>
        <v>171.34</v>
      </c>
      <c r="J1188" s="19">
        <f t="shared" si="10"/>
        <v>174.63</v>
      </c>
      <c r="K1188" s="19"/>
      <c r="L1188" s="19">
        <f t="shared" si="11"/>
        <v>165.84</v>
      </c>
      <c r="M1188" s="19">
        <f t="shared" si="12"/>
        <v>180.13</v>
      </c>
      <c r="N1188" s="19">
        <f t="shared" si="13"/>
        <v>162.55</v>
      </c>
    </row>
    <row r="1189" ht="24.75" customHeight="1">
      <c r="A1189" s="21" t="s">
        <v>1152</v>
      </c>
      <c r="B1189" s="13">
        <f>IFERROR(__xludf.DUMMYFUNCTION("GOOGLEFINANCE(A1189,""PRICE"")"),251.36)</f>
        <v>251.36</v>
      </c>
      <c r="C1189" s="14">
        <f>IFERROR(__xludf.DUMMYFUNCTION("GOOGLEFINANCE(A1189,""PRICEOPEN"")"),252.27)</f>
        <v>252.27</v>
      </c>
      <c r="D1189" s="14">
        <f>IFERROR(__xludf.DUMMYFUNCTION("GOOGLEFINANCE(A1189,""HIGH"")"),252.27)</f>
        <v>252.27</v>
      </c>
      <c r="E1189" s="14">
        <f>IFERROR(__xludf.DUMMYFUNCTION("GOOGLEFINANCE(A1189,""LOW"")"),251.77)</f>
        <v>251.77</v>
      </c>
      <c r="F1189" s="15" t="str">
        <f t="shared" si="8"/>
        <v>SELL</v>
      </c>
      <c r="G1189" s="16">
        <f>IFERROR(__xludf.DUMMYFUNCTION("GOOGLEFINANCE(A1189,""CLOSEYEST"")"),251.53)</f>
        <v>251.53</v>
      </c>
      <c r="H1189" s="17" t="str">
        <f t="shared" si="14"/>
        <v/>
      </c>
      <c r="I1189" s="18">
        <f t="shared" si="9"/>
        <v>251.8566667</v>
      </c>
      <c r="J1189" s="19">
        <f t="shared" si="10"/>
        <v>251.9433333</v>
      </c>
      <c r="K1189" s="19"/>
      <c r="L1189" s="19">
        <f t="shared" si="11"/>
        <v>251.4433333</v>
      </c>
      <c r="M1189" s="19">
        <f t="shared" si="12"/>
        <v>252.3566667</v>
      </c>
      <c r="N1189" s="19">
        <f t="shared" si="13"/>
        <v>251.3566667</v>
      </c>
    </row>
    <row r="1190" ht="24.75" customHeight="1">
      <c r="A1190" s="21" t="s">
        <v>1153</v>
      </c>
      <c r="B1190" s="13">
        <f>IFERROR(__xludf.DUMMYFUNCTION("GOOGLEFINANCE(A1190,""PRICE"")"),44.83)</f>
        <v>44.83</v>
      </c>
      <c r="C1190" s="14">
        <f>IFERROR(__xludf.DUMMYFUNCTION("GOOGLEFINANCE(A1190,""PRICEOPEN"")"),44.6)</f>
        <v>44.6</v>
      </c>
      <c r="D1190" s="14">
        <f>IFERROR(__xludf.DUMMYFUNCTION("GOOGLEFINANCE(A1190,""HIGH"")"),45.34)</f>
        <v>45.34</v>
      </c>
      <c r="E1190" s="14">
        <f>IFERROR(__xludf.DUMMYFUNCTION("GOOGLEFINANCE(A1190,""LOW"")"),44.53)</f>
        <v>44.53</v>
      </c>
      <c r="F1190" s="15" t="str">
        <f t="shared" si="8"/>
        <v/>
      </c>
      <c r="G1190" s="16">
        <f>IFERROR(__xludf.DUMMYFUNCTION("GOOGLEFINANCE(A1190,""CLOSEYEST"")"),44.53)</f>
        <v>44.53</v>
      </c>
      <c r="H1190" s="17" t="str">
        <f t="shared" si="14"/>
        <v/>
      </c>
      <c r="I1190" s="18">
        <f t="shared" si="9"/>
        <v>44.8</v>
      </c>
      <c r="J1190" s="19">
        <f t="shared" si="10"/>
        <v>45.07</v>
      </c>
      <c r="K1190" s="19"/>
      <c r="L1190" s="19">
        <f t="shared" si="11"/>
        <v>44.26</v>
      </c>
      <c r="M1190" s="19">
        <f t="shared" si="12"/>
        <v>45.61</v>
      </c>
      <c r="N1190" s="19">
        <f t="shared" si="13"/>
        <v>43.99</v>
      </c>
    </row>
    <row r="1191" ht="24.75" customHeight="1">
      <c r="A1191" s="21" t="s">
        <v>1154</v>
      </c>
      <c r="B1191" s="13">
        <f>IFERROR(__xludf.DUMMYFUNCTION("GOOGLEFINANCE(A1191,""PRICE"")"),8.09)</f>
        <v>8.09</v>
      </c>
      <c r="C1191" s="14">
        <f>IFERROR(__xludf.DUMMYFUNCTION("GOOGLEFINANCE(A1191,""PRICEOPEN"")"),8.14)</f>
        <v>8.14</v>
      </c>
      <c r="D1191" s="14">
        <f>IFERROR(__xludf.DUMMYFUNCTION("GOOGLEFINANCE(A1191,""HIGH"")"),8.14)</f>
        <v>8.14</v>
      </c>
      <c r="E1191" s="14">
        <f>IFERROR(__xludf.DUMMYFUNCTION("GOOGLEFINANCE(A1191,""LOW"")"),8.0)</f>
        <v>8</v>
      </c>
      <c r="F1191" s="15" t="str">
        <f t="shared" si="8"/>
        <v>SELL</v>
      </c>
      <c r="G1191" s="16">
        <f>IFERROR(__xludf.DUMMYFUNCTION("GOOGLEFINANCE(A1191,""CLOSEYEST"")"),8.07)</f>
        <v>8.07</v>
      </c>
      <c r="H1191" s="17" t="str">
        <f t="shared" si="14"/>
        <v/>
      </c>
      <c r="I1191" s="18">
        <f t="shared" si="9"/>
        <v>8.07</v>
      </c>
      <c r="J1191" s="19">
        <f t="shared" si="10"/>
        <v>8.14</v>
      </c>
      <c r="K1191" s="19"/>
      <c r="L1191" s="19">
        <f t="shared" si="11"/>
        <v>8</v>
      </c>
      <c r="M1191" s="19">
        <f t="shared" si="12"/>
        <v>8.21</v>
      </c>
      <c r="N1191" s="19">
        <f t="shared" si="13"/>
        <v>7.93</v>
      </c>
    </row>
    <row r="1192" ht="24.75" customHeight="1">
      <c r="A1192" s="21" t="s">
        <v>1155</v>
      </c>
      <c r="B1192" s="13" t="str">
        <f>IFERROR(__xludf.DUMMYFUNCTION("GOOGLEFINANCE(A1192,""PRICE"")"),"#N/A")</f>
        <v>#N/A</v>
      </c>
      <c r="C1192" s="14" t="str">
        <f>IFERROR(__xludf.DUMMYFUNCTION("GOOGLEFINANCE(A1192,""PRICEOPEN"")"),"#N/A")</f>
        <v>#N/A</v>
      </c>
      <c r="D1192" s="14" t="str">
        <f>IFERROR(__xludf.DUMMYFUNCTION("GOOGLEFINANCE(A1192,""HIGH"")"),"#N/A")</f>
        <v>#N/A</v>
      </c>
      <c r="E1192" s="14" t="str">
        <f>IFERROR(__xludf.DUMMYFUNCTION("GOOGLEFINANCE(A1192,""LOW"")"),"#N/A")</f>
        <v>#N/A</v>
      </c>
      <c r="F1192" s="15" t="str">
        <f t="shared" si="8"/>
        <v>#N/A</v>
      </c>
      <c r="G1192" s="16" t="str">
        <f>IFERROR(__xludf.DUMMYFUNCTION("GOOGLEFINANCE(A1192,""CLOSEYEST"")"),"#N/A")</f>
        <v>#N/A</v>
      </c>
      <c r="H1192" s="17" t="str">
        <f t="shared" si="14"/>
        <v>#N/A</v>
      </c>
      <c r="I1192" s="18" t="str">
        <f t="shared" si="9"/>
        <v>#N/A</v>
      </c>
      <c r="J1192" s="19" t="str">
        <f t="shared" si="10"/>
        <v>#N/A</v>
      </c>
      <c r="K1192" s="19"/>
      <c r="L1192" s="19" t="str">
        <f t="shared" si="11"/>
        <v>#N/A</v>
      </c>
      <c r="M1192" s="19" t="str">
        <f t="shared" si="12"/>
        <v>#N/A</v>
      </c>
      <c r="N1192" s="19" t="str">
        <f t="shared" si="13"/>
        <v>#N/A</v>
      </c>
    </row>
    <row r="1193" ht="24.75" customHeight="1">
      <c r="A1193" s="21" t="s">
        <v>1156</v>
      </c>
      <c r="B1193" s="13">
        <f>IFERROR(__xludf.DUMMYFUNCTION("GOOGLEFINANCE(A1193,""PRICE"")"),762.8)</f>
        <v>762.8</v>
      </c>
      <c r="C1193" s="14">
        <f>IFERROR(__xludf.DUMMYFUNCTION("GOOGLEFINANCE(A1193,""PRICEOPEN"")"),750.0)</f>
        <v>750</v>
      </c>
      <c r="D1193" s="14">
        <f>IFERROR(__xludf.DUMMYFUNCTION("GOOGLEFINANCE(A1193,""HIGH"")"),762.8)</f>
        <v>762.8</v>
      </c>
      <c r="E1193" s="14">
        <f>IFERROR(__xludf.DUMMYFUNCTION("GOOGLEFINANCE(A1193,""LOW"")"),740.0)</f>
        <v>740</v>
      </c>
      <c r="F1193" s="15" t="str">
        <f t="shared" si="8"/>
        <v/>
      </c>
      <c r="G1193" s="16">
        <f>IFERROR(__xludf.DUMMYFUNCTION("GOOGLEFINANCE(A1193,""CLOSEYEST"")"),749.35)</f>
        <v>749.35</v>
      </c>
      <c r="H1193" s="17" t="str">
        <f t="shared" si="14"/>
        <v/>
      </c>
      <c r="I1193" s="18">
        <f t="shared" si="9"/>
        <v>750.7166667</v>
      </c>
      <c r="J1193" s="19">
        <f t="shared" si="10"/>
        <v>761.4333333</v>
      </c>
      <c r="K1193" s="19"/>
      <c r="L1193" s="19">
        <f t="shared" si="11"/>
        <v>738.6333333</v>
      </c>
      <c r="M1193" s="19">
        <f t="shared" si="12"/>
        <v>773.5166667</v>
      </c>
      <c r="N1193" s="19">
        <f t="shared" si="13"/>
        <v>727.9166667</v>
      </c>
    </row>
    <row r="1194" ht="24.75" customHeight="1">
      <c r="A1194" s="21" t="s">
        <v>1157</v>
      </c>
      <c r="B1194" s="13">
        <f>IFERROR(__xludf.DUMMYFUNCTION("GOOGLEFINANCE(A1194,""PRICE"")"),600.0)</f>
        <v>600</v>
      </c>
      <c r="C1194" s="14">
        <f>IFERROR(__xludf.DUMMYFUNCTION("GOOGLEFINANCE(A1194,""PRICEOPEN"")"),595.5)</f>
        <v>595.5</v>
      </c>
      <c r="D1194" s="14">
        <f>IFERROR(__xludf.DUMMYFUNCTION("GOOGLEFINANCE(A1194,""HIGH"")"),603.9)</f>
        <v>603.9</v>
      </c>
      <c r="E1194" s="14">
        <f>IFERROR(__xludf.DUMMYFUNCTION("GOOGLEFINANCE(A1194,""LOW"")"),585.55)</f>
        <v>585.55</v>
      </c>
      <c r="F1194" s="15" t="str">
        <f t="shared" si="8"/>
        <v/>
      </c>
      <c r="G1194" s="16">
        <f>IFERROR(__xludf.DUMMYFUNCTION("GOOGLEFINANCE(A1194,""CLOSEYEST"")"),595.5)</f>
        <v>595.5</v>
      </c>
      <c r="H1194" s="17" t="str">
        <f t="shared" si="14"/>
        <v/>
      </c>
      <c r="I1194" s="18">
        <f t="shared" si="9"/>
        <v>594.9833333</v>
      </c>
      <c r="J1194" s="19">
        <f t="shared" si="10"/>
        <v>604.4166667</v>
      </c>
      <c r="K1194" s="19"/>
      <c r="L1194" s="19">
        <f t="shared" si="11"/>
        <v>586.0666667</v>
      </c>
      <c r="M1194" s="19">
        <f t="shared" si="12"/>
        <v>613.3333333</v>
      </c>
      <c r="N1194" s="19">
        <f t="shared" si="13"/>
        <v>576.6333333</v>
      </c>
    </row>
    <row r="1195" ht="24.75" customHeight="1">
      <c r="A1195" s="21" t="s">
        <v>1158</v>
      </c>
      <c r="B1195" s="13">
        <f>IFERROR(__xludf.DUMMYFUNCTION("GOOGLEFINANCE(A1195,""PRICE"")"),127.53)</f>
        <v>127.53</v>
      </c>
      <c r="C1195" s="14">
        <f>IFERROR(__xludf.DUMMYFUNCTION("GOOGLEFINANCE(A1195,""PRICEOPEN"")"),126.99)</f>
        <v>126.99</v>
      </c>
      <c r="D1195" s="14">
        <f>IFERROR(__xludf.DUMMYFUNCTION("GOOGLEFINANCE(A1195,""HIGH"")"),130.41)</f>
        <v>130.41</v>
      </c>
      <c r="E1195" s="14">
        <f>IFERROR(__xludf.DUMMYFUNCTION("GOOGLEFINANCE(A1195,""LOW"")"),125.49)</f>
        <v>125.49</v>
      </c>
      <c r="F1195" s="15" t="str">
        <f t="shared" si="8"/>
        <v/>
      </c>
      <c r="G1195" s="16">
        <f>IFERROR(__xludf.DUMMYFUNCTION("GOOGLEFINANCE(A1195,""CLOSEYEST"")"),124.99)</f>
        <v>124.99</v>
      </c>
      <c r="H1195" s="17" t="str">
        <f t="shared" si="14"/>
        <v>GAP UP</v>
      </c>
      <c r="I1195" s="18">
        <f t="shared" si="9"/>
        <v>126.9633333</v>
      </c>
      <c r="J1195" s="19">
        <f t="shared" si="10"/>
        <v>128.4366667</v>
      </c>
      <c r="K1195" s="19"/>
      <c r="L1195" s="19">
        <f t="shared" si="11"/>
        <v>123.5166667</v>
      </c>
      <c r="M1195" s="19">
        <f t="shared" si="12"/>
        <v>131.8833333</v>
      </c>
      <c r="N1195" s="19">
        <f t="shared" si="13"/>
        <v>122.0433333</v>
      </c>
    </row>
    <row r="1196" ht="24.75" customHeight="1">
      <c r="A1196" s="21" t="s">
        <v>1159</v>
      </c>
      <c r="B1196" s="13">
        <f>IFERROR(__xludf.DUMMYFUNCTION("GOOGLEFINANCE(A1196,""PRICE"")"),44.5)</f>
        <v>44.5</v>
      </c>
      <c r="C1196" s="14">
        <f>IFERROR(__xludf.DUMMYFUNCTION("GOOGLEFINANCE(A1196,""PRICEOPEN"")"),44.21)</f>
        <v>44.21</v>
      </c>
      <c r="D1196" s="14">
        <f>IFERROR(__xludf.DUMMYFUNCTION("GOOGLEFINANCE(A1196,""HIGH"")"),44.63)</f>
        <v>44.63</v>
      </c>
      <c r="E1196" s="14">
        <f>IFERROR(__xludf.DUMMYFUNCTION("GOOGLEFINANCE(A1196,""LOW"")"),44.1)</f>
        <v>44.1</v>
      </c>
      <c r="F1196" s="15" t="str">
        <f t="shared" si="8"/>
        <v/>
      </c>
      <c r="G1196" s="16">
        <f>IFERROR(__xludf.DUMMYFUNCTION("GOOGLEFINANCE(A1196,""CLOSEYEST"")"),44.22)</f>
        <v>44.22</v>
      </c>
      <c r="H1196" s="17" t="str">
        <f t="shared" si="14"/>
        <v/>
      </c>
      <c r="I1196" s="18">
        <f t="shared" si="9"/>
        <v>44.31666667</v>
      </c>
      <c r="J1196" s="19">
        <f t="shared" si="10"/>
        <v>44.53333333</v>
      </c>
      <c r="K1196" s="19"/>
      <c r="L1196" s="19">
        <f t="shared" si="11"/>
        <v>44.00333333</v>
      </c>
      <c r="M1196" s="19">
        <f t="shared" si="12"/>
        <v>44.84666667</v>
      </c>
      <c r="N1196" s="19">
        <f t="shared" si="13"/>
        <v>43.78666667</v>
      </c>
    </row>
    <row r="1197" ht="24.75" customHeight="1">
      <c r="A1197" s="21" t="s">
        <v>1160</v>
      </c>
      <c r="B1197" s="13">
        <f>IFERROR(__xludf.DUMMYFUNCTION("GOOGLEFINANCE(A1197,""PRICE"")"),186.1)</f>
        <v>186.1</v>
      </c>
      <c r="C1197" s="14">
        <f>IFERROR(__xludf.DUMMYFUNCTION("GOOGLEFINANCE(A1197,""PRICEOPEN"")"),185.0)</f>
        <v>185</v>
      </c>
      <c r="D1197" s="14">
        <f>IFERROR(__xludf.DUMMYFUNCTION("GOOGLEFINANCE(A1197,""HIGH"")"),189.85)</f>
        <v>189.85</v>
      </c>
      <c r="E1197" s="14">
        <f>IFERROR(__xludf.DUMMYFUNCTION("GOOGLEFINANCE(A1197,""LOW"")"),185.0)</f>
        <v>185</v>
      </c>
      <c r="F1197" s="15" t="str">
        <f t="shared" si="8"/>
        <v>BUY</v>
      </c>
      <c r="G1197" s="16">
        <f>IFERROR(__xludf.DUMMYFUNCTION("GOOGLEFINANCE(A1197,""CLOSEYEST"")"),184.61)</f>
        <v>184.61</v>
      </c>
      <c r="H1197" s="17" t="str">
        <f t="shared" si="14"/>
        <v/>
      </c>
      <c r="I1197" s="18">
        <f t="shared" si="9"/>
        <v>186.4866667</v>
      </c>
      <c r="J1197" s="19">
        <f t="shared" si="10"/>
        <v>187.9733333</v>
      </c>
      <c r="K1197" s="19"/>
      <c r="L1197" s="19">
        <f t="shared" si="11"/>
        <v>183.1233333</v>
      </c>
      <c r="M1197" s="19">
        <f t="shared" si="12"/>
        <v>191.3366667</v>
      </c>
      <c r="N1197" s="19">
        <f t="shared" si="13"/>
        <v>181.6366667</v>
      </c>
    </row>
    <row r="1198" ht="24.75" customHeight="1">
      <c r="A1198" s="21" t="s">
        <v>1161</v>
      </c>
      <c r="B1198" s="13">
        <f>IFERROR(__xludf.DUMMYFUNCTION("GOOGLEFINANCE(A1198,""PRICE"")"),265.6)</f>
        <v>265.6</v>
      </c>
      <c r="C1198" s="14">
        <f>IFERROR(__xludf.DUMMYFUNCTION("GOOGLEFINANCE(A1198,""PRICEOPEN"")"),259.0)</f>
        <v>259</v>
      </c>
      <c r="D1198" s="14">
        <f>IFERROR(__xludf.DUMMYFUNCTION("GOOGLEFINANCE(A1198,""HIGH"")"),279.55)</f>
        <v>279.55</v>
      </c>
      <c r="E1198" s="14">
        <f>IFERROR(__xludf.DUMMYFUNCTION("GOOGLEFINANCE(A1198,""LOW"")"),257.8)</f>
        <v>257.8</v>
      </c>
      <c r="F1198" s="15" t="str">
        <f t="shared" si="8"/>
        <v/>
      </c>
      <c r="G1198" s="16">
        <f>IFERROR(__xludf.DUMMYFUNCTION("GOOGLEFINANCE(A1198,""CLOSEYEST"")"),257.95)</f>
        <v>257.95</v>
      </c>
      <c r="H1198" s="17" t="str">
        <f t="shared" si="14"/>
        <v/>
      </c>
      <c r="I1198" s="18">
        <f t="shared" si="9"/>
        <v>265.1</v>
      </c>
      <c r="J1198" s="19">
        <f t="shared" si="10"/>
        <v>272.4</v>
      </c>
      <c r="K1198" s="19"/>
      <c r="L1198" s="19">
        <f t="shared" si="11"/>
        <v>250.65</v>
      </c>
      <c r="M1198" s="19">
        <f t="shared" si="12"/>
        <v>286.85</v>
      </c>
      <c r="N1198" s="19">
        <f t="shared" si="13"/>
        <v>243.35</v>
      </c>
    </row>
    <row r="1199" ht="24.75" customHeight="1">
      <c r="A1199" s="21" t="s">
        <v>1162</v>
      </c>
      <c r="B1199" s="13">
        <f>IFERROR(__xludf.DUMMYFUNCTION("GOOGLEFINANCE(A1199,""PRICE"")"),2840.0)</f>
        <v>2840</v>
      </c>
      <c r="C1199" s="14">
        <f>IFERROR(__xludf.DUMMYFUNCTION("GOOGLEFINANCE(A1199,""PRICEOPEN"")"),2840.0)</f>
        <v>2840</v>
      </c>
      <c r="D1199" s="14">
        <f>IFERROR(__xludf.DUMMYFUNCTION("GOOGLEFINANCE(A1199,""HIGH"")"),2840.0)</f>
        <v>2840</v>
      </c>
      <c r="E1199" s="14">
        <f>IFERROR(__xludf.DUMMYFUNCTION("GOOGLEFINANCE(A1199,""LOW"")"),2840.0)</f>
        <v>2840</v>
      </c>
      <c r="F1199" s="15" t="str">
        <f t="shared" si="8"/>
        <v>SELL</v>
      </c>
      <c r="G1199" s="16">
        <f>IFERROR(__xludf.DUMMYFUNCTION("GOOGLEFINANCE(A1199,""CLOSEYEST"")"),2776.0)</f>
        <v>2776</v>
      </c>
      <c r="H1199" s="17" t="str">
        <f t="shared" si="14"/>
        <v>GAP UP</v>
      </c>
      <c r="I1199" s="18">
        <f t="shared" si="9"/>
        <v>2818.666667</v>
      </c>
      <c r="J1199" s="19">
        <f t="shared" si="10"/>
        <v>2797.333333</v>
      </c>
      <c r="K1199" s="19"/>
      <c r="L1199" s="19">
        <f t="shared" si="11"/>
        <v>2797.333333</v>
      </c>
      <c r="M1199" s="19">
        <f t="shared" si="12"/>
        <v>2818.666667</v>
      </c>
      <c r="N1199" s="19">
        <f t="shared" si="13"/>
        <v>2818.666667</v>
      </c>
    </row>
    <row r="1200" ht="24.75" customHeight="1">
      <c r="A1200" s="21" t="s">
        <v>1163</v>
      </c>
      <c r="B1200" s="13">
        <f>IFERROR(__xludf.DUMMYFUNCTION("GOOGLEFINANCE(A1200,""PRICE"")"),946.0)</f>
        <v>946</v>
      </c>
      <c r="C1200" s="14">
        <f>IFERROR(__xludf.DUMMYFUNCTION("GOOGLEFINANCE(A1200,""PRICEOPEN"")"),960.75)</f>
        <v>960.75</v>
      </c>
      <c r="D1200" s="14">
        <f>IFERROR(__xludf.DUMMYFUNCTION("GOOGLEFINANCE(A1200,""HIGH"")"),984.95)</f>
        <v>984.95</v>
      </c>
      <c r="E1200" s="14">
        <f>IFERROR(__xludf.DUMMYFUNCTION("GOOGLEFINANCE(A1200,""LOW"")"),937.0)</f>
        <v>937</v>
      </c>
      <c r="F1200" s="15" t="str">
        <f t="shared" si="8"/>
        <v/>
      </c>
      <c r="G1200" s="16">
        <f>IFERROR(__xludf.DUMMYFUNCTION("GOOGLEFINANCE(A1200,""CLOSEYEST"")"),960.65)</f>
        <v>960.65</v>
      </c>
      <c r="H1200" s="17" t="str">
        <f t="shared" si="14"/>
        <v/>
      </c>
      <c r="I1200" s="18">
        <f t="shared" si="9"/>
        <v>960.8666667</v>
      </c>
      <c r="J1200" s="19">
        <f t="shared" si="10"/>
        <v>984.7333333</v>
      </c>
      <c r="K1200" s="19"/>
      <c r="L1200" s="19">
        <f t="shared" si="11"/>
        <v>936.7833333</v>
      </c>
      <c r="M1200" s="19">
        <f t="shared" si="12"/>
        <v>1008.816667</v>
      </c>
      <c r="N1200" s="19">
        <f t="shared" si="13"/>
        <v>912.9166667</v>
      </c>
    </row>
    <row r="1201" ht="24.75" customHeight="1">
      <c r="A1201" s="21" t="s">
        <v>1164</v>
      </c>
      <c r="B1201" s="13">
        <f>IFERROR(__xludf.DUMMYFUNCTION("GOOGLEFINANCE(A1201,""PRICE"")"),0.08)</f>
        <v>0.08</v>
      </c>
      <c r="C1201" s="14">
        <f>IFERROR(__xludf.DUMMYFUNCTION("GOOGLEFINANCE(A1201,""PRICEOPEN"")"),0.08)</f>
        <v>0.08</v>
      </c>
      <c r="D1201" s="14">
        <f>IFERROR(__xludf.DUMMYFUNCTION("GOOGLEFINANCE(A1201,""HIGH"")"),0.08)</f>
        <v>0.08</v>
      </c>
      <c r="E1201" s="14">
        <f>IFERROR(__xludf.DUMMYFUNCTION("GOOGLEFINANCE(A1201,""LOW"")"),0.08)</f>
        <v>0.08</v>
      </c>
      <c r="F1201" s="15" t="str">
        <f t="shared" si="8"/>
        <v>SELL</v>
      </c>
      <c r="G1201" s="16">
        <f>IFERROR(__xludf.DUMMYFUNCTION("GOOGLEFINANCE(A1201,""CLOSEYEST"")"),0.08)</f>
        <v>0.08</v>
      </c>
      <c r="H1201" s="17" t="str">
        <f t="shared" si="14"/>
        <v/>
      </c>
      <c r="I1201" s="18">
        <f t="shared" si="9"/>
        <v>0.08</v>
      </c>
      <c r="J1201" s="19">
        <f t="shared" si="10"/>
        <v>0.08</v>
      </c>
      <c r="K1201" s="19"/>
      <c r="L1201" s="19">
        <f t="shared" si="11"/>
        <v>0.08</v>
      </c>
      <c r="M1201" s="19">
        <f t="shared" si="12"/>
        <v>0.08</v>
      </c>
      <c r="N1201" s="19">
        <f t="shared" si="13"/>
        <v>0.08</v>
      </c>
    </row>
    <row r="1202" ht="24.75" customHeight="1">
      <c r="A1202" s="21" t="s">
        <v>1165</v>
      </c>
      <c r="B1202" s="13">
        <f>IFERROR(__xludf.DUMMYFUNCTION("GOOGLEFINANCE(A1202,""PRICE"")"),3410.0)</f>
        <v>3410</v>
      </c>
      <c r="C1202" s="14">
        <f>IFERROR(__xludf.DUMMYFUNCTION("GOOGLEFINANCE(A1202,""PRICEOPEN"")"),3406.9)</f>
        <v>3406.9</v>
      </c>
      <c r="D1202" s="14">
        <f>IFERROR(__xludf.DUMMYFUNCTION("GOOGLEFINANCE(A1202,""HIGH"")"),3410.0)</f>
        <v>3410</v>
      </c>
      <c r="E1202" s="14">
        <f>IFERROR(__xludf.DUMMYFUNCTION("GOOGLEFINANCE(A1202,""LOW"")"),3381.0)</f>
        <v>3381</v>
      </c>
      <c r="F1202" s="15" t="str">
        <f t="shared" si="8"/>
        <v/>
      </c>
      <c r="G1202" s="16">
        <f>IFERROR(__xludf.DUMMYFUNCTION("GOOGLEFINANCE(A1202,""CLOSEYEST"")"),3407.1)</f>
        <v>3407.1</v>
      </c>
      <c r="H1202" s="17" t="str">
        <f t="shared" si="14"/>
        <v/>
      </c>
      <c r="I1202" s="18">
        <f t="shared" si="9"/>
        <v>3399.366667</v>
      </c>
      <c r="J1202" s="19">
        <f t="shared" si="10"/>
        <v>3417.733333</v>
      </c>
      <c r="K1202" s="19"/>
      <c r="L1202" s="19">
        <f t="shared" si="11"/>
        <v>3388.733333</v>
      </c>
      <c r="M1202" s="19">
        <f t="shared" si="12"/>
        <v>3428.366667</v>
      </c>
      <c r="N1202" s="19">
        <f t="shared" si="13"/>
        <v>3370.366667</v>
      </c>
    </row>
    <row r="1203" ht="24.75" customHeight="1">
      <c r="A1203" s="21" t="s">
        <v>1166</v>
      </c>
      <c r="B1203" s="13">
        <f>IFERROR(__xludf.DUMMYFUNCTION("GOOGLEFINANCE(A1203,""PRICE"")"),0.47)</f>
        <v>0.47</v>
      </c>
      <c r="C1203" s="14">
        <f>IFERROR(__xludf.DUMMYFUNCTION("GOOGLEFINANCE(A1203,""PRICEOPEN"")"),0.46)</f>
        <v>0.46</v>
      </c>
      <c r="D1203" s="14">
        <f>IFERROR(__xludf.DUMMYFUNCTION("GOOGLEFINANCE(A1203,""HIGH"")"),0.48)</f>
        <v>0.48</v>
      </c>
      <c r="E1203" s="14">
        <f>IFERROR(__xludf.DUMMYFUNCTION("GOOGLEFINANCE(A1203,""LOW"")"),0.46)</f>
        <v>0.46</v>
      </c>
      <c r="F1203" s="15" t="str">
        <f t="shared" si="8"/>
        <v>BUY</v>
      </c>
      <c r="G1203" s="16">
        <f>IFERROR(__xludf.DUMMYFUNCTION("GOOGLEFINANCE(A1203,""CLOSEYEST"")"),0.47)</f>
        <v>0.47</v>
      </c>
      <c r="H1203" s="17" t="str">
        <f t="shared" si="14"/>
        <v>GAP DOWN</v>
      </c>
      <c r="I1203" s="18">
        <f t="shared" si="9"/>
        <v>0.47</v>
      </c>
      <c r="J1203" s="19">
        <f t="shared" si="10"/>
        <v>0.48</v>
      </c>
      <c r="K1203" s="19"/>
      <c r="L1203" s="19">
        <f t="shared" si="11"/>
        <v>0.46</v>
      </c>
      <c r="M1203" s="19">
        <f t="shared" si="12"/>
        <v>0.49</v>
      </c>
      <c r="N1203" s="19">
        <f t="shared" si="13"/>
        <v>0.45</v>
      </c>
    </row>
    <row r="1204" ht="24.75" customHeight="1">
      <c r="A1204" s="21" t="s">
        <v>1167</v>
      </c>
      <c r="B1204" s="13">
        <f>IFERROR(__xludf.DUMMYFUNCTION("GOOGLEFINANCE(A1204,""PRICE"")"),154.22)</f>
        <v>154.22</v>
      </c>
      <c r="C1204" s="14">
        <f>IFERROR(__xludf.DUMMYFUNCTION("GOOGLEFINANCE(A1204,""PRICEOPEN"")"),156.65)</f>
        <v>156.65</v>
      </c>
      <c r="D1204" s="14">
        <f>IFERROR(__xludf.DUMMYFUNCTION("GOOGLEFINANCE(A1204,""HIGH"")"),157.85)</f>
        <v>157.85</v>
      </c>
      <c r="E1204" s="14">
        <f>IFERROR(__xludf.DUMMYFUNCTION("GOOGLEFINANCE(A1204,""LOW"")"),152.09)</f>
        <v>152.09</v>
      </c>
      <c r="F1204" s="15" t="str">
        <f t="shared" si="8"/>
        <v/>
      </c>
      <c r="G1204" s="16">
        <f>IFERROR(__xludf.DUMMYFUNCTION("GOOGLEFINANCE(A1204,""CLOSEYEST"")"),156.73)</f>
        <v>156.73</v>
      </c>
      <c r="H1204" s="17" t="str">
        <f t="shared" si="14"/>
        <v/>
      </c>
      <c r="I1204" s="18">
        <f t="shared" si="9"/>
        <v>155.5566667</v>
      </c>
      <c r="J1204" s="19">
        <f t="shared" si="10"/>
        <v>159.0233333</v>
      </c>
      <c r="K1204" s="19"/>
      <c r="L1204" s="19">
        <f t="shared" si="11"/>
        <v>153.2633333</v>
      </c>
      <c r="M1204" s="19">
        <f t="shared" si="12"/>
        <v>161.3166667</v>
      </c>
      <c r="N1204" s="19">
        <f t="shared" si="13"/>
        <v>149.7966667</v>
      </c>
    </row>
    <row r="1205" ht="24.75" customHeight="1">
      <c r="A1205" s="21" t="s">
        <v>1168</v>
      </c>
      <c r="B1205" s="13">
        <f>IFERROR(__xludf.DUMMYFUNCTION("GOOGLEFINANCE(A1205,""PRICE"")"),308.85)</f>
        <v>308.85</v>
      </c>
      <c r="C1205" s="14">
        <f>IFERROR(__xludf.DUMMYFUNCTION("GOOGLEFINANCE(A1205,""PRICEOPEN"")"),282.35)</f>
        <v>282.35</v>
      </c>
      <c r="D1205" s="14">
        <f>IFERROR(__xludf.DUMMYFUNCTION("GOOGLEFINANCE(A1205,""HIGH"")"),312.55)</f>
        <v>312.55</v>
      </c>
      <c r="E1205" s="14">
        <f>IFERROR(__xludf.DUMMYFUNCTION("GOOGLEFINANCE(A1205,""LOW"")"),277.95)</f>
        <v>277.95</v>
      </c>
      <c r="F1205" s="15" t="str">
        <f t="shared" si="8"/>
        <v/>
      </c>
      <c r="G1205" s="16">
        <f>IFERROR(__xludf.DUMMYFUNCTION("GOOGLEFINANCE(A1205,""CLOSEYEST"")"),281.5)</f>
        <v>281.5</v>
      </c>
      <c r="H1205" s="17" t="str">
        <f t="shared" si="14"/>
        <v/>
      </c>
      <c r="I1205" s="18">
        <f t="shared" si="9"/>
        <v>290.6666667</v>
      </c>
      <c r="J1205" s="19">
        <f t="shared" si="10"/>
        <v>303.3833333</v>
      </c>
      <c r="K1205" s="19"/>
      <c r="L1205" s="19">
        <f t="shared" si="11"/>
        <v>268.7833333</v>
      </c>
      <c r="M1205" s="19">
        <f t="shared" si="12"/>
        <v>325.2666667</v>
      </c>
      <c r="N1205" s="19">
        <f t="shared" si="13"/>
        <v>256.0666667</v>
      </c>
    </row>
    <row r="1206" ht="24.75" customHeight="1">
      <c r="A1206" s="21" t="s">
        <v>1169</v>
      </c>
      <c r="B1206" s="13">
        <f>IFERROR(__xludf.DUMMYFUNCTION("GOOGLEFINANCE(A1206,""PRICE"")"),227.43)</f>
        <v>227.43</v>
      </c>
      <c r="C1206" s="14">
        <f>IFERROR(__xludf.DUMMYFUNCTION("GOOGLEFINANCE(A1206,""PRICEOPEN"")"),229.8)</f>
        <v>229.8</v>
      </c>
      <c r="D1206" s="14">
        <f>IFERROR(__xludf.DUMMYFUNCTION("GOOGLEFINANCE(A1206,""HIGH"")"),229.8)</f>
        <v>229.8</v>
      </c>
      <c r="E1206" s="14">
        <f>IFERROR(__xludf.DUMMYFUNCTION("GOOGLEFINANCE(A1206,""LOW"")"),224.71)</f>
        <v>224.71</v>
      </c>
      <c r="F1206" s="15" t="str">
        <f t="shared" si="8"/>
        <v>SELL</v>
      </c>
      <c r="G1206" s="16">
        <f>IFERROR(__xludf.DUMMYFUNCTION("GOOGLEFINANCE(A1206,""CLOSEYEST"")"),228.01)</f>
        <v>228.01</v>
      </c>
      <c r="H1206" s="17" t="str">
        <f t="shared" si="14"/>
        <v/>
      </c>
      <c r="I1206" s="18">
        <f t="shared" si="9"/>
        <v>227.5066667</v>
      </c>
      <c r="J1206" s="19">
        <f t="shared" si="10"/>
        <v>230.3033333</v>
      </c>
      <c r="K1206" s="19"/>
      <c r="L1206" s="19">
        <f t="shared" si="11"/>
        <v>225.2133333</v>
      </c>
      <c r="M1206" s="19">
        <f t="shared" si="12"/>
        <v>232.5966667</v>
      </c>
      <c r="N1206" s="19">
        <f t="shared" si="13"/>
        <v>222.4166667</v>
      </c>
    </row>
    <row r="1207" ht="24.75" customHeight="1">
      <c r="A1207" s="21" t="s">
        <v>1170</v>
      </c>
      <c r="B1207" s="13">
        <f>IFERROR(__xludf.DUMMYFUNCTION("GOOGLEFINANCE(A1207,""PRICE"")"),223.8)</f>
        <v>223.8</v>
      </c>
      <c r="C1207" s="14">
        <f>IFERROR(__xludf.DUMMYFUNCTION("GOOGLEFINANCE(A1207,""PRICEOPEN"")"),223.9)</f>
        <v>223.9</v>
      </c>
      <c r="D1207" s="14">
        <f>IFERROR(__xludf.DUMMYFUNCTION("GOOGLEFINANCE(A1207,""HIGH"")"),226.0)</f>
        <v>226</v>
      </c>
      <c r="E1207" s="14">
        <f>IFERROR(__xludf.DUMMYFUNCTION("GOOGLEFINANCE(A1207,""LOW"")"),216.03)</f>
        <v>216.03</v>
      </c>
      <c r="F1207" s="15" t="str">
        <f t="shared" si="8"/>
        <v/>
      </c>
      <c r="G1207" s="16">
        <f>IFERROR(__xludf.DUMMYFUNCTION("GOOGLEFINANCE(A1207,""CLOSEYEST"")"),221.25)</f>
        <v>221.25</v>
      </c>
      <c r="H1207" s="17" t="str">
        <f t="shared" si="14"/>
        <v>GAP UP</v>
      </c>
      <c r="I1207" s="18">
        <f t="shared" si="9"/>
        <v>221.0933333</v>
      </c>
      <c r="J1207" s="19">
        <f t="shared" si="10"/>
        <v>226.1566667</v>
      </c>
      <c r="K1207" s="19"/>
      <c r="L1207" s="19">
        <f t="shared" si="11"/>
        <v>216.1866667</v>
      </c>
      <c r="M1207" s="19">
        <f t="shared" si="12"/>
        <v>231.0633333</v>
      </c>
      <c r="N1207" s="19">
        <f t="shared" si="13"/>
        <v>211.1233333</v>
      </c>
    </row>
    <row r="1208" ht="24.75" customHeight="1">
      <c r="A1208" s="21" t="s">
        <v>1171</v>
      </c>
      <c r="B1208" s="13">
        <f>IFERROR(__xludf.DUMMYFUNCTION("GOOGLEFINANCE(A1208,""PRICE"")"),1416.1)</f>
        <v>1416.1</v>
      </c>
      <c r="C1208" s="14">
        <f>IFERROR(__xludf.DUMMYFUNCTION("GOOGLEFINANCE(A1208,""PRICEOPEN"")"),1426.5)</f>
        <v>1426.5</v>
      </c>
      <c r="D1208" s="14">
        <f>IFERROR(__xludf.DUMMYFUNCTION("GOOGLEFINANCE(A1208,""HIGH"")"),1459.8)</f>
        <v>1459.8</v>
      </c>
      <c r="E1208" s="14">
        <f>IFERROR(__xludf.DUMMYFUNCTION("GOOGLEFINANCE(A1208,""LOW"")"),1415.1)</f>
        <v>1415.1</v>
      </c>
      <c r="F1208" s="15" t="str">
        <f t="shared" si="8"/>
        <v/>
      </c>
      <c r="G1208" s="16">
        <f>IFERROR(__xludf.DUMMYFUNCTION("GOOGLEFINANCE(A1208,""CLOSEYEST"")"),1433.6)</f>
        <v>1433.6</v>
      </c>
      <c r="H1208" s="17" t="str">
        <f t="shared" si="14"/>
        <v/>
      </c>
      <c r="I1208" s="18">
        <f t="shared" si="9"/>
        <v>1436.166667</v>
      </c>
      <c r="J1208" s="19">
        <f t="shared" si="10"/>
        <v>1457.233333</v>
      </c>
      <c r="K1208" s="19"/>
      <c r="L1208" s="19">
        <f t="shared" si="11"/>
        <v>1412.533333</v>
      </c>
      <c r="M1208" s="19">
        <f t="shared" si="12"/>
        <v>1480.866667</v>
      </c>
      <c r="N1208" s="19">
        <f t="shared" si="13"/>
        <v>1391.466667</v>
      </c>
    </row>
    <row r="1209" ht="24.75" customHeight="1">
      <c r="A1209" s="21" t="s">
        <v>1172</v>
      </c>
      <c r="B1209" s="13">
        <f>IFERROR(__xludf.DUMMYFUNCTION("GOOGLEFINANCE(A1209,""PRICE"")"),594.1)</f>
        <v>594.1</v>
      </c>
      <c r="C1209" s="14">
        <f>IFERROR(__xludf.DUMMYFUNCTION("GOOGLEFINANCE(A1209,""PRICEOPEN"")"),591.05)</f>
        <v>591.05</v>
      </c>
      <c r="D1209" s="14">
        <f>IFERROR(__xludf.DUMMYFUNCTION("GOOGLEFINANCE(A1209,""HIGH"")"),601.45)</f>
        <v>601.45</v>
      </c>
      <c r="E1209" s="14">
        <f>IFERROR(__xludf.DUMMYFUNCTION("GOOGLEFINANCE(A1209,""LOW"")"),590.3)</f>
        <v>590.3</v>
      </c>
      <c r="F1209" s="15" t="str">
        <f t="shared" si="8"/>
        <v/>
      </c>
      <c r="G1209" s="16">
        <f>IFERROR(__xludf.DUMMYFUNCTION("GOOGLEFINANCE(A1209,""CLOSEYEST"")"),593.35)</f>
        <v>593.35</v>
      </c>
      <c r="H1209" s="17" t="str">
        <f t="shared" si="14"/>
        <v/>
      </c>
      <c r="I1209" s="18">
        <f t="shared" si="9"/>
        <v>595.0333333</v>
      </c>
      <c r="J1209" s="19">
        <f t="shared" si="10"/>
        <v>599.7666667</v>
      </c>
      <c r="K1209" s="19"/>
      <c r="L1209" s="19">
        <f t="shared" si="11"/>
        <v>588.6166667</v>
      </c>
      <c r="M1209" s="19">
        <f t="shared" si="12"/>
        <v>606.1833333</v>
      </c>
      <c r="N1209" s="19">
        <f t="shared" si="13"/>
        <v>583.8833333</v>
      </c>
    </row>
    <row r="1210" ht="24.75" customHeight="1">
      <c r="A1210" s="21" t="s">
        <v>1173</v>
      </c>
      <c r="B1210" s="13">
        <f>IFERROR(__xludf.DUMMYFUNCTION("GOOGLEFINANCE(A1210,""PRICE"")"),97.0)</f>
        <v>97</v>
      </c>
      <c r="C1210" s="14">
        <f>IFERROR(__xludf.DUMMYFUNCTION("GOOGLEFINANCE(A1210,""PRICEOPEN"")"),96.1)</f>
        <v>96.1</v>
      </c>
      <c r="D1210" s="14">
        <f>IFERROR(__xludf.DUMMYFUNCTION("GOOGLEFINANCE(A1210,""HIGH"")"),99.9)</f>
        <v>99.9</v>
      </c>
      <c r="E1210" s="14">
        <f>IFERROR(__xludf.DUMMYFUNCTION("GOOGLEFINANCE(A1210,""LOW"")"),95.0)</f>
        <v>95</v>
      </c>
      <c r="F1210" s="15" t="str">
        <f t="shared" si="8"/>
        <v/>
      </c>
      <c r="G1210" s="16">
        <f>IFERROR(__xludf.DUMMYFUNCTION("GOOGLEFINANCE(A1210,""CLOSEYEST"")"),97.37)</f>
        <v>97.37</v>
      </c>
      <c r="H1210" s="17" t="str">
        <f t="shared" si="14"/>
        <v>GAP DOWN</v>
      </c>
      <c r="I1210" s="18">
        <f t="shared" si="9"/>
        <v>97.42333333</v>
      </c>
      <c r="J1210" s="19">
        <f t="shared" si="10"/>
        <v>99.84666667</v>
      </c>
      <c r="K1210" s="19"/>
      <c r="L1210" s="19">
        <f t="shared" si="11"/>
        <v>94.94666667</v>
      </c>
      <c r="M1210" s="19">
        <f t="shared" si="12"/>
        <v>102.3233333</v>
      </c>
      <c r="N1210" s="19">
        <f t="shared" si="13"/>
        <v>92.52333333</v>
      </c>
    </row>
    <row r="1211" ht="24.75" customHeight="1">
      <c r="A1211" s="21" t="s">
        <v>1174</v>
      </c>
      <c r="B1211" s="13" t="str">
        <f>IFERROR(__xludf.DUMMYFUNCTION("GOOGLEFINANCE(A1211,""PRICE"")"),"#N/A")</f>
        <v>#N/A</v>
      </c>
      <c r="C1211" s="14" t="str">
        <f>IFERROR(__xludf.DUMMYFUNCTION("GOOGLEFINANCE(A1211,""PRICEOPEN"")"),"#N/A")</f>
        <v>#N/A</v>
      </c>
      <c r="D1211" s="14" t="str">
        <f>IFERROR(__xludf.DUMMYFUNCTION("GOOGLEFINANCE(A1211,""HIGH"")"),"#N/A")</f>
        <v>#N/A</v>
      </c>
      <c r="E1211" s="14" t="str">
        <f>IFERROR(__xludf.DUMMYFUNCTION("GOOGLEFINANCE(A1211,""LOW"")"),"#N/A")</f>
        <v>#N/A</v>
      </c>
      <c r="F1211" s="15" t="str">
        <f t="shared" si="8"/>
        <v>#N/A</v>
      </c>
      <c r="G1211" s="16" t="str">
        <f>IFERROR(__xludf.DUMMYFUNCTION("GOOGLEFINANCE(A1211,""CLOSEYEST"")"),"#N/A")</f>
        <v>#N/A</v>
      </c>
      <c r="H1211" s="17" t="str">
        <f t="shared" si="14"/>
        <v>#N/A</v>
      </c>
      <c r="I1211" s="18" t="str">
        <f t="shared" si="9"/>
        <v>#N/A</v>
      </c>
      <c r="J1211" s="19" t="str">
        <f t="shared" si="10"/>
        <v>#N/A</v>
      </c>
      <c r="K1211" s="19"/>
      <c r="L1211" s="19" t="str">
        <f t="shared" si="11"/>
        <v>#N/A</v>
      </c>
      <c r="M1211" s="19" t="str">
        <f t="shared" si="12"/>
        <v>#N/A</v>
      </c>
      <c r="N1211" s="19" t="str">
        <f t="shared" si="13"/>
        <v>#N/A</v>
      </c>
    </row>
    <row r="1212" ht="24.75" customHeight="1">
      <c r="A1212" s="21" t="s">
        <v>1175</v>
      </c>
      <c r="B1212" s="13">
        <f>IFERROR(__xludf.DUMMYFUNCTION("GOOGLEFINANCE(A1212,""PRICE"")"),126.12)</f>
        <v>126.12</v>
      </c>
      <c r="C1212" s="14">
        <f>IFERROR(__xludf.DUMMYFUNCTION("GOOGLEFINANCE(A1212,""PRICEOPEN"")"),125.4)</f>
        <v>125.4</v>
      </c>
      <c r="D1212" s="14">
        <f>IFERROR(__xludf.DUMMYFUNCTION("GOOGLEFINANCE(A1212,""HIGH"")"),126.75)</f>
        <v>126.75</v>
      </c>
      <c r="E1212" s="14">
        <f>IFERROR(__xludf.DUMMYFUNCTION("GOOGLEFINANCE(A1212,""LOW"")"),124.91)</f>
        <v>124.91</v>
      </c>
      <c r="F1212" s="15" t="str">
        <f t="shared" si="8"/>
        <v/>
      </c>
      <c r="G1212" s="16">
        <f>IFERROR(__xludf.DUMMYFUNCTION("GOOGLEFINANCE(A1212,""CLOSEYEST"")"),125.21)</f>
        <v>125.21</v>
      </c>
      <c r="H1212" s="17" t="str">
        <f t="shared" si="14"/>
        <v/>
      </c>
      <c r="I1212" s="18">
        <f t="shared" si="9"/>
        <v>125.6233333</v>
      </c>
      <c r="J1212" s="19">
        <f t="shared" si="10"/>
        <v>126.3366667</v>
      </c>
      <c r="K1212" s="19"/>
      <c r="L1212" s="19">
        <f t="shared" si="11"/>
        <v>124.4966667</v>
      </c>
      <c r="M1212" s="19">
        <f t="shared" si="12"/>
        <v>127.4633333</v>
      </c>
      <c r="N1212" s="19">
        <f t="shared" si="13"/>
        <v>123.7833333</v>
      </c>
    </row>
    <row r="1213" ht="24.75" customHeight="1">
      <c r="A1213" s="21" t="s">
        <v>1176</v>
      </c>
      <c r="B1213" s="13" t="str">
        <f>IFERROR(__xludf.DUMMYFUNCTION("GOOGLEFINANCE(A1213,""PRICE"")"),"#N/A")</f>
        <v>#N/A</v>
      </c>
      <c r="C1213" s="14" t="str">
        <f>IFERROR(__xludf.DUMMYFUNCTION("GOOGLEFINANCE(A1213,""PRICEOPEN"")"),"#N/A")</f>
        <v>#N/A</v>
      </c>
      <c r="D1213" s="14" t="str">
        <f>IFERROR(__xludf.DUMMYFUNCTION("GOOGLEFINANCE(A1213,""HIGH"")"),"#N/A")</f>
        <v>#N/A</v>
      </c>
      <c r="E1213" s="14" t="str">
        <f>IFERROR(__xludf.DUMMYFUNCTION("GOOGLEFINANCE(A1213,""LOW"")"),"#N/A")</f>
        <v>#N/A</v>
      </c>
      <c r="F1213" s="15" t="str">
        <f t="shared" si="8"/>
        <v>#N/A</v>
      </c>
      <c r="G1213" s="16" t="str">
        <f>IFERROR(__xludf.DUMMYFUNCTION("GOOGLEFINANCE(A1213,""CLOSEYEST"")"),"#N/A")</f>
        <v>#N/A</v>
      </c>
      <c r="H1213" s="17" t="str">
        <f t="shared" si="14"/>
        <v>#N/A</v>
      </c>
      <c r="I1213" s="18" t="str">
        <f t="shared" si="9"/>
        <v>#N/A</v>
      </c>
      <c r="J1213" s="19" t="str">
        <f t="shared" si="10"/>
        <v>#N/A</v>
      </c>
      <c r="K1213" s="19"/>
      <c r="L1213" s="19" t="str">
        <f t="shared" si="11"/>
        <v>#N/A</v>
      </c>
      <c r="M1213" s="19" t="str">
        <f t="shared" si="12"/>
        <v>#N/A</v>
      </c>
      <c r="N1213" s="19" t="str">
        <f t="shared" si="13"/>
        <v>#N/A</v>
      </c>
    </row>
    <row r="1214" ht="24.75" customHeight="1">
      <c r="A1214" s="21" t="s">
        <v>1177</v>
      </c>
      <c r="B1214" s="13">
        <f>IFERROR(__xludf.DUMMYFUNCTION("GOOGLEFINANCE(A1214,""PRICE"")"),20.14)</f>
        <v>20.14</v>
      </c>
      <c r="C1214" s="14">
        <f>IFERROR(__xludf.DUMMYFUNCTION("GOOGLEFINANCE(A1214,""PRICEOPEN"")"),20.43)</f>
        <v>20.43</v>
      </c>
      <c r="D1214" s="14">
        <f>IFERROR(__xludf.DUMMYFUNCTION("GOOGLEFINANCE(A1214,""HIGH"")"),20.43)</f>
        <v>20.43</v>
      </c>
      <c r="E1214" s="14">
        <f>IFERROR(__xludf.DUMMYFUNCTION("GOOGLEFINANCE(A1214,""LOW"")"),20.12)</f>
        <v>20.12</v>
      </c>
      <c r="F1214" s="15" t="str">
        <f t="shared" si="8"/>
        <v>SELL</v>
      </c>
      <c r="G1214" s="16">
        <f>IFERROR(__xludf.DUMMYFUNCTION("GOOGLEFINANCE(A1214,""CLOSEYEST"")"),20.19)</f>
        <v>20.19</v>
      </c>
      <c r="H1214" s="17" t="str">
        <f t="shared" si="14"/>
        <v>GAP UP</v>
      </c>
      <c r="I1214" s="18">
        <f t="shared" si="9"/>
        <v>20.24666667</v>
      </c>
      <c r="J1214" s="19">
        <f t="shared" si="10"/>
        <v>20.37333333</v>
      </c>
      <c r="K1214" s="19"/>
      <c r="L1214" s="19">
        <f t="shared" si="11"/>
        <v>20.06333333</v>
      </c>
      <c r="M1214" s="19">
        <f t="shared" si="12"/>
        <v>20.55666667</v>
      </c>
      <c r="N1214" s="19">
        <f t="shared" si="13"/>
        <v>19.93666667</v>
      </c>
    </row>
    <row r="1215" ht="24.75" customHeight="1">
      <c r="A1215" s="21" t="s">
        <v>1178</v>
      </c>
      <c r="B1215" s="13">
        <f>IFERROR(__xludf.DUMMYFUNCTION("GOOGLEFINANCE(A1215,""PRICE"")"),910.1)</f>
        <v>910.1</v>
      </c>
      <c r="C1215" s="14">
        <f>IFERROR(__xludf.DUMMYFUNCTION("GOOGLEFINANCE(A1215,""PRICEOPEN"")"),899.55)</f>
        <v>899.55</v>
      </c>
      <c r="D1215" s="14">
        <f>IFERROR(__xludf.DUMMYFUNCTION("GOOGLEFINANCE(A1215,""HIGH"")"),914.0)</f>
        <v>914</v>
      </c>
      <c r="E1215" s="14">
        <f>IFERROR(__xludf.DUMMYFUNCTION("GOOGLEFINANCE(A1215,""LOW"")"),899.0)</f>
        <v>899</v>
      </c>
      <c r="F1215" s="15" t="str">
        <f t="shared" si="8"/>
        <v/>
      </c>
      <c r="G1215" s="16">
        <f>IFERROR(__xludf.DUMMYFUNCTION("GOOGLEFINANCE(A1215,""CLOSEYEST"")"),895.15)</f>
        <v>895.15</v>
      </c>
      <c r="H1215" s="17" t="str">
        <f t="shared" si="14"/>
        <v/>
      </c>
      <c r="I1215" s="18">
        <f t="shared" si="9"/>
        <v>902.7166667</v>
      </c>
      <c r="J1215" s="19">
        <f t="shared" si="10"/>
        <v>906.4333333</v>
      </c>
      <c r="K1215" s="19"/>
      <c r="L1215" s="19">
        <f t="shared" si="11"/>
        <v>891.4333333</v>
      </c>
      <c r="M1215" s="19">
        <f t="shared" si="12"/>
        <v>917.7166667</v>
      </c>
      <c r="N1215" s="19">
        <f t="shared" si="13"/>
        <v>887.7166667</v>
      </c>
    </row>
    <row r="1216" ht="24.75" customHeight="1">
      <c r="A1216" s="21" t="s">
        <v>1179</v>
      </c>
      <c r="B1216" s="13">
        <f>IFERROR(__xludf.DUMMYFUNCTION("GOOGLEFINANCE(A1216,""PRICE"")"),454.25)</f>
        <v>454.25</v>
      </c>
      <c r="C1216" s="14">
        <f>IFERROR(__xludf.DUMMYFUNCTION("GOOGLEFINANCE(A1216,""PRICEOPEN"")"),452.0)</f>
        <v>452</v>
      </c>
      <c r="D1216" s="14">
        <f>IFERROR(__xludf.DUMMYFUNCTION("GOOGLEFINANCE(A1216,""HIGH"")"),457.4)</f>
        <v>457.4</v>
      </c>
      <c r="E1216" s="14">
        <f>IFERROR(__xludf.DUMMYFUNCTION("GOOGLEFINANCE(A1216,""LOW"")"),451.95)</f>
        <v>451.95</v>
      </c>
      <c r="F1216" s="15" t="str">
        <f t="shared" si="8"/>
        <v/>
      </c>
      <c r="G1216" s="16">
        <f>IFERROR(__xludf.DUMMYFUNCTION("GOOGLEFINANCE(A1216,""CLOSEYEST"")"),451.6)</f>
        <v>451.6</v>
      </c>
      <c r="H1216" s="17" t="str">
        <f t="shared" si="14"/>
        <v/>
      </c>
      <c r="I1216" s="18">
        <f t="shared" si="9"/>
        <v>453.65</v>
      </c>
      <c r="J1216" s="19">
        <f t="shared" si="10"/>
        <v>455.35</v>
      </c>
      <c r="K1216" s="19"/>
      <c r="L1216" s="19">
        <f t="shared" si="11"/>
        <v>449.9</v>
      </c>
      <c r="M1216" s="19">
        <f t="shared" si="12"/>
        <v>459.1</v>
      </c>
      <c r="N1216" s="19">
        <f t="shared" si="13"/>
        <v>448.2</v>
      </c>
    </row>
    <row r="1217" ht="24.75" customHeight="1">
      <c r="A1217" s="21" t="s">
        <v>1180</v>
      </c>
      <c r="B1217" s="13">
        <f>IFERROR(__xludf.DUMMYFUNCTION("GOOGLEFINANCE(A1217,""PRICE"")"),291.0)</f>
        <v>291</v>
      </c>
      <c r="C1217" s="14">
        <f>IFERROR(__xludf.DUMMYFUNCTION("GOOGLEFINANCE(A1217,""PRICEOPEN"")"),283.9)</f>
        <v>283.9</v>
      </c>
      <c r="D1217" s="14">
        <f>IFERROR(__xludf.DUMMYFUNCTION("GOOGLEFINANCE(A1217,""HIGH"")"),309.0)</f>
        <v>309</v>
      </c>
      <c r="E1217" s="14">
        <f>IFERROR(__xludf.DUMMYFUNCTION("GOOGLEFINANCE(A1217,""LOW"")"),282.6)</f>
        <v>282.6</v>
      </c>
      <c r="F1217" s="15" t="str">
        <f t="shared" si="8"/>
        <v/>
      </c>
      <c r="G1217" s="16">
        <f>IFERROR(__xludf.DUMMYFUNCTION("GOOGLEFINANCE(A1217,""CLOSEYEST"")"),283.9)</f>
        <v>283.9</v>
      </c>
      <c r="H1217" s="17" t="str">
        <f t="shared" si="14"/>
        <v/>
      </c>
      <c r="I1217" s="18">
        <f t="shared" si="9"/>
        <v>291.8333333</v>
      </c>
      <c r="J1217" s="19">
        <f t="shared" si="10"/>
        <v>301.0666667</v>
      </c>
      <c r="K1217" s="19"/>
      <c r="L1217" s="19">
        <f t="shared" si="11"/>
        <v>274.6666667</v>
      </c>
      <c r="M1217" s="19">
        <f t="shared" si="12"/>
        <v>318.2333333</v>
      </c>
      <c r="N1217" s="19">
        <f t="shared" si="13"/>
        <v>265.4333333</v>
      </c>
    </row>
    <row r="1218" ht="24.75" customHeight="1">
      <c r="A1218" s="21" t="s">
        <v>1181</v>
      </c>
      <c r="B1218" s="13">
        <f>IFERROR(__xludf.DUMMYFUNCTION("GOOGLEFINANCE(A1218,""PRICE"")"),4.73)</f>
        <v>4.73</v>
      </c>
      <c r="C1218" s="14">
        <f>IFERROR(__xludf.DUMMYFUNCTION("GOOGLEFINANCE(A1218,""PRICEOPEN"")"),4.63)</f>
        <v>4.63</v>
      </c>
      <c r="D1218" s="14">
        <f>IFERROR(__xludf.DUMMYFUNCTION("GOOGLEFINANCE(A1218,""HIGH"")"),4.77)</f>
        <v>4.77</v>
      </c>
      <c r="E1218" s="14">
        <f>IFERROR(__xludf.DUMMYFUNCTION("GOOGLEFINANCE(A1218,""LOW"")"),4.6)</f>
        <v>4.6</v>
      </c>
      <c r="F1218" s="15" t="str">
        <f t="shared" si="8"/>
        <v/>
      </c>
      <c r="G1218" s="16">
        <f>IFERROR(__xludf.DUMMYFUNCTION("GOOGLEFINANCE(A1218,""CLOSEYEST"")"),4.65)</f>
        <v>4.65</v>
      </c>
      <c r="H1218" s="17" t="str">
        <f t="shared" si="14"/>
        <v/>
      </c>
      <c r="I1218" s="18">
        <f t="shared" si="9"/>
        <v>4.673333333</v>
      </c>
      <c r="J1218" s="19">
        <f t="shared" si="10"/>
        <v>4.746666667</v>
      </c>
      <c r="K1218" s="19"/>
      <c r="L1218" s="19">
        <f t="shared" si="11"/>
        <v>4.576666667</v>
      </c>
      <c r="M1218" s="19">
        <f t="shared" si="12"/>
        <v>4.843333333</v>
      </c>
      <c r="N1218" s="19">
        <f t="shared" si="13"/>
        <v>4.503333333</v>
      </c>
    </row>
    <row r="1219" ht="24.75" customHeight="1">
      <c r="A1219" s="21" t="s">
        <v>1182</v>
      </c>
      <c r="B1219" s="13">
        <f>IFERROR(__xludf.DUMMYFUNCTION("GOOGLEFINANCE(A1219,""PRICE"")"),221.2)</f>
        <v>221.2</v>
      </c>
      <c r="C1219" s="14">
        <f>IFERROR(__xludf.DUMMYFUNCTION("GOOGLEFINANCE(A1219,""PRICEOPEN"")"),225.49)</f>
        <v>225.49</v>
      </c>
      <c r="D1219" s="14">
        <f>IFERROR(__xludf.DUMMYFUNCTION("GOOGLEFINANCE(A1219,""HIGH"")"),225.49)</f>
        <v>225.49</v>
      </c>
      <c r="E1219" s="14">
        <f>IFERROR(__xludf.DUMMYFUNCTION("GOOGLEFINANCE(A1219,""LOW"")"),220.55)</f>
        <v>220.55</v>
      </c>
      <c r="F1219" s="15" t="str">
        <f t="shared" si="8"/>
        <v>SELL</v>
      </c>
      <c r="G1219" s="16">
        <f>IFERROR(__xludf.DUMMYFUNCTION("GOOGLEFINANCE(A1219,""CLOSEYEST"")"),222.38)</f>
        <v>222.38</v>
      </c>
      <c r="H1219" s="17" t="str">
        <f t="shared" si="14"/>
        <v>GAP UP</v>
      </c>
      <c r="I1219" s="18">
        <f t="shared" si="9"/>
        <v>222.8066667</v>
      </c>
      <c r="J1219" s="19">
        <f t="shared" si="10"/>
        <v>225.0633333</v>
      </c>
      <c r="K1219" s="19"/>
      <c r="L1219" s="19">
        <f t="shared" si="11"/>
        <v>220.1233333</v>
      </c>
      <c r="M1219" s="19">
        <f t="shared" si="12"/>
        <v>227.7466667</v>
      </c>
      <c r="N1219" s="19">
        <f t="shared" si="13"/>
        <v>217.8666667</v>
      </c>
    </row>
    <row r="1220" ht="24.75" customHeight="1">
      <c r="A1220" s="21" t="s">
        <v>1183</v>
      </c>
      <c r="B1220" s="13">
        <f>IFERROR(__xludf.DUMMYFUNCTION("GOOGLEFINANCE(A1220,""PRICE"")"),14.52)</f>
        <v>14.52</v>
      </c>
      <c r="C1220" s="14">
        <f>IFERROR(__xludf.DUMMYFUNCTION("GOOGLEFINANCE(A1220,""PRICEOPEN"")"),14.7)</f>
        <v>14.7</v>
      </c>
      <c r="D1220" s="14">
        <f>IFERROR(__xludf.DUMMYFUNCTION("GOOGLEFINANCE(A1220,""HIGH"")"),14.7)</f>
        <v>14.7</v>
      </c>
      <c r="E1220" s="14">
        <f>IFERROR(__xludf.DUMMYFUNCTION("GOOGLEFINANCE(A1220,""LOW"")"),14.23)</f>
        <v>14.23</v>
      </c>
      <c r="F1220" s="15" t="str">
        <f t="shared" si="8"/>
        <v>SELL</v>
      </c>
      <c r="G1220" s="16">
        <f>IFERROR(__xludf.DUMMYFUNCTION("GOOGLEFINANCE(A1220,""CLOSEYEST"")"),14.22)</f>
        <v>14.22</v>
      </c>
      <c r="H1220" s="17" t="str">
        <f t="shared" si="14"/>
        <v>GAP UP</v>
      </c>
      <c r="I1220" s="18">
        <f t="shared" si="9"/>
        <v>14.38333333</v>
      </c>
      <c r="J1220" s="19">
        <f t="shared" si="10"/>
        <v>14.53666667</v>
      </c>
      <c r="K1220" s="19"/>
      <c r="L1220" s="19">
        <f t="shared" si="11"/>
        <v>14.06666667</v>
      </c>
      <c r="M1220" s="19">
        <f t="shared" si="12"/>
        <v>14.85333333</v>
      </c>
      <c r="N1220" s="19">
        <f t="shared" si="13"/>
        <v>13.91333333</v>
      </c>
    </row>
    <row r="1221" ht="24.75" customHeight="1">
      <c r="A1221" s="21" t="s">
        <v>1184</v>
      </c>
      <c r="B1221" s="13">
        <f>IFERROR(__xludf.DUMMYFUNCTION("GOOGLEFINANCE(A1221,""PRICE"")"),130.0)</f>
        <v>130</v>
      </c>
      <c r="C1221" s="14">
        <f>IFERROR(__xludf.DUMMYFUNCTION("GOOGLEFINANCE(A1221,""PRICEOPEN"")"),133.89)</f>
        <v>133.89</v>
      </c>
      <c r="D1221" s="14">
        <f>IFERROR(__xludf.DUMMYFUNCTION("GOOGLEFINANCE(A1221,""HIGH"")"),133.89)</f>
        <v>133.89</v>
      </c>
      <c r="E1221" s="14">
        <f>IFERROR(__xludf.DUMMYFUNCTION("GOOGLEFINANCE(A1221,""LOW"")"),129.02)</f>
        <v>129.02</v>
      </c>
      <c r="F1221" s="15" t="str">
        <f t="shared" si="8"/>
        <v>SELL</v>
      </c>
      <c r="G1221" s="16">
        <f>IFERROR(__xludf.DUMMYFUNCTION("GOOGLEFINANCE(A1221,""CLOSEYEST"")"),131.89)</f>
        <v>131.89</v>
      </c>
      <c r="H1221" s="17" t="str">
        <f t="shared" si="14"/>
        <v>GAP UP</v>
      </c>
      <c r="I1221" s="18">
        <f t="shared" si="9"/>
        <v>131.6</v>
      </c>
      <c r="J1221" s="19">
        <f t="shared" si="10"/>
        <v>134.18</v>
      </c>
      <c r="K1221" s="19"/>
      <c r="L1221" s="19">
        <f t="shared" si="11"/>
        <v>129.31</v>
      </c>
      <c r="M1221" s="19">
        <f t="shared" si="12"/>
        <v>136.47</v>
      </c>
      <c r="N1221" s="19">
        <f t="shared" si="13"/>
        <v>126.73</v>
      </c>
    </row>
    <row r="1222" ht="24.75" customHeight="1">
      <c r="A1222" s="21" t="s">
        <v>1185</v>
      </c>
      <c r="B1222" s="13">
        <f>IFERROR(__xludf.DUMMYFUNCTION("GOOGLEFINANCE(A1222,""PRICE"")"),462.7)</f>
        <v>462.7</v>
      </c>
      <c r="C1222" s="14">
        <f>IFERROR(__xludf.DUMMYFUNCTION("GOOGLEFINANCE(A1222,""PRICEOPEN"")"),437.0)</f>
        <v>437</v>
      </c>
      <c r="D1222" s="14">
        <f>IFERROR(__xludf.DUMMYFUNCTION("GOOGLEFINANCE(A1222,""HIGH"")"),466.0)</f>
        <v>466</v>
      </c>
      <c r="E1222" s="14">
        <f>IFERROR(__xludf.DUMMYFUNCTION("GOOGLEFINANCE(A1222,""LOW"")"),437.0)</f>
        <v>437</v>
      </c>
      <c r="F1222" s="15" t="str">
        <f t="shared" si="8"/>
        <v>BUY</v>
      </c>
      <c r="G1222" s="16">
        <f>IFERROR(__xludf.DUMMYFUNCTION("GOOGLEFINANCE(A1222,""CLOSEYEST"")"),442.85)</f>
        <v>442.85</v>
      </c>
      <c r="H1222" s="17" t="str">
        <f t="shared" si="14"/>
        <v>GAP DOWN</v>
      </c>
      <c r="I1222" s="18">
        <f t="shared" si="9"/>
        <v>448.6166667</v>
      </c>
      <c r="J1222" s="19">
        <f t="shared" si="10"/>
        <v>460.2333333</v>
      </c>
      <c r="K1222" s="19"/>
      <c r="L1222" s="19">
        <f t="shared" si="11"/>
        <v>431.2333333</v>
      </c>
      <c r="M1222" s="19">
        <f t="shared" si="12"/>
        <v>477.6166667</v>
      </c>
      <c r="N1222" s="19">
        <f t="shared" si="13"/>
        <v>419.6166667</v>
      </c>
    </row>
    <row r="1223" ht="24.75" customHeight="1">
      <c r="A1223" s="21" t="s">
        <v>1186</v>
      </c>
      <c r="B1223" s="13">
        <f>IFERROR(__xludf.DUMMYFUNCTION("GOOGLEFINANCE(A1223,""PRICE"")"),147.9)</f>
        <v>147.9</v>
      </c>
      <c r="C1223" s="14">
        <f>IFERROR(__xludf.DUMMYFUNCTION("GOOGLEFINANCE(A1223,""PRICEOPEN"")"),142.4)</f>
        <v>142.4</v>
      </c>
      <c r="D1223" s="14">
        <f>IFERROR(__xludf.DUMMYFUNCTION("GOOGLEFINANCE(A1223,""HIGH"")"),149.95)</f>
        <v>149.95</v>
      </c>
      <c r="E1223" s="14">
        <f>IFERROR(__xludf.DUMMYFUNCTION("GOOGLEFINANCE(A1223,""LOW"")"),140.48)</f>
        <v>140.48</v>
      </c>
      <c r="F1223" s="15" t="str">
        <f t="shared" si="8"/>
        <v/>
      </c>
      <c r="G1223" s="16">
        <f>IFERROR(__xludf.DUMMYFUNCTION("GOOGLEFINANCE(A1223,""CLOSEYEST"")"),141.15)</f>
        <v>141.15</v>
      </c>
      <c r="H1223" s="17" t="str">
        <f t="shared" si="14"/>
        <v/>
      </c>
      <c r="I1223" s="18">
        <f t="shared" si="9"/>
        <v>143.86</v>
      </c>
      <c r="J1223" s="19">
        <f t="shared" si="10"/>
        <v>147.24</v>
      </c>
      <c r="K1223" s="19"/>
      <c r="L1223" s="19">
        <f t="shared" si="11"/>
        <v>137.77</v>
      </c>
      <c r="M1223" s="19">
        <f t="shared" si="12"/>
        <v>153.33</v>
      </c>
      <c r="N1223" s="19">
        <f t="shared" si="13"/>
        <v>134.39</v>
      </c>
    </row>
    <row r="1224" ht="24.75" customHeight="1">
      <c r="A1224" s="21" t="s">
        <v>1187</v>
      </c>
      <c r="B1224" s="13">
        <f>IFERROR(__xludf.DUMMYFUNCTION("GOOGLEFINANCE(A1224,""PRICE"")"),306.5)</f>
        <v>306.5</v>
      </c>
      <c r="C1224" s="14">
        <f>IFERROR(__xludf.DUMMYFUNCTION("GOOGLEFINANCE(A1224,""PRICEOPEN"")"),298.75)</f>
        <v>298.75</v>
      </c>
      <c r="D1224" s="14">
        <f>IFERROR(__xludf.DUMMYFUNCTION("GOOGLEFINANCE(A1224,""HIGH"")"),306.5)</f>
        <v>306.5</v>
      </c>
      <c r="E1224" s="14">
        <f>IFERROR(__xludf.DUMMYFUNCTION("GOOGLEFINANCE(A1224,""LOW"")"),298.0)</f>
        <v>298</v>
      </c>
      <c r="F1224" s="15" t="str">
        <f t="shared" si="8"/>
        <v/>
      </c>
      <c r="G1224" s="16">
        <f>IFERROR(__xludf.DUMMYFUNCTION("GOOGLEFINANCE(A1224,""CLOSEYEST"")"),293.25)</f>
        <v>293.25</v>
      </c>
      <c r="H1224" s="17" t="str">
        <f t="shared" si="14"/>
        <v>GAP UP</v>
      </c>
      <c r="I1224" s="18">
        <f t="shared" si="9"/>
        <v>299.25</v>
      </c>
      <c r="J1224" s="19">
        <f t="shared" si="10"/>
        <v>300.5</v>
      </c>
      <c r="K1224" s="19"/>
      <c r="L1224" s="19">
        <f t="shared" si="11"/>
        <v>292</v>
      </c>
      <c r="M1224" s="19">
        <f t="shared" si="12"/>
        <v>307.75</v>
      </c>
      <c r="N1224" s="19">
        <f t="shared" si="13"/>
        <v>290.75</v>
      </c>
    </row>
    <row r="1225" ht="24.75" customHeight="1">
      <c r="A1225" s="21" t="s">
        <v>1188</v>
      </c>
      <c r="B1225" s="13">
        <f>IFERROR(__xludf.DUMMYFUNCTION("GOOGLEFINANCE(A1225,""PRICE"")"),23.08)</f>
        <v>23.08</v>
      </c>
      <c r="C1225" s="14">
        <f>IFERROR(__xludf.DUMMYFUNCTION("GOOGLEFINANCE(A1225,""PRICEOPEN"")"),23.3)</f>
        <v>23.3</v>
      </c>
      <c r="D1225" s="14">
        <f>IFERROR(__xludf.DUMMYFUNCTION("GOOGLEFINANCE(A1225,""HIGH"")"),23.7)</f>
        <v>23.7</v>
      </c>
      <c r="E1225" s="14">
        <f>IFERROR(__xludf.DUMMYFUNCTION("GOOGLEFINANCE(A1225,""LOW"")"),22.8)</f>
        <v>22.8</v>
      </c>
      <c r="F1225" s="15" t="str">
        <f t="shared" si="8"/>
        <v/>
      </c>
      <c r="G1225" s="16">
        <f>IFERROR(__xludf.DUMMYFUNCTION("GOOGLEFINANCE(A1225,""CLOSEYEST"")"),23.05)</f>
        <v>23.05</v>
      </c>
      <c r="H1225" s="17" t="str">
        <f t="shared" si="14"/>
        <v>GAP UP</v>
      </c>
      <c r="I1225" s="18">
        <f t="shared" si="9"/>
        <v>23.18333333</v>
      </c>
      <c r="J1225" s="19">
        <f t="shared" si="10"/>
        <v>23.56666667</v>
      </c>
      <c r="K1225" s="19"/>
      <c r="L1225" s="19">
        <f t="shared" si="11"/>
        <v>22.66666667</v>
      </c>
      <c r="M1225" s="19">
        <f t="shared" si="12"/>
        <v>24.08333333</v>
      </c>
      <c r="N1225" s="19">
        <f t="shared" si="13"/>
        <v>22.28333333</v>
      </c>
    </row>
    <row r="1226" ht="24.75" customHeight="1">
      <c r="A1226" s="21" t="s">
        <v>1189</v>
      </c>
      <c r="B1226" s="13" t="str">
        <f>IFERROR(__xludf.DUMMYFUNCTION("GOOGLEFINANCE(A1226,""PRICE"")"),"#N/A")</f>
        <v>#N/A</v>
      </c>
      <c r="C1226" s="14" t="str">
        <f>IFERROR(__xludf.DUMMYFUNCTION("GOOGLEFINANCE(A1226,""PRICEOPEN"")"),"#N/A")</f>
        <v>#N/A</v>
      </c>
      <c r="D1226" s="14" t="str">
        <f>IFERROR(__xludf.DUMMYFUNCTION("GOOGLEFINANCE(A1226,""HIGH"")"),"#N/A")</f>
        <v>#N/A</v>
      </c>
      <c r="E1226" s="14" t="str">
        <f>IFERROR(__xludf.DUMMYFUNCTION("GOOGLEFINANCE(A1226,""LOW"")"),"#N/A")</f>
        <v>#N/A</v>
      </c>
      <c r="F1226" s="15" t="str">
        <f t="shared" si="8"/>
        <v>#N/A</v>
      </c>
      <c r="G1226" s="16" t="str">
        <f>IFERROR(__xludf.DUMMYFUNCTION("GOOGLEFINANCE(A1226,""CLOSEYEST"")"),"#N/A")</f>
        <v>#N/A</v>
      </c>
      <c r="H1226" s="17" t="str">
        <f t="shared" si="14"/>
        <v>#N/A</v>
      </c>
      <c r="I1226" s="18" t="str">
        <f t="shared" si="9"/>
        <v>#N/A</v>
      </c>
      <c r="J1226" s="19" t="str">
        <f t="shared" si="10"/>
        <v>#N/A</v>
      </c>
      <c r="K1226" s="19"/>
      <c r="L1226" s="19" t="str">
        <f t="shared" si="11"/>
        <v>#N/A</v>
      </c>
      <c r="M1226" s="19" t="str">
        <f t="shared" si="12"/>
        <v>#N/A</v>
      </c>
      <c r="N1226" s="19" t="str">
        <f t="shared" si="13"/>
        <v>#N/A</v>
      </c>
    </row>
    <row r="1227" ht="24.75" customHeight="1">
      <c r="A1227" s="21" t="s">
        <v>1190</v>
      </c>
      <c r="B1227" s="13" t="str">
        <f>IFERROR(__xludf.DUMMYFUNCTION("GOOGLEFINANCE(A1227,""PRICE"")"),"#N/A")</f>
        <v>#N/A</v>
      </c>
      <c r="C1227" s="14" t="str">
        <f>IFERROR(__xludf.DUMMYFUNCTION("GOOGLEFINANCE(A1227,""PRICEOPEN"")"),"#N/A")</f>
        <v>#N/A</v>
      </c>
      <c r="D1227" s="14" t="str">
        <f>IFERROR(__xludf.DUMMYFUNCTION("GOOGLEFINANCE(A1227,""HIGH"")"),"#N/A")</f>
        <v>#N/A</v>
      </c>
      <c r="E1227" s="14" t="str">
        <f>IFERROR(__xludf.DUMMYFUNCTION("GOOGLEFINANCE(A1227,""LOW"")"),"#N/A")</f>
        <v>#N/A</v>
      </c>
      <c r="F1227" s="15" t="str">
        <f t="shared" si="8"/>
        <v>#N/A</v>
      </c>
      <c r="G1227" s="16" t="str">
        <f>IFERROR(__xludf.DUMMYFUNCTION("GOOGLEFINANCE(A1227,""CLOSEYEST"")"),"#N/A")</f>
        <v>#N/A</v>
      </c>
      <c r="H1227" s="17" t="str">
        <f t="shared" si="14"/>
        <v>#N/A</v>
      </c>
      <c r="I1227" s="18" t="str">
        <f t="shared" si="9"/>
        <v>#N/A</v>
      </c>
      <c r="J1227" s="19" t="str">
        <f t="shared" si="10"/>
        <v>#N/A</v>
      </c>
      <c r="K1227" s="19"/>
      <c r="L1227" s="19" t="str">
        <f t="shared" si="11"/>
        <v>#N/A</v>
      </c>
      <c r="M1227" s="19" t="str">
        <f t="shared" si="12"/>
        <v>#N/A</v>
      </c>
      <c r="N1227" s="19" t="str">
        <f t="shared" si="13"/>
        <v>#N/A</v>
      </c>
    </row>
    <row r="1228" ht="24.75" customHeight="1">
      <c r="A1228" s="21" t="s">
        <v>1191</v>
      </c>
      <c r="B1228" s="13">
        <f>IFERROR(__xludf.DUMMYFUNCTION("GOOGLEFINANCE(A1228,""PRICE"")"),424.1)</f>
        <v>424.1</v>
      </c>
      <c r="C1228" s="14">
        <f>IFERROR(__xludf.DUMMYFUNCTION("GOOGLEFINANCE(A1228,""PRICEOPEN"")"),428.0)</f>
        <v>428</v>
      </c>
      <c r="D1228" s="14">
        <f>IFERROR(__xludf.DUMMYFUNCTION("GOOGLEFINANCE(A1228,""HIGH"")"),449.75)</f>
        <v>449.75</v>
      </c>
      <c r="E1228" s="14">
        <f>IFERROR(__xludf.DUMMYFUNCTION("GOOGLEFINANCE(A1228,""LOW"")"),422.55)</f>
        <v>422.55</v>
      </c>
      <c r="F1228" s="15" t="str">
        <f t="shared" si="8"/>
        <v/>
      </c>
      <c r="G1228" s="16">
        <f>IFERROR(__xludf.DUMMYFUNCTION("GOOGLEFINANCE(A1228,""CLOSEYEST"")"),427.55)</f>
        <v>427.55</v>
      </c>
      <c r="H1228" s="17" t="str">
        <f t="shared" si="14"/>
        <v/>
      </c>
      <c r="I1228" s="18">
        <f t="shared" si="9"/>
        <v>433.2833333</v>
      </c>
      <c r="J1228" s="19">
        <f t="shared" si="10"/>
        <v>444.0166667</v>
      </c>
      <c r="K1228" s="19"/>
      <c r="L1228" s="19">
        <f t="shared" si="11"/>
        <v>416.8166667</v>
      </c>
      <c r="M1228" s="19">
        <f t="shared" si="12"/>
        <v>460.4833333</v>
      </c>
      <c r="N1228" s="19">
        <f t="shared" si="13"/>
        <v>406.0833333</v>
      </c>
    </row>
    <row r="1229" ht="24.75" customHeight="1">
      <c r="A1229" s="21" t="s">
        <v>1192</v>
      </c>
      <c r="B1229" s="13">
        <f>IFERROR(__xludf.DUMMYFUNCTION("GOOGLEFINANCE(A1229,""PRICE"")"),165.83)</f>
        <v>165.83</v>
      </c>
      <c r="C1229" s="14">
        <f>IFERROR(__xludf.DUMMYFUNCTION("GOOGLEFINANCE(A1229,""PRICEOPEN"")"),164.7)</f>
        <v>164.7</v>
      </c>
      <c r="D1229" s="14">
        <f>IFERROR(__xludf.DUMMYFUNCTION("GOOGLEFINANCE(A1229,""HIGH"")"),169.68)</f>
        <v>169.68</v>
      </c>
      <c r="E1229" s="14">
        <f>IFERROR(__xludf.DUMMYFUNCTION("GOOGLEFINANCE(A1229,""LOW"")"),163.98)</f>
        <v>163.98</v>
      </c>
      <c r="F1229" s="15" t="str">
        <f t="shared" si="8"/>
        <v/>
      </c>
      <c r="G1229" s="16">
        <f>IFERROR(__xludf.DUMMYFUNCTION("GOOGLEFINANCE(A1229,""CLOSEYEST"")"),164.01)</f>
        <v>164.01</v>
      </c>
      <c r="H1229" s="17" t="str">
        <f t="shared" si="14"/>
        <v/>
      </c>
      <c r="I1229" s="18">
        <f t="shared" si="9"/>
        <v>165.89</v>
      </c>
      <c r="J1229" s="19">
        <f t="shared" si="10"/>
        <v>167.8</v>
      </c>
      <c r="K1229" s="19"/>
      <c r="L1229" s="19">
        <f t="shared" si="11"/>
        <v>162.1</v>
      </c>
      <c r="M1229" s="19">
        <f t="shared" si="12"/>
        <v>171.59</v>
      </c>
      <c r="N1229" s="19">
        <f t="shared" si="13"/>
        <v>160.19</v>
      </c>
    </row>
    <row r="1230" ht="24.75" customHeight="1">
      <c r="A1230" s="21" t="s">
        <v>1193</v>
      </c>
      <c r="B1230" s="13">
        <f>IFERROR(__xludf.DUMMYFUNCTION("GOOGLEFINANCE(A1230,""PRICE"")"),35.07)</f>
        <v>35.07</v>
      </c>
      <c r="C1230" s="14">
        <f>IFERROR(__xludf.DUMMYFUNCTION("GOOGLEFINANCE(A1230,""PRICEOPEN"")"),34.99)</f>
        <v>34.99</v>
      </c>
      <c r="D1230" s="14">
        <f>IFERROR(__xludf.DUMMYFUNCTION("GOOGLEFINANCE(A1230,""HIGH"")"),36.12)</f>
        <v>36.12</v>
      </c>
      <c r="E1230" s="14">
        <f>IFERROR(__xludf.DUMMYFUNCTION("GOOGLEFINANCE(A1230,""LOW"")"),34.44)</f>
        <v>34.44</v>
      </c>
      <c r="F1230" s="15" t="str">
        <f t="shared" si="8"/>
        <v/>
      </c>
      <c r="G1230" s="16">
        <f>IFERROR(__xludf.DUMMYFUNCTION("GOOGLEFINANCE(A1230,""CLOSEYEST"")"),35.3)</f>
        <v>35.3</v>
      </c>
      <c r="H1230" s="17" t="str">
        <f t="shared" si="14"/>
        <v/>
      </c>
      <c r="I1230" s="18">
        <f t="shared" si="9"/>
        <v>35.28666667</v>
      </c>
      <c r="J1230" s="19">
        <f t="shared" si="10"/>
        <v>36.13333333</v>
      </c>
      <c r="K1230" s="19"/>
      <c r="L1230" s="19">
        <f t="shared" si="11"/>
        <v>34.45333333</v>
      </c>
      <c r="M1230" s="19">
        <f t="shared" si="12"/>
        <v>36.96666667</v>
      </c>
      <c r="N1230" s="19">
        <f t="shared" si="13"/>
        <v>33.60666667</v>
      </c>
    </row>
    <row r="1231" ht="24.75" customHeight="1">
      <c r="A1231" s="21" t="s">
        <v>1194</v>
      </c>
      <c r="B1231" s="13">
        <f>IFERROR(__xludf.DUMMYFUNCTION("GOOGLEFINANCE(A1231,""PRICE"")"),141.06)</f>
        <v>141.06</v>
      </c>
      <c r="C1231" s="14">
        <f>IFERROR(__xludf.DUMMYFUNCTION("GOOGLEFINANCE(A1231,""PRICEOPEN"")"),140.45)</f>
        <v>140.45</v>
      </c>
      <c r="D1231" s="14">
        <f>IFERROR(__xludf.DUMMYFUNCTION("GOOGLEFINANCE(A1231,""HIGH"")"),143.0)</f>
        <v>143</v>
      </c>
      <c r="E1231" s="14">
        <f>IFERROR(__xludf.DUMMYFUNCTION("GOOGLEFINANCE(A1231,""LOW"")"),139.61)</f>
        <v>139.61</v>
      </c>
      <c r="F1231" s="15" t="str">
        <f t="shared" si="8"/>
        <v/>
      </c>
      <c r="G1231" s="16">
        <f>IFERROR(__xludf.DUMMYFUNCTION("GOOGLEFINANCE(A1231,""CLOSEYEST"")"),139.4)</f>
        <v>139.4</v>
      </c>
      <c r="H1231" s="17" t="str">
        <f t="shared" si="14"/>
        <v/>
      </c>
      <c r="I1231" s="18">
        <f t="shared" si="9"/>
        <v>140.67</v>
      </c>
      <c r="J1231" s="19">
        <f t="shared" si="10"/>
        <v>141.73</v>
      </c>
      <c r="K1231" s="19"/>
      <c r="L1231" s="19">
        <f t="shared" si="11"/>
        <v>138.34</v>
      </c>
      <c r="M1231" s="19">
        <f t="shared" si="12"/>
        <v>144.06</v>
      </c>
      <c r="N1231" s="19">
        <f t="shared" si="13"/>
        <v>137.28</v>
      </c>
    </row>
    <row r="1232" ht="24.75" customHeight="1">
      <c r="A1232" s="21" t="s">
        <v>1195</v>
      </c>
      <c r="B1232" s="13">
        <f>IFERROR(__xludf.DUMMYFUNCTION("GOOGLEFINANCE(A1232,""PRICE"")"),490.9)</f>
        <v>490.9</v>
      </c>
      <c r="C1232" s="14">
        <f>IFERROR(__xludf.DUMMYFUNCTION("GOOGLEFINANCE(A1232,""PRICEOPEN"")"),492.8)</f>
        <v>492.8</v>
      </c>
      <c r="D1232" s="14">
        <f>IFERROR(__xludf.DUMMYFUNCTION("GOOGLEFINANCE(A1232,""HIGH"")"),492.8)</f>
        <v>492.8</v>
      </c>
      <c r="E1232" s="14">
        <f>IFERROR(__xludf.DUMMYFUNCTION("GOOGLEFINANCE(A1232,""LOW"")"),485.55)</f>
        <v>485.55</v>
      </c>
      <c r="F1232" s="15" t="str">
        <f t="shared" si="8"/>
        <v>SELL</v>
      </c>
      <c r="G1232" s="16">
        <f>IFERROR(__xludf.DUMMYFUNCTION("GOOGLEFINANCE(A1232,""CLOSEYEST"")"),490.2)</f>
        <v>490.2</v>
      </c>
      <c r="H1232" s="17" t="str">
        <f t="shared" si="14"/>
        <v/>
      </c>
      <c r="I1232" s="18">
        <f t="shared" si="9"/>
        <v>489.5166667</v>
      </c>
      <c r="J1232" s="19">
        <f t="shared" si="10"/>
        <v>493.4833333</v>
      </c>
      <c r="K1232" s="19"/>
      <c r="L1232" s="19">
        <f t="shared" si="11"/>
        <v>486.2333333</v>
      </c>
      <c r="M1232" s="19">
        <f t="shared" si="12"/>
        <v>496.7666667</v>
      </c>
      <c r="N1232" s="19">
        <f t="shared" si="13"/>
        <v>482.2666667</v>
      </c>
    </row>
    <row r="1233" ht="24.75" customHeight="1">
      <c r="A1233" s="21" t="s">
        <v>1196</v>
      </c>
      <c r="B1233" s="13">
        <f>IFERROR(__xludf.DUMMYFUNCTION("GOOGLEFINANCE(A1233,""PRICE"")"),3.59)</f>
        <v>3.59</v>
      </c>
      <c r="C1233" s="14">
        <f>IFERROR(__xludf.DUMMYFUNCTION("GOOGLEFINANCE(A1233,""PRICEOPEN"")"),3.56)</f>
        <v>3.56</v>
      </c>
      <c r="D1233" s="14">
        <f>IFERROR(__xludf.DUMMYFUNCTION("GOOGLEFINANCE(A1233,""HIGH"")"),3.59)</f>
        <v>3.59</v>
      </c>
      <c r="E1233" s="14">
        <f>IFERROR(__xludf.DUMMYFUNCTION("GOOGLEFINANCE(A1233,""LOW"")"),3.46)</f>
        <v>3.46</v>
      </c>
      <c r="F1233" s="15" t="str">
        <f t="shared" si="8"/>
        <v/>
      </c>
      <c r="G1233" s="16">
        <f>IFERROR(__xludf.DUMMYFUNCTION("GOOGLEFINANCE(A1233,""CLOSEYEST"")"),3.52)</f>
        <v>3.52</v>
      </c>
      <c r="H1233" s="17" t="str">
        <f t="shared" si="14"/>
        <v>GAP UP</v>
      </c>
      <c r="I1233" s="18">
        <f t="shared" si="9"/>
        <v>3.523333333</v>
      </c>
      <c r="J1233" s="19">
        <f t="shared" si="10"/>
        <v>3.586666667</v>
      </c>
      <c r="K1233" s="19"/>
      <c r="L1233" s="19">
        <f t="shared" si="11"/>
        <v>3.456666667</v>
      </c>
      <c r="M1233" s="19">
        <f t="shared" si="12"/>
        <v>3.653333333</v>
      </c>
      <c r="N1233" s="19">
        <f t="shared" si="13"/>
        <v>3.393333333</v>
      </c>
    </row>
    <row r="1234" ht="24.75" customHeight="1">
      <c r="A1234" s="21" t="s">
        <v>1197</v>
      </c>
      <c r="B1234" s="13">
        <f>IFERROR(__xludf.DUMMYFUNCTION("GOOGLEFINANCE(A1234,""PRICE"")"),384.95)</f>
        <v>384.95</v>
      </c>
      <c r="C1234" s="14">
        <f>IFERROR(__xludf.DUMMYFUNCTION("GOOGLEFINANCE(A1234,""PRICEOPEN"")"),392.0)</f>
        <v>392</v>
      </c>
      <c r="D1234" s="14">
        <f>IFERROR(__xludf.DUMMYFUNCTION("GOOGLEFINANCE(A1234,""HIGH"")"),392.0)</f>
        <v>392</v>
      </c>
      <c r="E1234" s="14">
        <f>IFERROR(__xludf.DUMMYFUNCTION("GOOGLEFINANCE(A1234,""LOW"")"),382.3)</f>
        <v>382.3</v>
      </c>
      <c r="F1234" s="15" t="str">
        <f t="shared" si="8"/>
        <v>SELL</v>
      </c>
      <c r="G1234" s="16">
        <f>IFERROR(__xludf.DUMMYFUNCTION("GOOGLEFINANCE(A1234,""CLOSEYEST"")"),396.35)</f>
        <v>396.35</v>
      </c>
      <c r="H1234" s="17" t="str">
        <f t="shared" si="14"/>
        <v>GAP DOWN</v>
      </c>
      <c r="I1234" s="18">
        <f t="shared" si="9"/>
        <v>390.2166667</v>
      </c>
      <c r="J1234" s="19">
        <f t="shared" si="10"/>
        <v>398.1333333</v>
      </c>
      <c r="K1234" s="19"/>
      <c r="L1234" s="19">
        <f t="shared" si="11"/>
        <v>388.4333333</v>
      </c>
      <c r="M1234" s="19">
        <f t="shared" si="12"/>
        <v>399.9166667</v>
      </c>
      <c r="N1234" s="19">
        <f t="shared" si="13"/>
        <v>380.5166667</v>
      </c>
    </row>
    <row r="1235" ht="24.75" customHeight="1">
      <c r="A1235" s="21" t="s">
        <v>1198</v>
      </c>
      <c r="B1235" s="13">
        <f>IFERROR(__xludf.DUMMYFUNCTION("GOOGLEFINANCE(A1235,""PRICE"")"),43.59)</f>
        <v>43.59</v>
      </c>
      <c r="C1235" s="14">
        <f>IFERROR(__xludf.DUMMYFUNCTION("GOOGLEFINANCE(A1235,""PRICEOPEN"")"),44.0)</f>
        <v>44</v>
      </c>
      <c r="D1235" s="14">
        <f>IFERROR(__xludf.DUMMYFUNCTION("GOOGLEFINANCE(A1235,""HIGH"")"),44.0)</f>
        <v>44</v>
      </c>
      <c r="E1235" s="14">
        <f>IFERROR(__xludf.DUMMYFUNCTION("GOOGLEFINANCE(A1235,""LOW"")"),42.41)</f>
        <v>42.41</v>
      </c>
      <c r="F1235" s="15" t="str">
        <f t="shared" si="8"/>
        <v>SELL</v>
      </c>
      <c r="G1235" s="16">
        <f>IFERROR(__xludf.DUMMYFUNCTION("GOOGLEFINANCE(A1235,""CLOSEYEST"")"),42.82)</f>
        <v>42.82</v>
      </c>
      <c r="H1235" s="17" t="str">
        <f t="shared" si="14"/>
        <v>GAP UP</v>
      </c>
      <c r="I1235" s="18">
        <f t="shared" si="9"/>
        <v>43.07666667</v>
      </c>
      <c r="J1235" s="19">
        <f t="shared" si="10"/>
        <v>43.74333333</v>
      </c>
      <c r="K1235" s="19"/>
      <c r="L1235" s="19">
        <f t="shared" si="11"/>
        <v>42.15333333</v>
      </c>
      <c r="M1235" s="19">
        <f t="shared" si="12"/>
        <v>44.66666667</v>
      </c>
      <c r="N1235" s="19">
        <f t="shared" si="13"/>
        <v>41.48666667</v>
      </c>
    </row>
    <row r="1236" ht="24.75" customHeight="1">
      <c r="A1236" s="21" t="s">
        <v>1199</v>
      </c>
      <c r="B1236" s="13">
        <f>IFERROR(__xludf.DUMMYFUNCTION("GOOGLEFINANCE(A1236,""PRICE"")"),23.1)</f>
        <v>23.1</v>
      </c>
      <c r="C1236" s="14">
        <f>IFERROR(__xludf.DUMMYFUNCTION("GOOGLEFINANCE(A1236,""PRICEOPEN"")"),22.55)</f>
        <v>22.55</v>
      </c>
      <c r="D1236" s="14">
        <f>IFERROR(__xludf.DUMMYFUNCTION("GOOGLEFINANCE(A1236,""HIGH"")"),23.34)</f>
        <v>23.34</v>
      </c>
      <c r="E1236" s="14">
        <f>IFERROR(__xludf.DUMMYFUNCTION("GOOGLEFINANCE(A1236,""LOW"")"),22.35)</f>
        <v>22.35</v>
      </c>
      <c r="F1236" s="15" t="str">
        <f t="shared" si="8"/>
        <v/>
      </c>
      <c r="G1236" s="16">
        <f>IFERROR(__xludf.DUMMYFUNCTION("GOOGLEFINANCE(A1236,""CLOSEYEST"")"),22.61)</f>
        <v>22.61</v>
      </c>
      <c r="H1236" s="17" t="str">
        <f t="shared" si="14"/>
        <v/>
      </c>
      <c r="I1236" s="18">
        <f t="shared" si="9"/>
        <v>22.76666667</v>
      </c>
      <c r="J1236" s="19">
        <f t="shared" si="10"/>
        <v>23.18333333</v>
      </c>
      <c r="K1236" s="19"/>
      <c r="L1236" s="19">
        <f t="shared" si="11"/>
        <v>22.19333333</v>
      </c>
      <c r="M1236" s="19">
        <f t="shared" si="12"/>
        <v>23.75666667</v>
      </c>
      <c r="N1236" s="19">
        <f t="shared" si="13"/>
        <v>21.77666667</v>
      </c>
    </row>
    <row r="1237" ht="24.75" customHeight="1">
      <c r="A1237" s="21" t="s">
        <v>1200</v>
      </c>
      <c r="B1237" s="13">
        <f>IFERROR(__xludf.DUMMYFUNCTION("GOOGLEFINANCE(A1237,""PRICE"")"),124.98)</f>
        <v>124.98</v>
      </c>
      <c r="C1237" s="14">
        <f>IFERROR(__xludf.DUMMYFUNCTION("GOOGLEFINANCE(A1237,""PRICEOPEN"")"),122.0)</f>
        <v>122</v>
      </c>
      <c r="D1237" s="14">
        <f>IFERROR(__xludf.DUMMYFUNCTION("GOOGLEFINANCE(A1237,""HIGH"")"),127.18)</f>
        <v>127.18</v>
      </c>
      <c r="E1237" s="14">
        <f>IFERROR(__xludf.DUMMYFUNCTION("GOOGLEFINANCE(A1237,""LOW"")"),121.92)</f>
        <v>121.92</v>
      </c>
      <c r="F1237" s="15" t="str">
        <f t="shared" si="8"/>
        <v/>
      </c>
      <c r="G1237" s="16">
        <f>IFERROR(__xludf.DUMMYFUNCTION("GOOGLEFINANCE(A1237,""CLOSEYEST"")"),122.69)</f>
        <v>122.69</v>
      </c>
      <c r="H1237" s="17" t="str">
        <f t="shared" si="14"/>
        <v/>
      </c>
      <c r="I1237" s="18">
        <f t="shared" si="9"/>
        <v>123.93</v>
      </c>
      <c r="J1237" s="19">
        <f t="shared" si="10"/>
        <v>125.94</v>
      </c>
      <c r="K1237" s="19"/>
      <c r="L1237" s="19">
        <f t="shared" si="11"/>
        <v>120.68</v>
      </c>
      <c r="M1237" s="19">
        <f t="shared" si="12"/>
        <v>129.19</v>
      </c>
      <c r="N1237" s="19">
        <f t="shared" si="13"/>
        <v>118.67</v>
      </c>
    </row>
    <row r="1238" ht="24.75" customHeight="1">
      <c r="A1238" s="21" t="s">
        <v>1201</v>
      </c>
      <c r="B1238" s="13">
        <f>IFERROR(__xludf.DUMMYFUNCTION("GOOGLEFINANCE(A1238,""PRICE"")"),228.75)</f>
        <v>228.75</v>
      </c>
      <c r="C1238" s="14">
        <f>IFERROR(__xludf.DUMMYFUNCTION("GOOGLEFINANCE(A1238,""PRICEOPEN"")"),232.9)</f>
        <v>232.9</v>
      </c>
      <c r="D1238" s="14">
        <f>IFERROR(__xludf.DUMMYFUNCTION("GOOGLEFINANCE(A1238,""HIGH"")"),232.9)</f>
        <v>232.9</v>
      </c>
      <c r="E1238" s="14">
        <f>IFERROR(__xludf.DUMMYFUNCTION("GOOGLEFINANCE(A1238,""LOW"")"),226.51)</f>
        <v>226.51</v>
      </c>
      <c r="F1238" s="15" t="str">
        <f t="shared" si="8"/>
        <v>SELL</v>
      </c>
      <c r="G1238" s="16">
        <f>IFERROR(__xludf.DUMMYFUNCTION("GOOGLEFINANCE(A1238,""CLOSEYEST"")"),228.35)</f>
        <v>228.35</v>
      </c>
      <c r="H1238" s="17" t="str">
        <f t="shared" si="14"/>
        <v>GAP UP</v>
      </c>
      <c r="I1238" s="18">
        <f t="shared" si="9"/>
        <v>229.2533333</v>
      </c>
      <c r="J1238" s="19">
        <f t="shared" si="10"/>
        <v>231.9966667</v>
      </c>
      <c r="K1238" s="19"/>
      <c r="L1238" s="19">
        <f t="shared" si="11"/>
        <v>225.6066667</v>
      </c>
      <c r="M1238" s="19">
        <f t="shared" si="12"/>
        <v>235.6433333</v>
      </c>
      <c r="N1238" s="19">
        <f t="shared" si="13"/>
        <v>222.8633333</v>
      </c>
    </row>
    <row r="1239" ht="24.75" customHeight="1">
      <c r="A1239" s="21" t="s">
        <v>1202</v>
      </c>
      <c r="B1239" s="13" t="str">
        <f>IFERROR(__xludf.DUMMYFUNCTION("GOOGLEFINANCE(A1239,""PRICE"")"),"#N/A")</f>
        <v>#N/A</v>
      </c>
      <c r="C1239" s="14" t="str">
        <f>IFERROR(__xludf.DUMMYFUNCTION("GOOGLEFINANCE(A1239,""PRICEOPEN"")"),"#N/A")</f>
        <v>#N/A</v>
      </c>
      <c r="D1239" s="14" t="str">
        <f>IFERROR(__xludf.DUMMYFUNCTION("GOOGLEFINANCE(A1239,""HIGH"")"),"#N/A")</f>
        <v>#N/A</v>
      </c>
      <c r="E1239" s="14" t="str">
        <f>IFERROR(__xludf.DUMMYFUNCTION("GOOGLEFINANCE(A1239,""LOW"")"),"#N/A")</f>
        <v>#N/A</v>
      </c>
      <c r="F1239" s="15" t="str">
        <f t="shared" si="8"/>
        <v>#N/A</v>
      </c>
      <c r="G1239" s="16" t="str">
        <f>IFERROR(__xludf.DUMMYFUNCTION("GOOGLEFINANCE(A1239,""CLOSEYEST"")"),"#N/A")</f>
        <v>#N/A</v>
      </c>
      <c r="H1239" s="17" t="str">
        <f t="shared" si="14"/>
        <v>#N/A</v>
      </c>
      <c r="I1239" s="18" t="str">
        <f t="shared" si="9"/>
        <v>#N/A</v>
      </c>
      <c r="J1239" s="19" t="str">
        <f t="shared" si="10"/>
        <v>#N/A</v>
      </c>
      <c r="K1239" s="19"/>
      <c r="L1239" s="19" t="str">
        <f t="shared" si="11"/>
        <v>#N/A</v>
      </c>
      <c r="M1239" s="19" t="str">
        <f t="shared" si="12"/>
        <v>#N/A</v>
      </c>
      <c r="N1239" s="19" t="str">
        <f t="shared" si="13"/>
        <v>#N/A</v>
      </c>
    </row>
    <row r="1240" ht="24.75" customHeight="1">
      <c r="A1240" s="21" t="s">
        <v>1203</v>
      </c>
      <c r="B1240" s="13">
        <f>IFERROR(__xludf.DUMMYFUNCTION("GOOGLEFINANCE(A1240,""PRICE"")"),45.0)</f>
        <v>45</v>
      </c>
      <c r="C1240" s="14">
        <f>IFERROR(__xludf.DUMMYFUNCTION("GOOGLEFINANCE(A1240,""PRICEOPEN"")"),44.05)</f>
        <v>44.05</v>
      </c>
      <c r="D1240" s="14">
        <f>IFERROR(__xludf.DUMMYFUNCTION("GOOGLEFINANCE(A1240,""HIGH"")"),46.0)</f>
        <v>46</v>
      </c>
      <c r="E1240" s="14">
        <f>IFERROR(__xludf.DUMMYFUNCTION("GOOGLEFINANCE(A1240,""LOW"")"),44.0)</f>
        <v>44</v>
      </c>
      <c r="F1240" s="15" t="str">
        <f t="shared" si="8"/>
        <v/>
      </c>
      <c r="G1240" s="16">
        <f>IFERROR(__xludf.DUMMYFUNCTION("GOOGLEFINANCE(A1240,""CLOSEYEST"")"),45.04)</f>
        <v>45.04</v>
      </c>
      <c r="H1240" s="17" t="str">
        <f t="shared" si="14"/>
        <v>GAP DOWN</v>
      </c>
      <c r="I1240" s="18">
        <f t="shared" si="9"/>
        <v>45.01333333</v>
      </c>
      <c r="J1240" s="19">
        <f t="shared" si="10"/>
        <v>46.02666667</v>
      </c>
      <c r="K1240" s="19"/>
      <c r="L1240" s="19">
        <f t="shared" si="11"/>
        <v>44.02666667</v>
      </c>
      <c r="M1240" s="19">
        <f t="shared" si="12"/>
        <v>47.01333333</v>
      </c>
      <c r="N1240" s="19">
        <f t="shared" si="13"/>
        <v>43.01333333</v>
      </c>
    </row>
    <row r="1241" ht="24.75" customHeight="1">
      <c r="A1241" s="21" t="s">
        <v>1204</v>
      </c>
      <c r="B1241" s="13">
        <f>IFERROR(__xludf.DUMMYFUNCTION("GOOGLEFINANCE(A1241,""PRICE"")"),71.21)</f>
        <v>71.21</v>
      </c>
      <c r="C1241" s="14">
        <f>IFERROR(__xludf.DUMMYFUNCTION("GOOGLEFINANCE(A1241,""PRICEOPEN"")"),70.06)</f>
        <v>70.06</v>
      </c>
      <c r="D1241" s="14">
        <f>IFERROR(__xludf.DUMMYFUNCTION("GOOGLEFINANCE(A1241,""HIGH"")"),72.95)</f>
        <v>72.95</v>
      </c>
      <c r="E1241" s="14">
        <f>IFERROR(__xludf.DUMMYFUNCTION("GOOGLEFINANCE(A1241,""LOW"")"),70.06)</f>
        <v>70.06</v>
      </c>
      <c r="F1241" s="15" t="str">
        <f t="shared" si="8"/>
        <v>BUY</v>
      </c>
      <c r="G1241" s="16">
        <f>IFERROR(__xludf.DUMMYFUNCTION("GOOGLEFINANCE(A1241,""CLOSEYEST"")"),71.3)</f>
        <v>71.3</v>
      </c>
      <c r="H1241" s="17" t="str">
        <f t="shared" si="14"/>
        <v>GAP DOWN</v>
      </c>
      <c r="I1241" s="18">
        <f t="shared" si="9"/>
        <v>71.43666667</v>
      </c>
      <c r="J1241" s="19">
        <f t="shared" si="10"/>
        <v>72.81333333</v>
      </c>
      <c r="K1241" s="19"/>
      <c r="L1241" s="19">
        <f t="shared" si="11"/>
        <v>69.92333333</v>
      </c>
      <c r="M1241" s="19">
        <f t="shared" si="12"/>
        <v>74.32666667</v>
      </c>
      <c r="N1241" s="19">
        <f t="shared" si="13"/>
        <v>68.54666667</v>
      </c>
    </row>
    <row r="1242" ht="24.75" customHeight="1">
      <c r="A1242" s="21" t="s">
        <v>1205</v>
      </c>
      <c r="B1242" s="13">
        <f>IFERROR(__xludf.DUMMYFUNCTION("GOOGLEFINANCE(A1242,""PRICE"")"),565.0)</f>
        <v>565</v>
      </c>
      <c r="C1242" s="14">
        <f>IFERROR(__xludf.DUMMYFUNCTION("GOOGLEFINANCE(A1242,""PRICEOPEN"")"),545.6)</f>
        <v>545.6</v>
      </c>
      <c r="D1242" s="14">
        <f>IFERROR(__xludf.DUMMYFUNCTION("GOOGLEFINANCE(A1242,""HIGH"")"),569.1)</f>
        <v>569.1</v>
      </c>
      <c r="E1242" s="14">
        <f>IFERROR(__xludf.DUMMYFUNCTION("GOOGLEFINANCE(A1242,""LOW"")"),545.6)</f>
        <v>545.6</v>
      </c>
      <c r="F1242" s="15" t="str">
        <f t="shared" si="8"/>
        <v>BUY</v>
      </c>
      <c r="G1242" s="16">
        <f>IFERROR(__xludf.DUMMYFUNCTION("GOOGLEFINANCE(A1242,""CLOSEYEST"")"),545.8)</f>
        <v>545.8</v>
      </c>
      <c r="H1242" s="17" t="str">
        <f t="shared" si="14"/>
        <v/>
      </c>
      <c r="I1242" s="18">
        <f t="shared" si="9"/>
        <v>553.5</v>
      </c>
      <c r="J1242" s="19">
        <f t="shared" si="10"/>
        <v>561.4</v>
      </c>
      <c r="K1242" s="19"/>
      <c r="L1242" s="19">
        <f t="shared" si="11"/>
        <v>537.9</v>
      </c>
      <c r="M1242" s="19">
        <f t="shared" si="12"/>
        <v>577</v>
      </c>
      <c r="N1242" s="19">
        <f t="shared" si="13"/>
        <v>530</v>
      </c>
    </row>
    <row r="1243" ht="24.75" customHeight="1">
      <c r="A1243" s="21" t="s">
        <v>1206</v>
      </c>
      <c r="B1243" s="13" t="str">
        <f>IFERROR(__xludf.DUMMYFUNCTION("GOOGLEFINANCE(A1243,""PRICE"")"),"#N/A")</f>
        <v>#N/A</v>
      </c>
      <c r="C1243" s="14" t="str">
        <f>IFERROR(__xludf.DUMMYFUNCTION("GOOGLEFINANCE(A1243,""PRICEOPEN"")"),"#N/A")</f>
        <v>#N/A</v>
      </c>
      <c r="D1243" s="14" t="str">
        <f>IFERROR(__xludf.DUMMYFUNCTION("GOOGLEFINANCE(A1243,""HIGH"")"),"#N/A")</f>
        <v>#N/A</v>
      </c>
      <c r="E1243" s="14" t="str">
        <f>IFERROR(__xludf.DUMMYFUNCTION("GOOGLEFINANCE(A1243,""LOW"")"),"#N/A")</f>
        <v>#N/A</v>
      </c>
      <c r="F1243" s="15" t="str">
        <f t="shared" si="8"/>
        <v>#N/A</v>
      </c>
      <c r="G1243" s="16" t="str">
        <f>IFERROR(__xludf.DUMMYFUNCTION("GOOGLEFINANCE(A1243,""CLOSEYEST"")"),"#N/A")</f>
        <v>#N/A</v>
      </c>
      <c r="H1243" s="17" t="str">
        <f t="shared" si="14"/>
        <v>#N/A</v>
      </c>
      <c r="I1243" s="18" t="str">
        <f t="shared" si="9"/>
        <v>#N/A</v>
      </c>
      <c r="J1243" s="19" t="str">
        <f t="shared" si="10"/>
        <v>#N/A</v>
      </c>
      <c r="K1243" s="19"/>
      <c r="L1243" s="19" t="str">
        <f t="shared" si="11"/>
        <v>#N/A</v>
      </c>
      <c r="M1243" s="19" t="str">
        <f t="shared" si="12"/>
        <v>#N/A</v>
      </c>
      <c r="N1243" s="19" t="str">
        <f t="shared" si="13"/>
        <v>#N/A</v>
      </c>
    </row>
    <row r="1244" ht="24.75" customHeight="1">
      <c r="A1244" s="21" t="s">
        <v>1207</v>
      </c>
      <c r="B1244" s="13">
        <f>IFERROR(__xludf.DUMMYFUNCTION("GOOGLEFINANCE(A1244,""PRICE"")"),31.7)</f>
        <v>31.7</v>
      </c>
      <c r="C1244" s="14">
        <f>IFERROR(__xludf.DUMMYFUNCTION("GOOGLEFINANCE(A1244,""PRICEOPEN"")"),31.6)</f>
        <v>31.6</v>
      </c>
      <c r="D1244" s="14">
        <f>IFERROR(__xludf.DUMMYFUNCTION("GOOGLEFINANCE(A1244,""HIGH"")"),32.0)</f>
        <v>32</v>
      </c>
      <c r="E1244" s="14">
        <f>IFERROR(__xludf.DUMMYFUNCTION("GOOGLEFINANCE(A1244,""LOW"")"),31.31)</f>
        <v>31.31</v>
      </c>
      <c r="F1244" s="15" t="str">
        <f t="shared" si="8"/>
        <v/>
      </c>
      <c r="G1244" s="16">
        <f>IFERROR(__xludf.DUMMYFUNCTION("GOOGLEFINANCE(A1244,""CLOSEYEST"")"),31.69)</f>
        <v>31.69</v>
      </c>
      <c r="H1244" s="17" t="str">
        <f t="shared" si="14"/>
        <v/>
      </c>
      <c r="I1244" s="18">
        <f t="shared" si="9"/>
        <v>31.66666667</v>
      </c>
      <c r="J1244" s="19">
        <f t="shared" si="10"/>
        <v>32.02333333</v>
      </c>
      <c r="K1244" s="19"/>
      <c r="L1244" s="19">
        <f t="shared" si="11"/>
        <v>31.33333333</v>
      </c>
      <c r="M1244" s="19">
        <f t="shared" si="12"/>
        <v>32.35666667</v>
      </c>
      <c r="N1244" s="19">
        <f t="shared" si="13"/>
        <v>30.97666667</v>
      </c>
    </row>
    <row r="1245" ht="24.75" customHeight="1">
      <c r="A1245" s="21" t="s">
        <v>1208</v>
      </c>
      <c r="B1245" s="13">
        <f>IFERROR(__xludf.DUMMYFUNCTION("GOOGLEFINANCE(A1245,""PRICE"")"),1706.2)</f>
        <v>1706.2</v>
      </c>
      <c r="C1245" s="14">
        <f>IFERROR(__xludf.DUMMYFUNCTION("GOOGLEFINANCE(A1245,""PRICEOPEN"")"),1630.0)</f>
        <v>1630</v>
      </c>
      <c r="D1245" s="14">
        <f>IFERROR(__xludf.DUMMYFUNCTION("GOOGLEFINANCE(A1245,""HIGH"")"),1706.2)</f>
        <v>1706.2</v>
      </c>
      <c r="E1245" s="14">
        <f>IFERROR(__xludf.DUMMYFUNCTION("GOOGLEFINANCE(A1245,""LOW"")"),1600.9)</f>
        <v>1600.9</v>
      </c>
      <c r="F1245" s="15" t="str">
        <f t="shared" si="8"/>
        <v/>
      </c>
      <c r="G1245" s="16">
        <f>IFERROR(__xludf.DUMMYFUNCTION("GOOGLEFINANCE(A1245,""CLOSEYEST"")"),1625.0)</f>
        <v>1625</v>
      </c>
      <c r="H1245" s="17" t="str">
        <f t="shared" si="14"/>
        <v/>
      </c>
      <c r="I1245" s="18">
        <f t="shared" si="9"/>
        <v>1644.033333</v>
      </c>
      <c r="J1245" s="19">
        <f t="shared" si="10"/>
        <v>1687.166667</v>
      </c>
      <c r="K1245" s="19"/>
      <c r="L1245" s="19">
        <f t="shared" si="11"/>
        <v>1581.866667</v>
      </c>
      <c r="M1245" s="19">
        <f t="shared" si="12"/>
        <v>1749.333333</v>
      </c>
      <c r="N1245" s="19">
        <f t="shared" si="13"/>
        <v>1538.733333</v>
      </c>
    </row>
    <row r="1246" ht="24.75" customHeight="1">
      <c r="A1246" s="21" t="s">
        <v>1209</v>
      </c>
      <c r="B1246" s="13">
        <f>IFERROR(__xludf.DUMMYFUNCTION("GOOGLEFINANCE(A1246,""PRICE"")"),140.5)</f>
        <v>140.5</v>
      </c>
      <c r="C1246" s="14">
        <f>IFERROR(__xludf.DUMMYFUNCTION("GOOGLEFINANCE(A1246,""PRICEOPEN"")"),133.91)</f>
        <v>133.91</v>
      </c>
      <c r="D1246" s="14">
        <f>IFERROR(__xludf.DUMMYFUNCTION("GOOGLEFINANCE(A1246,""HIGH"")"),141.66)</f>
        <v>141.66</v>
      </c>
      <c r="E1246" s="14">
        <f>IFERROR(__xludf.DUMMYFUNCTION("GOOGLEFINANCE(A1246,""LOW"")"),133.91)</f>
        <v>133.91</v>
      </c>
      <c r="F1246" s="15" t="str">
        <f t="shared" si="8"/>
        <v>BUY</v>
      </c>
      <c r="G1246" s="16">
        <f>IFERROR(__xludf.DUMMYFUNCTION("GOOGLEFINANCE(A1246,""CLOSEYEST"")"),135.26)</f>
        <v>135.26</v>
      </c>
      <c r="H1246" s="17" t="str">
        <f t="shared" si="14"/>
        <v/>
      </c>
      <c r="I1246" s="18">
        <f t="shared" si="9"/>
        <v>136.9433333</v>
      </c>
      <c r="J1246" s="19">
        <f t="shared" si="10"/>
        <v>139.9766667</v>
      </c>
      <c r="K1246" s="19"/>
      <c r="L1246" s="19">
        <f t="shared" si="11"/>
        <v>132.2266667</v>
      </c>
      <c r="M1246" s="19">
        <f t="shared" si="12"/>
        <v>144.6933333</v>
      </c>
      <c r="N1246" s="19">
        <f t="shared" si="13"/>
        <v>129.1933333</v>
      </c>
    </row>
    <row r="1247" ht="24.75" customHeight="1">
      <c r="A1247" s="21" t="s">
        <v>1210</v>
      </c>
      <c r="B1247" s="13">
        <f>IFERROR(__xludf.DUMMYFUNCTION("GOOGLEFINANCE(A1247,""PRICE"")"),176.65)</f>
        <v>176.65</v>
      </c>
      <c r="C1247" s="14">
        <f>IFERROR(__xludf.DUMMYFUNCTION("GOOGLEFINANCE(A1247,""PRICEOPEN"")"),173.83)</f>
        <v>173.83</v>
      </c>
      <c r="D1247" s="14">
        <f>IFERROR(__xludf.DUMMYFUNCTION("GOOGLEFINANCE(A1247,""HIGH"")"),176.89)</f>
        <v>176.89</v>
      </c>
      <c r="E1247" s="14">
        <f>IFERROR(__xludf.DUMMYFUNCTION("GOOGLEFINANCE(A1247,""LOW"")"),172.79)</f>
        <v>172.79</v>
      </c>
      <c r="F1247" s="15" t="str">
        <f t="shared" si="8"/>
        <v/>
      </c>
      <c r="G1247" s="16">
        <f>IFERROR(__xludf.DUMMYFUNCTION("GOOGLEFINANCE(A1247,""CLOSEYEST"")"),173.83)</f>
        <v>173.83</v>
      </c>
      <c r="H1247" s="17" t="str">
        <f t="shared" si="14"/>
        <v/>
      </c>
      <c r="I1247" s="18">
        <f t="shared" si="9"/>
        <v>174.5033333</v>
      </c>
      <c r="J1247" s="19">
        <f t="shared" si="10"/>
        <v>176.2166667</v>
      </c>
      <c r="K1247" s="19"/>
      <c r="L1247" s="19">
        <f t="shared" si="11"/>
        <v>172.1166667</v>
      </c>
      <c r="M1247" s="19">
        <f t="shared" si="12"/>
        <v>178.6033333</v>
      </c>
      <c r="N1247" s="19">
        <f t="shared" si="13"/>
        <v>170.4033333</v>
      </c>
    </row>
    <row r="1248" ht="24.75" customHeight="1">
      <c r="A1248" s="21" t="s">
        <v>1211</v>
      </c>
      <c r="B1248" s="13">
        <f>IFERROR(__xludf.DUMMYFUNCTION("GOOGLEFINANCE(A1248,""PRICE"")"),1684.6)</f>
        <v>1684.6</v>
      </c>
      <c r="C1248" s="14">
        <f>IFERROR(__xludf.DUMMYFUNCTION("GOOGLEFINANCE(A1248,""PRICEOPEN"")"),1675.0)</f>
        <v>1675</v>
      </c>
      <c r="D1248" s="14">
        <f>IFERROR(__xludf.DUMMYFUNCTION("GOOGLEFINANCE(A1248,""HIGH"")"),1709.9)</f>
        <v>1709.9</v>
      </c>
      <c r="E1248" s="14">
        <f>IFERROR(__xludf.DUMMYFUNCTION("GOOGLEFINANCE(A1248,""LOW"")"),1666.2)</f>
        <v>1666.2</v>
      </c>
      <c r="F1248" s="15" t="str">
        <f t="shared" si="8"/>
        <v/>
      </c>
      <c r="G1248" s="16">
        <f>IFERROR(__xludf.DUMMYFUNCTION("GOOGLEFINANCE(A1248,""CLOSEYEST"")"),1673.7)</f>
        <v>1673.7</v>
      </c>
      <c r="H1248" s="17" t="str">
        <f t="shared" si="14"/>
        <v/>
      </c>
      <c r="I1248" s="18">
        <f t="shared" si="9"/>
        <v>1683.266667</v>
      </c>
      <c r="J1248" s="19">
        <f t="shared" si="10"/>
        <v>1700.333333</v>
      </c>
      <c r="K1248" s="19"/>
      <c r="L1248" s="19">
        <f t="shared" si="11"/>
        <v>1656.633333</v>
      </c>
      <c r="M1248" s="19">
        <f t="shared" si="12"/>
        <v>1726.966667</v>
      </c>
      <c r="N1248" s="19">
        <f t="shared" si="13"/>
        <v>1639.566667</v>
      </c>
    </row>
    <row r="1249" ht="24.75" customHeight="1">
      <c r="A1249" s="21" t="s">
        <v>1212</v>
      </c>
      <c r="B1249" s="13">
        <f>IFERROR(__xludf.DUMMYFUNCTION("GOOGLEFINANCE(A1249,""PRICE"")"),218.26)</f>
        <v>218.26</v>
      </c>
      <c r="C1249" s="14">
        <f>IFERROR(__xludf.DUMMYFUNCTION("GOOGLEFINANCE(A1249,""PRICEOPEN"")"),216.01)</f>
        <v>216.01</v>
      </c>
      <c r="D1249" s="14">
        <f>IFERROR(__xludf.DUMMYFUNCTION("GOOGLEFINANCE(A1249,""HIGH"")"),220.84)</f>
        <v>220.84</v>
      </c>
      <c r="E1249" s="14">
        <f>IFERROR(__xludf.DUMMYFUNCTION("GOOGLEFINANCE(A1249,""LOW"")"),215.65)</f>
        <v>215.65</v>
      </c>
      <c r="F1249" s="15" t="str">
        <f t="shared" si="8"/>
        <v/>
      </c>
      <c r="G1249" s="16">
        <f>IFERROR(__xludf.DUMMYFUNCTION("GOOGLEFINANCE(A1249,""CLOSEYEST"")"),218.01)</f>
        <v>218.01</v>
      </c>
      <c r="H1249" s="17" t="str">
        <f t="shared" si="14"/>
        <v/>
      </c>
      <c r="I1249" s="18">
        <f t="shared" si="9"/>
        <v>218.1666667</v>
      </c>
      <c r="J1249" s="19">
        <f t="shared" si="10"/>
        <v>220.6833333</v>
      </c>
      <c r="K1249" s="19"/>
      <c r="L1249" s="19">
        <f t="shared" si="11"/>
        <v>215.4933333</v>
      </c>
      <c r="M1249" s="19">
        <f t="shared" si="12"/>
        <v>223.3566667</v>
      </c>
      <c r="N1249" s="19">
        <f t="shared" si="13"/>
        <v>212.9766667</v>
      </c>
    </row>
    <row r="1250" ht="24.75" customHeight="1">
      <c r="A1250" s="21" t="s">
        <v>1213</v>
      </c>
      <c r="B1250" s="13">
        <f>IFERROR(__xludf.DUMMYFUNCTION("GOOGLEFINANCE(A1250,""PRICE"")"),42.55)</f>
        <v>42.55</v>
      </c>
      <c r="C1250" s="14">
        <f>IFERROR(__xludf.DUMMYFUNCTION("GOOGLEFINANCE(A1250,""PRICEOPEN"")"),41.91)</f>
        <v>41.91</v>
      </c>
      <c r="D1250" s="14">
        <f>IFERROR(__xludf.DUMMYFUNCTION("GOOGLEFINANCE(A1250,""HIGH"")"),42.95)</f>
        <v>42.95</v>
      </c>
      <c r="E1250" s="14">
        <f>IFERROR(__xludf.DUMMYFUNCTION("GOOGLEFINANCE(A1250,""LOW"")"),41.91)</f>
        <v>41.91</v>
      </c>
      <c r="F1250" s="15" t="str">
        <f t="shared" si="8"/>
        <v>BUY</v>
      </c>
      <c r="G1250" s="16">
        <f>IFERROR(__xludf.DUMMYFUNCTION("GOOGLEFINANCE(A1250,""CLOSEYEST"")"),41.91)</f>
        <v>41.91</v>
      </c>
      <c r="H1250" s="17" t="str">
        <f t="shared" si="14"/>
        <v/>
      </c>
      <c r="I1250" s="18">
        <f t="shared" si="9"/>
        <v>42.25666667</v>
      </c>
      <c r="J1250" s="19">
        <f t="shared" si="10"/>
        <v>42.60333333</v>
      </c>
      <c r="K1250" s="19"/>
      <c r="L1250" s="19">
        <f t="shared" si="11"/>
        <v>41.56333333</v>
      </c>
      <c r="M1250" s="19">
        <f t="shared" si="12"/>
        <v>43.29666667</v>
      </c>
      <c r="N1250" s="19">
        <f t="shared" si="13"/>
        <v>41.21666667</v>
      </c>
    </row>
    <row r="1251" ht="24.75" customHeight="1">
      <c r="A1251" s="21" t="s">
        <v>1214</v>
      </c>
      <c r="B1251" s="13">
        <f>IFERROR(__xludf.DUMMYFUNCTION("GOOGLEFINANCE(A1251,""PRICE"")"),11.34)</f>
        <v>11.34</v>
      </c>
      <c r="C1251" s="14">
        <f>IFERROR(__xludf.DUMMYFUNCTION("GOOGLEFINANCE(A1251,""PRICEOPEN"")"),11.34)</f>
        <v>11.34</v>
      </c>
      <c r="D1251" s="14">
        <f>IFERROR(__xludf.DUMMYFUNCTION("GOOGLEFINANCE(A1251,""HIGH"")"),11.34)</f>
        <v>11.34</v>
      </c>
      <c r="E1251" s="14">
        <f>IFERROR(__xludf.DUMMYFUNCTION("GOOGLEFINANCE(A1251,""LOW"")"),11.34)</f>
        <v>11.34</v>
      </c>
      <c r="F1251" s="15" t="str">
        <f t="shared" si="8"/>
        <v>SELL</v>
      </c>
      <c r="G1251" s="16">
        <f>IFERROR(__xludf.DUMMYFUNCTION("GOOGLEFINANCE(A1251,""CLOSEYEST"")"),11.12)</f>
        <v>11.12</v>
      </c>
      <c r="H1251" s="17" t="str">
        <f t="shared" si="14"/>
        <v>GAP UP</v>
      </c>
      <c r="I1251" s="18">
        <f t="shared" si="9"/>
        <v>11.26666667</v>
      </c>
      <c r="J1251" s="19">
        <f t="shared" si="10"/>
        <v>11.19333333</v>
      </c>
      <c r="K1251" s="19"/>
      <c r="L1251" s="19">
        <f t="shared" si="11"/>
        <v>11.19333333</v>
      </c>
      <c r="M1251" s="19">
        <f t="shared" si="12"/>
        <v>11.26666667</v>
      </c>
      <c r="N1251" s="19">
        <f t="shared" si="13"/>
        <v>11.26666667</v>
      </c>
    </row>
    <row r="1252" ht="24.75" customHeight="1">
      <c r="A1252" s="21" t="s">
        <v>1215</v>
      </c>
      <c r="B1252" s="13" t="str">
        <f>IFERROR(__xludf.DUMMYFUNCTION("GOOGLEFINANCE(A1252,""PRICE"")"),"#N/A")</f>
        <v>#N/A</v>
      </c>
      <c r="C1252" s="14" t="str">
        <f>IFERROR(__xludf.DUMMYFUNCTION("GOOGLEFINANCE(A1252,""PRICEOPEN"")"),"#N/A")</f>
        <v>#N/A</v>
      </c>
      <c r="D1252" s="14" t="str">
        <f>IFERROR(__xludf.DUMMYFUNCTION("GOOGLEFINANCE(A1252,""HIGH"")"),"#N/A")</f>
        <v>#N/A</v>
      </c>
      <c r="E1252" s="14" t="str">
        <f>IFERROR(__xludf.DUMMYFUNCTION("GOOGLEFINANCE(A1252,""LOW"")"),"#N/A")</f>
        <v>#N/A</v>
      </c>
      <c r="F1252" s="15" t="str">
        <f t="shared" si="8"/>
        <v>#N/A</v>
      </c>
      <c r="G1252" s="16" t="str">
        <f>IFERROR(__xludf.DUMMYFUNCTION("GOOGLEFINANCE(A1252,""CLOSEYEST"")"),"#N/A")</f>
        <v>#N/A</v>
      </c>
      <c r="H1252" s="17" t="str">
        <f t="shared" si="14"/>
        <v>#N/A</v>
      </c>
      <c r="I1252" s="18" t="str">
        <f t="shared" si="9"/>
        <v>#N/A</v>
      </c>
      <c r="J1252" s="19" t="str">
        <f t="shared" si="10"/>
        <v>#N/A</v>
      </c>
      <c r="K1252" s="19"/>
      <c r="L1252" s="19" t="str">
        <f t="shared" si="11"/>
        <v>#N/A</v>
      </c>
      <c r="M1252" s="19" t="str">
        <f t="shared" si="12"/>
        <v>#N/A</v>
      </c>
      <c r="N1252" s="19" t="str">
        <f t="shared" si="13"/>
        <v>#N/A</v>
      </c>
    </row>
    <row r="1253" ht="24.75" customHeight="1">
      <c r="A1253" s="21" t="s">
        <v>1216</v>
      </c>
      <c r="B1253" s="13" t="str">
        <f>IFERROR(__xludf.DUMMYFUNCTION("GOOGLEFINANCE(A1253,""PRICE"")"),"#N/A")</f>
        <v>#N/A</v>
      </c>
      <c r="C1253" s="14" t="str">
        <f>IFERROR(__xludf.DUMMYFUNCTION("GOOGLEFINANCE(A1253,""PRICEOPEN"")"),"#N/A")</f>
        <v>#N/A</v>
      </c>
      <c r="D1253" s="14" t="str">
        <f>IFERROR(__xludf.DUMMYFUNCTION("GOOGLEFINANCE(A1253,""HIGH"")"),"#N/A")</f>
        <v>#N/A</v>
      </c>
      <c r="E1253" s="14" t="str">
        <f>IFERROR(__xludf.DUMMYFUNCTION("GOOGLEFINANCE(A1253,""LOW"")"),"#N/A")</f>
        <v>#N/A</v>
      </c>
      <c r="F1253" s="15" t="str">
        <f t="shared" si="8"/>
        <v>#N/A</v>
      </c>
      <c r="G1253" s="16" t="str">
        <f>IFERROR(__xludf.DUMMYFUNCTION("GOOGLEFINANCE(A1253,""CLOSEYEST"")"),"#N/A")</f>
        <v>#N/A</v>
      </c>
      <c r="H1253" s="17" t="str">
        <f t="shared" si="14"/>
        <v>#N/A</v>
      </c>
      <c r="I1253" s="18" t="str">
        <f t="shared" si="9"/>
        <v>#N/A</v>
      </c>
      <c r="J1253" s="19" t="str">
        <f t="shared" si="10"/>
        <v>#N/A</v>
      </c>
      <c r="K1253" s="19"/>
      <c r="L1253" s="19" t="str">
        <f t="shared" si="11"/>
        <v>#N/A</v>
      </c>
      <c r="M1253" s="19" t="str">
        <f t="shared" si="12"/>
        <v>#N/A</v>
      </c>
      <c r="N1253" s="19" t="str">
        <f t="shared" si="13"/>
        <v>#N/A</v>
      </c>
    </row>
    <row r="1254" ht="24.75" customHeight="1">
      <c r="A1254" s="21" t="s">
        <v>1217</v>
      </c>
      <c r="B1254" s="13">
        <f>IFERROR(__xludf.DUMMYFUNCTION("GOOGLEFINANCE(A1254,""PRICE"")"),2.03)</f>
        <v>2.03</v>
      </c>
      <c r="C1254" s="14">
        <f>IFERROR(__xludf.DUMMYFUNCTION("GOOGLEFINANCE(A1254,""PRICEOPEN"")"),1.96)</f>
        <v>1.96</v>
      </c>
      <c r="D1254" s="14">
        <f>IFERROR(__xludf.DUMMYFUNCTION("GOOGLEFINANCE(A1254,""HIGH"")"),2.04)</f>
        <v>2.04</v>
      </c>
      <c r="E1254" s="14">
        <f>IFERROR(__xludf.DUMMYFUNCTION("GOOGLEFINANCE(A1254,""LOW"")"),1.95)</f>
        <v>1.95</v>
      </c>
      <c r="F1254" s="15" t="str">
        <f t="shared" si="8"/>
        <v/>
      </c>
      <c r="G1254" s="16">
        <f>IFERROR(__xludf.DUMMYFUNCTION("GOOGLEFINANCE(A1254,""CLOSEYEST"")"),1.96)</f>
        <v>1.96</v>
      </c>
      <c r="H1254" s="17" t="str">
        <f t="shared" si="14"/>
        <v/>
      </c>
      <c r="I1254" s="18">
        <f t="shared" si="9"/>
        <v>1.983333333</v>
      </c>
      <c r="J1254" s="19">
        <f t="shared" si="10"/>
        <v>2.016666667</v>
      </c>
      <c r="K1254" s="19"/>
      <c r="L1254" s="19">
        <f t="shared" si="11"/>
        <v>1.926666667</v>
      </c>
      <c r="M1254" s="19">
        <f t="shared" si="12"/>
        <v>2.073333333</v>
      </c>
      <c r="N1254" s="19">
        <f t="shared" si="13"/>
        <v>1.893333333</v>
      </c>
    </row>
    <row r="1255" ht="24.75" customHeight="1">
      <c r="A1255" s="21" t="s">
        <v>1218</v>
      </c>
      <c r="B1255" s="13">
        <f>IFERROR(__xludf.DUMMYFUNCTION("GOOGLEFINANCE(A1255,""PRICE"")"),94.89)</f>
        <v>94.89</v>
      </c>
      <c r="C1255" s="14">
        <f>IFERROR(__xludf.DUMMYFUNCTION("GOOGLEFINANCE(A1255,""PRICEOPEN"")"),93.02)</f>
        <v>93.02</v>
      </c>
      <c r="D1255" s="14">
        <f>IFERROR(__xludf.DUMMYFUNCTION("GOOGLEFINANCE(A1255,""HIGH"")"),95.78)</f>
        <v>95.78</v>
      </c>
      <c r="E1255" s="14">
        <f>IFERROR(__xludf.DUMMYFUNCTION("GOOGLEFINANCE(A1255,""LOW"")"),93.02)</f>
        <v>93.02</v>
      </c>
      <c r="F1255" s="15" t="str">
        <f t="shared" si="8"/>
        <v>BUY</v>
      </c>
      <c r="G1255" s="16">
        <f>IFERROR(__xludf.DUMMYFUNCTION("GOOGLEFINANCE(A1255,""CLOSEYEST"")"),94.04)</f>
        <v>94.04</v>
      </c>
      <c r="H1255" s="17" t="str">
        <f t="shared" si="14"/>
        <v>GAP DOWN</v>
      </c>
      <c r="I1255" s="18">
        <f t="shared" si="9"/>
        <v>94.28</v>
      </c>
      <c r="J1255" s="19">
        <f t="shared" si="10"/>
        <v>95.54</v>
      </c>
      <c r="K1255" s="19"/>
      <c r="L1255" s="19">
        <f t="shared" si="11"/>
        <v>92.78</v>
      </c>
      <c r="M1255" s="19">
        <f t="shared" si="12"/>
        <v>97.04</v>
      </c>
      <c r="N1255" s="19">
        <f t="shared" si="13"/>
        <v>91.52</v>
      </c>
    </row>
    <row r="1256" ht="24.75" customHeight="1">
      <c r="A1256" s="21" t="s">
        <v>1219</v>
      </c>
      <c r="B1256" s="13">
        <f>IFERROR(__xludf.DUMMYFUNCTION("GOOGLEFINANCE(A1256,""PRICE"")"),91.49)</f>
        <v>91.49</v>
      </c>
      <c r="C1256" s="14">
        <f>IFERROR(__xludf.DUMMYFUNCTION("GOOGLEFINANCE(A1256,""PRICEOPEN"")"),91.5)</f>
        <v>91.5</v>
      </c>
      <c r="D1256" s="14">
        <f>IFERROR(__xludf.DUMMYFUNCTION("GOOGLEFINANCE(A1256,""HIGH"")"),91.5)</f>
        <v>91.5</v>
      </c>
      <c r="E1256" s="14">
        <f>IFERROR(__xludf.DUMMYFUNCTION("GOOGLEFINANCE(A1256,""LOW"")"),91.49)</f>
        <v>91.49</v>
      </c>
      <c r="F1256" s="15" t="str">
        <f t="shared" si="8"/>
        <v>SELL</v>
      </c>
      <c r="G1256" s="16">
        <f>IFERROR(__xludf.DUMMYFUNCTION("GOOGLEFINANCE(A1256,""CLOSEYEST"")"),91.47)</f>
        <v>91.47</v>
      </c>
      <c r="H1256" s="17" t="str">
        <f t="shared" si="14"/>
        <v/>
      </c>
      <c r="I1256" s="18">
        <f t="shared" si="9"/>
        <v>91.48666667</v>
      </c>
      <c r="J1256" s="19">
        <f t="shared" si="10"/>
        <v>91.48333333</v>
      </c>
      <c r="K1256" s="19"/>
      <c r="L1256" s="19">
        <f t="shared" si="11"/>
        <v>91.47333333</v>
      </c>
      <c r="M1256" s="19">
        <f t="shared" si="12"/>
        <v>91.49666667</v>
      </c>
      <c r="N1256" s="19">
        <f t="shared" si="13"/>
        <v>91.47666667</v>
      </c>
    </row>
    <row r="1257" ht="24.75" customHeight="1">
      <c r="A1257" s="21" t="s">
        <v>1220</v>
      </c>
      <c r="B1257" s="13">
        <f>IFERROR(__xludf.DUMMYFUNCTION("GOOGLEFINANCE(A1257,""PRICE"")"),785.5)</f>
        <v>785.5</v>
      </c>
      <c r="C1257" s="14">
        <f>IFERROR(__xludf.DUMMYFUNCTION("GOOGLEFINANCE(A1257,""PRICEOPEN"")"),784.95)</f>
        <v>784.95</v>
      </c>
      <c r="D1257" s="14">
        <f>IFERROR(__xludf.DUMMYFUNCTION("GOOGLEFINANCE(A1257,""HIGH"")"),789.9)</f>
        <v>789.9</v>
      </c>
      <c r="E1257" s="14">
        <f>IFERROR(__xludf.DUMMYFUNCTION("GOOGLEFINANCE(A1257,""LOW"")"),777.25)</f>
        <v>777.25</v>
      </c>
      <c r="F1257" s="15" t="str">
        <f t="shared" si="8"/>
        <v/>
      </c>
      <c r="G1257" s="16">
        <f>IFERROR(__xludf.DUMMYFUNCTION("GOOGLEFINANCE(A1257,""CLOSEYEST"")"),776.55)</f>
        <v>776.55</v>
      </c>
      <c r="H1257" s="17" t="str">
        <f t="shared" si="14"/>
        <v>GAP UP</v>
      </c>
      <c r="I1257" s="18">
        <f t="shared" si="9"/>
        <v>781.2333333</v>
      </c>
      <c r="J1257" s="19">
        <f t="shared" si="10"/>
        <v>785.2166667</v>
      </c>
      <c r="K1257" s="19"/>
      <c r="L1257" s="19">
        <f t="shared" si="11"/>
        <v>772.5666667</v>
      </c>
      <c r="M1257" s="19">
        <f t="shared" si="12"/>
        <v>793.8833333</v>
      </c>
      <c r="N1257" s="19">
        <f t="shared" si="13"/>
        <v>768.5833333</v>
      </c>
    </row>
    <row r="1258" ht="24.75" customHeight="1">
      <c r="A1258" s="21" t="s">
        <v>1221</v>
      </c>
      <c r="B1258" s="13">
        <f>IFERROR(__xludf.DUMMYFUNCTION("GOOGLEFINANCE(A1258,""PRICE"")"),36.7)</f>
        <v>36.7</v>
      </c>
      <c r="C1258" s="14">
        <f>IFERROR(__xludf.DUMMYFUNCTION("GOOGLEFINANCE(A1258,""PRICEOPEN"")"),36.47)</f>
        <v>36.47</v>
      </c>
      <c r="D1258" s="14">
        <f>IFERROR(__xludf.DUMMYFUNCTION("GOOGLEFINANCE(A1258,""HIGH"")"),36.9)</f>
        <v>36.9</v>
      </c>
      <c r="E1258" s="14">
        <f>IFERROR(__xludf.DUMMYFUNCTION("GOOGLEFINANCE(A1258,""LOW"")"),36.44)</f>
        <v>36.44</v>
      </c>
      <c r="F1258" s="15" t="str">
        <f t="shared" si="8"/>
        <v/>
      </c>
      <c r="G1258" s="16">
        <f>IFERROR(__xludf.DUMMYFUNCTION("GOOGLEFINANCE(A1258,""CLOSEYEST"")"),36.41)</f>
        <v>36.41</v>
      </c>
      <c r="H1258" s="17" t="str">
        <f t="shared" si="14"/>
        <v/>
      </c>
      <c r="I1258" s="18">
        <f t="shared" si="9"/>
        <v>36.58333333</v>
      </c>
      <c r="J1258" s="19">
        <f t="shared" si="10"/>
        <v>36.72666667</v>
      </c>
      <c r="K1258" s="19"/>
      <c r="L1258" s="19">
        <f t="shared" si="11"/>
        <v>36.26666667</v>
      </c>
      <c r="M1258" s="19">
        <f t="shared" si="12"/>
        <v>37.04333333</v>
      </c>
      <c r="N1258" s="19">
        <f t="shared" si="13"/>
        <v>36.12333333</v>
      </c>
    </row>
    <row r="1259" ht="24.75" customHeight="1">
      <c r="A1259" s="21" t="s">
        <v>1222</v>
      </c>
      <c r="B1259" s="13">
        <f>IFERROR(__xludf.DUMMYFUNCTION("GOOGLEFINANCE(A1259,""PRICE"")"),777.5)</f>
        <v>777.5</v>
      </c>
      <c r="C1259" s="14">
        <f>IFERROR(__xludf.DUMMYFUNCTION("GOOGLEFINANCE(A1259,""PRICEOPEN"")"),775.0)</f>
        <v>775</v>
      </c>
      <c r="D1259" s="14">
        <f>IFERROR(__xludf.DUMMYFUNCTION("GOOGLEFINANCE(A1259,""HIGH"")"),786.9)</f>
        <v>786.9</v>
      </c>
      <c r="E1259" s="14">
        <f>IFERROR(__xludf.DUMMYFUNCTION("GOOGLEFINANCE(A1259,""LOW"")"),766.0)</f>
        <v>766</v>
      </c>
      <c r="F1259" s="15" t="str">
        <f t="shared" si="8"/>
        <v/>
      </c>
      <c r="G1259" s="16">
        <f>IFERROR(__xludf.DUMMYFUNCTION("GOOGLEFINANCE(A1259,""CLOSEYEST"")"),772.45)</f>
        <v>772.45</v>
      </c>
      <c r="H1259" s="17" t="str">
        <f t="shared" si="14"/>
        <v/>
      </c>
      <c r="I1259" s="18">
        <f t="shared" si="9"/>
        <v>775.1166667</v>
      </c>
      <c r="J1259" s="19">
        <f t="shared" si="10"/>
        <v>784.2333333</v>
      </c>
      <c r="K1259" s="19"/>
      <c r="L1259" s="19">
        <f t="shared" si="11"/>
        <v>763.3333333</v>
      </c>
      <c r="M1259" s="19">
        <f t="shared" si="12"/>
        <v>796.0166667</v>
      </c>
      <c r="N1259" s="19">
        <f t="shared" si="13"/>
        <v>754.2166667</v>
      </c>
    </row>
    <row r="1260" ht="24.75" customHeight="1">
      <c r="A1260" s="21" t="s">
        <v>1223</v>
      </c>
      <c r="B1260" s="13">
        <f>IFERROR(__xludf.DUMMYFUNCTION("GOOGLEFINANCE(A1260,""PRICE"")"),390.1)</f>
        <v>390.1</v>
      </c>
      <c r="C1260" s="14">
        <f>IFERROR(__xludf.DUMMYFUNCTION("GOOGLEFINANCE(A1260,""PRICEOPEN"")"),384.4)</f>
        <v>384.4</v>
      </c>
      <c r="D1260" s="14">
        <f>IFERROR(__xludf.DUMMYFUNCTION("GOOGLEFINANCE(A1260,""HIGH"")"),397.8)</f>
        <v>397.8</v>
      </c>
      <c r="E1260" s="14">
        <f>IFERROR(__xludf.DUMMYFUNCTION("GOOGLEFINANCE(A1260,""LOW"")"),384.4)</f>
        <v>384.4</v>
      </c>
      <c r="F1260" s="15" t="str">
        <f t="shared" si="8"/>
        <v>BUY</v>
      </c>
      <c r="G1260" s="16">
        <f>IFERROR(__xludf.DUMMYFUNCTION("GOOGLEFINANCE(A1260,""CLOSEYEST"")"),388.3)</f>
        <v>388.3</v>
      </c>
      <c r="H1260" s="17" t="str">
        <f t="shared" si="14"/>
        <v>GAP DOWN</v>
      </c>
      <c r="I1260" s="18">
        <f t="shared" si="9"/>
        <v>390.1666667</v>
      </c>
      <c r="J1260" s="19">
        <f t="shared" si="10"/>
        <v>395.9333333</v>
      </c>
      <c r="K1260" s="19"/>
      <c r="L1260" s="19">
        <f t="shared" si="11"/>
        <v>382.5333333</v>
      </c>
      <c r="M1260" s="19">
        <f t="shared" si="12"/>
        <v>403.5666667</v>
      </c>
      <c r="N1260" s="19">
        <f t="shared" si="13"/>
        <v>376.7666667</v>
      </c>
    </row>
    <row r="1261" ht="24.75" customHeight="1">
      <c r="A1261" s="21" t="s">
        <v>1224</v>
      </c>
      <c r="B1261" s="13">
        <f>IFERROR(__xludf.DUMMYFUNCTION("GOOGLEFINANCE(A1261,""PRICE"")"),457.0)</f>
        <v>457</v>
      </c>
      <c r="C1261" s="14">
        <f>IFERROR(__xludf.DUMMYFUNCTION("GOOGLEFINANCE(A1261,""PRICEOPEN"")"),454.75)</f>
        <v>454.75</v>
      </c>
      <c r="D1261" s="14">
        <f>IFERROR(__xludf.DUMMYFUNCTION("GOOGLEFINANCE(A1261,""HIGH"")"),457.15)</f>
        <v>457.15</v>
      </c>
      <c r="E1261" s="14">
        <f>IFERROR(__xludf.DUMMYFUNCTION("GOOGLEFINANCE(A1261,""LOW"")"),453.0)</f>
        <v>453</v>
      </c>
      <c r="F1261" s="15" t="str">
        <f t="shared" si="8"/>
        <v/>
      </c>
      <c r="G1261" s="16">
        <f>IFERROR(__xludf.DUMMYFUNCTION("GOOGLEFINANCE(A1261,""CLOSEYEST"")"),449.7)</f>
        <v>449.7</v>
      </c>
      <c r="H1261" s="17" t="str">
        <f t="shared" si="14"/>
        <v>GAP UP</v>
      </c>
      <c r="I1261" s="18">
        <f t="shared" si="9"/>
        <v>453.2833333</v>
      </c>
      <c r="J1261" s="19">
        <f t="shared" si="10"/>
        <v>453.5666667</v>
      </c>
      <c r="K1261" s="19"/>
      <c r="L1261" s="19">
        <f t="shared" si="11"/>
        <v>449.4166667</v>
      </c>
      <c r="M1261" s="19">
        <f t="shared" si="12"/>
        <v>457.4333333</v>
      </c>
      <c r="N1261" s="19">
        <f t="shared" si="13"/>
        <v>449.1333333</v>
      </c>
    </row>
    <row r="1262" ht="24.75" customHeight="1">
      <c r="A1262" s="21" t="s">
        <v>1225</v>
      </c>
      <c r="B1262" s="13">
        <f>IFERROR(__xludf.DUMMYFUNCTION("GOOGLEFINANCE(A1262,""PRICE"")"),344.3)</f>
        <v>344.3</v>
      </c>
      <c r="C1262" s="14">
        <f>IFERROR(__xludf.DUMMYFUNCTION("GOOGLEFINANCE(A1262,""PRICEOPEN"")"),342.45)</f>
        <v>342.45</v>
      </c>
      <c r="D1262" s="14">
        <f>IFERROR(__xludf.DUMMYFUNCTION("GOOGLEFINANCE(A1262,""HIGH"")"),351.35)</f>
        <v>351.35</v>
      </c>
      <c r="E1262" s="14">
        <f>IFERROR(__xludf.DUMMYFUNCTION("GOOGLEFINANCE(A1262,""LOW"")"),338.45)</f>
        <v>338.45</v>
      </c>
      <c r="F1262" s="15" t="str">
        <f t="shared" si="8"/>
        <v/>
      </c>
      <c r="G1262" s="16">
        <f>IFERROR(__xludf.DUMMYFUNCTION("GOOGLEFINANCE(A1262,""CLOSEYEST"")"),344.15)</f>
        <v>344.15</v>
      </c>
      <c r="H1262" s="17" t="str">
        <f t="shared" si="14"/>
        <v/>
      </c>
      <c r="I1262" s="18">
        <f t="shared" si="9"/>
        <v>344.65</v>
      </c>
      <c r="J1262" s="19">
        <f t="shared" si="10"/>
        <v>350.85</v>
      </c>
      <c r="K1262" s="19"/>
      <c r="L1262" s="19">
        <f t="shared" si="11"/>
        <v>337.95</v>
      </c>
      <c r="M1262" s="19">
        <f t="shared" si="12"/>
        <v>357.55</v>
      </c>
      <c r="N1262" s="19">
        <f t="shared" si="13"/>
        <v>331.75</v>
      </c>
    </row>
    <row r="1263" ht="24.75" customHeight="1">
      <c r="A1263" s="21" t="s">
        <v>1226</v>
      </c>
      <c r="B1263" s="13">
        <f>IFERROR(__xludf.DUMMYFUNCTION("GOOGLEFINANCE(A1263,""PRICE"")"),7.02)</f>
        <v>7.02</v>
      </c>
      <c r="C1263" s="14">
        <f>IFERROR(__xludf.DUMMYFUNCTION("GOOGLEFINANCE(A1263,""PRICEOPEN"")"),7.04)</f>
        <v>7.04</v>
      </c>
      <c r="D1263" s="14">
        <f>IFERROR(__xludf.DUMMYFUNCTION("GOOGLEFINANCE(A1263,""HIGH"")"),7.12)</f>
        <v>7.12</v>
      </c>
      <c r="E1263" s="14">
        <f>IFERROR(__xludf.DUMMYFUNCTION("GOOGLEFINANCE(A1263,""LOW"")"),6.95)</f>
        <v>6.95</v>
      </c>
      <c r="F1263" s="15" t="str">
        <f t="shared" si="8"/>
        <v/>
      </c>
      <c r="G1263" s="16">
        <f>IFERROR(__xludf.DUMMYFUNCTION("GOOGLEFINANCE(A1263,""CLOSEYEST"")"),7.0)</f>
        <v>7</v>
      </c>
      <c r="H1263" s="17" t="str">
        <f t="shared" si="14"/>
        <v/>
      </c>
      <c r="I1263" s="18">
        <f t="shared" si="9"/>
        <v>7.023333333</v>
      </c>
      <c r="J1263" s="19">
        <f t="shared" si="10"/>
        <v>7.096666667</v>
      </c>
      <c r="K1263" s="19"/>
      <c r="L1263" s="19">
        <f t="shared" si="11"/>
        <v>6.926666667</v>
      </c>
      <c r="M1263" s="19">
        <f t="shared" si="12"/>
        <v>7.193333333</v>
      </c>
      <c r="N1263" s="19">
        <f t="shared" si="13"/>
        <v>6.853333333</v>
      </c>
    </row>
    <row r="1264" ht="24.75" customHeight="1">
      <c r="A1264" s="21" t="s">
        <v>1227</v>
      </c>
      <c r="B1264" s="13">
        <f>IFERROR(__xludf.DUMMYFUNCTION("GOOGLEFINANCE(A1264,""PRICE"")"),25.32)</f>
        <v>25.32</v>
      </c>
      <c r="C1264" s="14">
        <f>IFERROR(__xludf.DUMMYFUNCTION("GOOGLEFINANCE(A1264,""PRICEOPEN"")"),25.2)</f>
        <v>25.2</v>
      </c>
      <c r="D1264" s="14">
        <f>IFERROR(__xludf.DUMMYFUNCTION("GOOGLEFINANCE(A1264,""HIGH"")"),25.66)</f>
        <v>25.66</v>
      </c>
      <c r="E1264" s="14">
        <f>IFERROR(__xludf.DUMMYFUNCTION("GOOGLEFINANCE(A1264,""LOW"")"),25.02)</f>
        <v>25.02</v>
      </c>
      <c r="F1264" s="15" t="str">
        <f t="shared" si="8"/>
        <v/>
      </c>
      <c r="G1264" s="16">
        <f>IFERROR(__xludf.DUMMYFUNCTION("GOOGLEFINANCE(A1264,""CLOSEYEST"")"),25.15)</f>
        <v>25.15</v>
      </c>
      <c r="H1264" s="17" t="str">
        <f t="shared" si="14"/>
        <v/>
      </c>
      <c r="I1264" s="18">
        <f t="shared" si="9"/>
        <v>25.27666667</v>
      </c>
      <c r="J1264" s="19">
        <f t="shared" si="10"/>
        <v>25.53333333</v>
      </c>
      <c r="K1264" s="19"/>
      <c r="L1264" s="19">
        <f t="shared" si="11"/>
        <v>24.89333333</v>
      </c>
      <c r="M1264" s="19">
        <f t="shared" si="12"/>
        <v>25.91666667</v>
      </c>
      <c r="N1264" s="19">
        <f t="shared" si="13"/>
        <v>24.63666667</v>
      </c>
    </row>
    <row r="1265" ht="24.75" customHeight="1">
      <c r="A1265" s="21" t="s">
        <v>1228</v>
      </c>
      <c r="B1265" s="13">
        <f>IFERROR(__xludf.DUMMYFUNCTION("GOOGLEFINANCE(A1265,""PRICE"")"),268.3)</f>
        <v>268.3</v>
      </c>
      <c r="C1265" s="14">
        <f>IFERROR(__xludf.DUMMYFUNCTION("GOOGLEFINANCE(A1265,""PRICEOPEN"")"),267.15)</f>
        <v>267.15</v>
      </c>
      <c r="D1265" s="14">
        <f>IFERROR(__xludf.DUMMYFUNCTION("GOOGLEFINANCE(A1265,""HIGH"")"),272.4)</f>
        <v>272.4</v>
      </c>
      <c r="E1265" s="14">
        <f>IFERROR(__xludf.DUMMYFUNCTION("GOOGLEFINANCE(A1265,""LOW"")"),267.15)</f>
        <v>267.15</v>
      </c>
      <c r="F1265" s="15" t="str">
        <f t="shared" si="8"/>
        <v>BUY</v>
      </c>
      <c r="G1265" s="16">
        <f>IFERROR(__xludf.DUMMYFUNCTION("GOOGLEFINANCE(A1265,""CLOSEYEST"")"),267.15)</f>
        <v>267.15</v>
      </c>
      <c r="H1265" s="17" t="str">
        <f t="shared" si="14"/>
        <v/>
      </c>
      <c r="I1265" s="18">
        <f t="shared" si="9"/>
        <v>268.9</v>
      </c>
      <c r="J1265" s="19">
        <f t="shared" si="10"/>
        <v>270.65</v>
      </c>
      <c r="K1265" s="19"/>
      <c r="L1265" s="19">
        <f t="shared" si="11"/>
        <v>265.4</v>
      </c>
      <c r="M1265" s="19">
        <f t="shared" si="12"/>
        <v>274.15</v>
      </c>
      <c r="N1265" s="19">
        <f t="shared" si="13"/>
        <v>263.65</v>
      </c>
    </row>
    <row r="1266" ht="24.75" customHeight="1">
      <c r="A1266" s="21" t="s">
        <v>1229</v>
      </c>
      <c r="B1266" s="13">
        <f>IFERROR(__xludf.DUMMYFUNCTION("GOOGLEFINANCE(A1266,""PRICE"")"),536.0)</f>
        <v>536</v>
      </c>
      <c r="C1266" s="14">
        <f>IFERROR(__xludf.DUMMYFUNCTION("GOOGLEFINANCE(A1266,""PRICEOPEN"")"),503.55)</f>
        <v>503.55</v>
      </c>
      <c r="D1266" s="14">
        <f>IFERROR(__xludf.DUMMYFUNCTION("GOOGLEFINANCE(A1266,""HIGH"")"),584.0)</f>
        <v>584</v>
      </c>
      <c r="E1266" s="14">
        <f>IFERROR(__xludf.DUMMYFUNCTION("GOOGLEFINANCE(A1266,""LOW"")"),503.55)</f>
        <v>503.55</v>
      </c>
      <c r="F1266" s="15" t="str">
        <f t="shared" si="8"/>
        <v>BUY</v>
      </c>
      <c r="G1266" s="16">
        <f>IFERROR(__xludf.DUMMYFUNCTION("GOOGLEFINANCE(A1266,""CLOSEYEST"")"),513.15)</f>
        <v>513.15</v>
      </c>
      <c r="H1266" s="17" t="str">
        <f t="shared" si="14"/>
        <v>GAP DOWN</v>
      </c>
      <c r="I1266" s="18">
        <f t="shared" si="9"/>
        <v>533.5666667</v>
      </c>
      <c r="J1266" s="19">
        <f t="shared" si="10"/>
        <v>563.5833333</v>
      </c>
      <c r="K1266" s="19"/>
      <c r="L1266" s="19">
        <f t="shared" si="11"/>
        <v>483.1333333</v>
      </c>
      <c r="M1266" s="19">
        <f t="shared" si="12"/>
        <v>614.0166667</v>
      </c>
      <c r="N1266" s="19">
        <f t="shared" si="13"/>
        <v>453.1166667</v>
      </c>
    </row>
    <row r="1267" ht="24.75" customHeight="1">
      <c r="A1267" s="21" t="s">
        <v>1230</v>
      </c>
      <c r="B1267" s="13">
        <f>IFERROR(__xludf.DUMMYFUNCTION("GOOGLEFINANCE(A1267,""PRICE"")"),43.29)</f>
        <v>43.29</v>
      </c>
      <c r="C1267" s="14">
        <f>IFERROR(__xludf.DUMMYFUNCTION("GOOGLEFINANCE(A1267,""PRICEOPEN"")"),42.58)</f>
        <v>42.58</v>
      </c>
      <c r="D1267" s="14">
        <f>IFERROR(__xludf.DUMMYFUNCTION("GOOGLEFINANCE(A1267,""HIGH"")"),43.4)</f>
        <v>43.4</v>
      </c>
      <c r="E1267" s="14">
        <f>IFERROR(__xludf.DUMMYFUNCTION("GOOGLEFINANCE(A1267,""LOW"")"),42.32)</f>
        <v>42.32</v>
      </c>
      <c r="F1267" s="15" t="str">
        <f t="shared" si="8"/>
        <v/>
      </c>
      <c r="G1267" s="16">
        <f>IFERROR(__xludf.DUMMYFUNCTION("GOOGLEFINANCE(A1267,""CLOSEYEST"")"),42.58)</f>
        <v>42.58</v>
      </c>
      <c r="H1267" s="17" t="str">
        <f t="shared" si="14"/>
        <v/>
      </c>
      <c r="I1267" s="18">
        <f t="shared" si="9"/>
        <v>42.76666667</v>
      </c>
      <c r="J1267" s="19">
        <f t="shared" si="10"/>
        <v>43.21333333</v>
      </c>
      <c r="K1267" s="19"/>
      <c r="L1267" s="19">
        <f t="shared" si="11"/>
        <v>42.13333333</v>
      </c>
      <c r="M1267" s="19">
        <f t="shared" si="12"/>
        <v>43.84666667</v>
      </c>
      <c r="N1267" s="19">
        <f t="shared" si="13"/>
        <v>41.68666667</v>
      </c>
    </row>
    <row r="1268" ht="24.75" customHeight="1">
      <c r="A1268" s="21" t="s">
        <v>1231</v>
      </c>
      <c r="B1268" s="13">
        <f>IFERROR(__xludf.DUMMYFUNCTION("GOOGLEFINANCE(A1268,""PRICE"")"),191.0)</f>
        <v>191</v>
      </c>
      <c r="C1268" s="14">
        <f>IFERROR(__xludf.DUMMYFUNCTION("GOOGLEFINANCE(A1268,""PRICEOPEN"")"),190.0)</f>
        <v>190</v>
      </c>
      <c r="D1268" s="14">
        <f>IFERROR(__xludf.DUMMYFUNCTION("GOOGLEFINANCE(A1268,""HIGH"")"),196.9)</f>
        <v>196.9</v>
      </c>
      <c r="E1268" s="14">
        <f>IFERROR(__xludf.DUMMYFUNCTION("GOOGLEFINANCE(A1268,""LOW"")"),188.0)</f>
        <v>188</v>
      </c>
      <c r="F1268" s="15" t="str">
        <f t="shared" si="8"/>
        <v/>
      </c>
      <c r="G1268" s="16">
        <f>IFERROR(__xludf.DUMMYFUNCTION("GOOGLEFINANCE(A1268,""CLOSEYEST"")"),189.46)</f>
        <v>189.46</v>
      </c>
      <c r="H1268" s="17" t="str">
        <f t="shared" si="14"/>
        <v/>
      </c>
      <c r="I1268" s="18">
        <f t="shared" si="9"/>
        <v>191.4533333</v>
      </c>
      <c r="J1268" s="19">
        <f t="shared" si="10"/>
        <v>194.9066667</v>
      </c>
      <c r="K1268" s="19"/>
      <c r="L1268" s="19">
        <f t="shared" si="11"/>
        <v>186.0066667</v>
      </c>
      <c r="M1268" s="19">
        <f t="shared" si="12"/>
        <v>200.3533333</v>
      </c>
      <c r="N1268" s="19">
        <f t="shared" si="13"/>
        <v>182.5533333</v>
      </c>
    </row>
    <row r="1269" ht="24.75" customHeight="1">
      <c r="A1269" s="21" t="s">
        <v>1232</v>
      </c>
      <c r="B1269" s="13">
        <f>IFERROR(__xludf.DUMMYFUNCTION("GOOGLEFINANCE(A1269,""PRICE"")"),242.81)</f>
        <v>242.81</v>
      </c>
      <c r="C1269" s="14">
        <f>IFERROR(__xludf.DUMMYFUNCTION("GOOGLEFINANCE(A1269,""PRICEOPEN"")"),243.64)</f>
        <v>243.64</v>
      </c>
      <c r="D1269" s="14">
        <f>IFERROR(__xludf.DUMMYFUNCTION("GOOGLEFINANCE(A1269,""HIGH"")"),244.5)</f>
        <v>244.5</v>
      </c>
      <c r="E1269" s="14">
        <f>IFERROR(__xludf.DUMMYFUNCTION("GOOGLEFINANCE(A1269,""LOW"")"),240.48)</f>
        <v>240.48</v>
      </c>
      <c r="F1269" s="15" t="str">
        <f t="shared" si="8"/>
        <v/>
      </c>
      <c r="G1269" s="16">
        <f>IFERROR(__xludf.DUMMYFUNCTION("GOOGLEFINANCE(A1269,""CLOSEYEST"")"),243.64)</f>
        <v>243.64</v>
      </c>
      <c r="H1269" s="17" t="str">
        <f t="shared" si="14"/>
        <v/>
      </c>
      <c r="I1269" s="18">
        <f t="shared" si="9"/>
        <v>242.8733333</v>
      </c>
      <c r="J1269" s="19">
        <f t="shared" si="10"/>
        <v>245.2666667</v>
      </c>
      <c r="K1269" s="19"/>
      <c r="L1269" s="19">
        <f t="shared" si="11"/>
        <v>241.2466667</v>
      </c>
      <c r="M1269" s="19">
        <f t="shared" si="12"/>
        <v>246.8933333</v>
      </c>
      <c r="N1269" s="19">
        <f t="shared" si="13"/>
        <v>238.8533333</v>
      </c>
    </row>
    <row r="1270" ht="24.75" customHeight="1">
      <c r="A1270" s="21" t="s">
        <v>1233</v>
      </c>
      <c r="B1270" s="13">
        <f>IFERROR(__xludf.DUMMYFUNCTION("GOOGLEFINANCE(A1270,""PRICE"")"),13.77)</f>
        <v>13.77</v>
      </c>
      <c r="C1270" s="14">
        <f>IFERROR(__xludf.DUMMYFUNCTION("GOOGLEFINANCE(A1270,""PRICEOPEN"")"),13.66)</f>
        <v>13.66</v>
      </c>
      <c r="D1270" s="14">
        <f>IFERROR(__xludf.DUMMYFUNCTION("GOOGLEFINANCE(A1270,""HIGH"")"),13.89)</f>
        <v>13.89</v>
      </c>
      <c r="E1270" s="14">
        <f>IFERROR(__xludf.DUMMYFUNCTION("GOOGLEFINANCE(A1270,""LOW"")"),13.6)</f>
        <v>13.6</v>
      </c>
      <c r="F1270" s="15" t="str">
        <f t="shared" si="8"/>
        <v/>
      </c>
      <c r="G1270" s="16">
        <f>IFERROR(__xludf.DUMMYFUNCTION("GOOGLEFINANCE(A1270,""CLOSEYEST"")"),13.66)</f>
        <v>13.66</v>
      </c>
      <c r="H1270" s="17" t="str">
        <f t="shared" si="14"/>
        <v/>
      </c>
      <c r="I1270" s="18">
        <f t="shared" si="9"/>
        <v>13.71666667</v>
      </c>
      <c r="J1270" s="19">
        <f t="shared" si="10"/>
        <v>13.83333333</v>
      </c>
      <c r="K1270" s="19"/>
      <c r="L1270" s="19">
        <f t="shared" si="11"/>
        <v>13.54333333</v>
      </c>
      <c r="M1270" s="19">
        <f t="shared" si="12"/>
        <v>14.00666667</v>
      </c>
      <c r="N1270" s="19">
        <f t="shared" si="13"/>
        <v>13.42666667</v>
      </c>
    </row>
    <row r="1271" ht="24.75" customHeight="1">
      <c r="A1271" s="21" t="s">
        <v>1234</v>
      </c>
      <c r="B1271" s="13" t="str">
        <f>IFERROR(__xludf.DUMMYFUNCTION("GOOGLEFINANCE(A1271,""PRICE"")"),"#N/A")</f>
        <v>#N/A</v>
      </c>
      <c r="C1271" s="14" t="str">
        <f>IFERROR(__xludf.DUMMYFUNCTION("GOOGLEFINANCE(A1271,""PRICEOPEN"")"),"#N/A")</f>
        <v>#N/A</v>
      </c>
      <c r="D1271" s="14" t="str">
        <f>IFERROR(__xludf.DUMMYFUNCTION("GOOGLEFINANCE(A1271,""HIGH"")"),"#N/A")</f>
        <v>#N/A</v>
      </c>
      <c r="E1271" s="14" t="str">
        <f>IFERROR(__xludf.DUMMYFUNCTION("GOOGLEFINANCE(A1271,""LOW"")"),"#N/A")</f>
        <v>#N/A</v>
      </c>
      <c r="F1271" s="15" t="str">
        <f t="shared" si="8"/>
        <v>#N/A</v>
      </c>
      <c r="G1271" s="16" t="str">
        <f>IFERROR(__xludf.DUMMYFUNCTION("GOOGLEFINANCE(A1271,""CLOSEYEST"")"),"#N/A")</f>
        <v>#N/A</v>
      </c>
      <c r="H1271" s="17" t="str">
        <f t="shared" si="14"/>
        <v>#N/A</v>
      </c>
      <c r="I1271" s="18" t="str">
        <f t="shared" si="9"/>
        <v>#N/A</v>
      </c>
      <c r="J1271" s="19" t="str">
        <f t="shared" si="10"/>
        <v>#N/A</v>
      </c>
      <c r="K1271" s="19"/>
      <c r="L1271" s="19" t="str">
        <f t="shared" si="11"/>
        <v>#N/A</v>
      </c>
      <c r="M1271" s="19" t="str">
        <f t="shared" si="12"/>
        <v>#N/A</v>
      </c>
      <c r="N1271" s="19" t="str">
        <f t="shared" si="13"/>
        <v>#N/A</v>
      </c>
    </row>
    <row r="1272" ht="24.75" customHeight="1">
      <c r="A1272" s="21" t="s">
        <v>1235</v>
      </c>
      <c r="B1272" s="13" t="str">
        <f>IFERROR(__xludf.DUMMYFUNCTION("GOOGLEFINANCE(A1272,""PRICE"")"),"#N/A")</f>
        <v>#N/A</v>
      </c>
      <c r="C1272" s="14" t="str">
        <f>IFERROR(__xludf.DUMMYFUNCTION("GOOGLEFINANCE(A1272,""PRICEOPEN"")"),"#N/A")</f>
        <v>#N/A</v>
      </c>
      <c r="D1272" s="14" t="str">
        <f>IFERROR(__xludf.DUMMYFUNCTION("GOOGLEFINANCE(A1272,""HIGH"")"),"#N/A")</f>
        <v>#N/A</v>
      </c>
      <c r="E1272" s="14" t="str">
        <f>IFERROR(__xludf.DUMMYFUNCTION("GOOGLEFINANCE(A1272,""LOW"")"),"#N/A")</f>
        <v>#N/A</v>
      </c>
      <c r="F1272" s="15" t="str">
        <f t="shared" si="8"/>
        <v>#N/A</v>
      </c>
      <c r="G1272" s="16" t="str">
        <f>IFERROR(__xludf.DUMMYFUNCTION("GOOGLEFINANCE(A1272,""CLOSEYEST"")"),"#N/A")</f>
        <v>#N/A</v>
      </c>
      <c r="H1272" s="17" t="str">
        <f t="shared" si="14"/>
        <v>#N/A</v>
      </c>
      <c r="I1272" s="18" t="str">
        <f t="shared" si="9"/>
        <v>#N/A</v>
      </c>
      <c r="J1272" s="19" t="str">
        <f t="shared" si="10"/>
        <v>#N/A</v>
      </c>
      <c r="K1272" s="19"/>
      <c r="L1272" s="19" t="str">
        <f t="shared" si="11"/>
        <v>#N/A</v>
      </c>
      <c r="M1272" s="19" t="str">
        <f t="shared" si="12"/>
        <v>#N/A</v>
      </c>
      <c r="N1272" s="19" t="str">
        <f t="shared" si="13"/>
        <v>#N/A</v>
      </c>
    </row>
    <row r="1273" ht="24.75" customHeight="1">
      <c r="A1273" s="21" t="s">
        <v>1236</v>
      </c>
      <c r="B1273" s="13">
        <f>IFERROR(__xludf.DUMMYFUNCTION("GOOGLEFINANCE(A1273,""PRICE"")"),281.35)</f>
        <v>281.35</v>
      </c>
      <c r="C1273" s="14">
        <f>IFERROR(__xludf.DUMMYFUNCTION("GOOGLEFINANCE(A1273,""PRICEOPEN"")"),278.8)</f>
        <v>278.8</v>
      </c>
      <c r="D1273" s="14">
        <f>IFERROR(__xludf.DUMMYFUNCTION("GOOGLEFINANCE(A1273,""HIGH"")"),285.35)</f>
        <v>285.35</v>
      </c>
      <c r="E1273" s="14">
        <f>IFERROR(__xludf.DUMMYFUNCTION("GOOGLEFINANCE(A1273,""LOW"")"),277.0)</f>
        <v>277</v>
      </c>
      <c r="F1273" s="15" t="str">
        <f t="shared" si="8"/>
        <v/>
      </c>
      <c r="G1273" s="16">
        <f>IFERROR(__xludf.DUMMYFUNCTION("GOOGLEFINANCE(A1273,""CLOSEYEST"")"),276.55)</f>
        <v>276.55</v>
      </c>
      <c r="H1273" s="17" t="str">
        <f t="shared" si="14"/>
        <v/>
      </c>
      <c r="I1273" s="18">
        <f t="shared" si="9"/>
        <v>279.6333333</v>
      </c>
      <c r="J1273" s="19">
        <f t="shared" si="10"/>
        <v>282.2666667</v>
      </c>
      <c r="K1273" s="19"/>
      <c r="L1273" s="19">
        <f t="shared" si="11"/>
        <v>273.9166667</v>
      </c>
      <c r="M1273" s="19">
        <f t="shared" si="12"/>
        <v>287.9833333</v>
      </c>
      <c r="N1273" s="19">
        <f t="shared" si="13"/>
        <v>271.2833333</v>
      </c>
    </row>
    <row r="1274" ht="24.75" customHeight="1">
      <c r="A1274" s="21" t="s">
        <v>1237</v>
      </c>
      <c r="B1274" s="13">
        <f>IFERROR(__xludf.DUMMYFUNCTION("GOOGLEFINANCE(A1274,""PRICE"")"),0.05)</f>
        <v>0.05</v>
      </c>
      <c r="C1274" s="14">
        <f>IFERROR(__xludf.DUMMYFUNCTION("GOOGLEFINANCE(A1274,""PRICEOPEN"")"),0.05)</f>
        <v>0.05</v>
      </c>
      <c r="D1274" s="14">
        <f>IFERROR(__xludf.DUMMYFUNCTION("GOOGLEFINANCE(A1274,""HIGH"")"),0.05)</f>
        <v>0.05</v>
      </c>
      <c r="E1274" s="14">
        <f>IFERROR(__xludf.DUMMYFUNCTION("GOOGLEFINANCE(A1274,""LOW"")"),0.05)</f>
        <v>0.05</v>
      </c>
      <c r="F1274" s="15" t="str">
        <f t="shared" si="8"/>
        <v>SELL</v>
      </c>
      <c r="G1274" s="16">
        <f>IFERROR(__xludf.DUMMYFUNCTION("GOOGLEFINANCE(A1274,""CLOSEYEST"")"),0.05)</f>
        <v>0.05</v>
      </c>
      <c r="H1274" s="17" t="str">
        <f t="shared" si="14"/>
        <v/>
      </c>
      <c r="I1274" s="18">
        <f t="shared" si="9"/>
        <v>0.05</v>
      </c>
      <c r="J1274" s="19">
        <f t="shared" si="10"/>
        <v>0.05</v>
      </c>
      <c r="K1274" s="19"/>
      <c r="L1274" s="19">
        <f t="shared" si="11"/>
        <v>0.05</v>
      </c>
      <c r="M1274" s="19">
        <f t="shared" si="12"/>
        <v>0.05</v>
      </c>
      <c r="N1274" s="19">
        <f t="shared" si="13"/>
        <v>0.05</v>
      </c>
    </row>
    <row r="1275" ht="24.75" customHeight="1">
      <c r="A1275" s="21" t="s">
        <v>1238</v>
      </c>
      <c r="B1275" s="13" t="str">
        <f>IFERROR(__xludf.DUMMYFUNCTION("GOOGLEFINANCE(A1275,""PRICE"")"),"#N/A")</f>
        <v>#N/A</v>
      </c>
      <c r="C1275" s="14" t="str">
        <f>IFERROR(__xludf.DUMMYFUNCTION("GOOGLEFINANCE(A1275,""PRICEOPEN"")"),"#N/A")</f>
        <v>#N/A</v>
      </c>
      <c r="D1275" s="14" t="str">
        <f>IFERROR(__xludf.DUMMYFUNCTION("GOOGLEFINANCE(A1275,""HIGH"")"),"#N/A")</f>
        <v>#N/A</v>
      </c>
      <c r="E1275" s="14" t="str">
        <f>IFERROR(__xludf.DUMMYFUNCTION("GOOGLEFINANCE(A1275,""LOW"")"),"#N/A")</f>
        <v>#N/A</v>
      </c>
      <c r="F1275" s="15" t="str">
        <f t="shared" si="8"/>
        <v>#N/A</v>
      </c>
      <c r="G1275" s="16" t="str">
        <f>IFERROR(__xludf.DUMMYFUNCTION("GOOGLEFINANCE(A1275,""CLOSEYEST"")"),"#N/A")</f>
        <v>#N/A</v>
      </c>
      <c r="H1275" s="17" t="str">
        <f t="shared" si="14"/>
        <v>#N/A</v>
      </c>
      <c r="I1275" s="18" t="str">
        <f t="shared" si="9"/>
        <v>#N/A</v>
      </c>
      <c r="J1275" s="19" t="str">
        <f t="shared" si="10"/>
        <v>#N/A</v>
      </c>
      <c r="K1275" s="19"/>
      <c r="L1275" s="19" t="str">
        <f t="shared" si="11"/>
        <v>#N/A</v>
      </c>
      <c r="M1275" s="19" t="str">
        <f t="shared" si="12"/>
        <v>#N/A</v>
      </c>
      <c r="N1275" s="19" t="str">
        <f t="shared" si="13"/>
        <v>#N/A</v>
      </c>
    </row>
    <row r="1276" ht="24.75" customHeight="1">
      <c r="A1276" s="21" t="s">
        <v>1239</v>
      </c>
      <c r="B1276" s="13">
        <f>IFERROR(__xludf.DUMMYFUNCTION("GOOGLEFINANCE(A1276,""PRICE"")"),1655.0)</f>
        <v>1655</v>
      </c>
      <c r="C1276" s="14">
        <f>IFERROR(__xludf.DUMMYFUNCTION("GOOGLEFINANCE(A1276,""PRICEOPEN"")"),1698.8)</f>
        <v>1698.8</v>
      </c>
      <c r="D1276" s="14">
        <f>IFERROR(__xludf.DUMMYFUNCTION("GOOGLEFINANCE(A1276,""HIGH"")"),1698.8)</f>
        <v>1698.8</v>
      </c>
      <c r="E1276" s="14">
        <f>IFERROR(__xludf.DUMMYFUNCTION("GOOGLEFINANCE(A1276,""LOW"")"),1651.0)</f>
        <v>1651</v>
      </c>
      <c r="F1276" s="15" t="str">
        <f t="shared" si="8"/>
        <v>SELL</v>
      </c>
      <c r="G1276" s="16">
        <f>IFERROR(__xludf.DUMMYFUNCTION("GOOGLEFINANCE(A1276,""CLOSEYEST"")"),1656.4)</f>
        <v>1656.4</v>
      </c>
      <c r="H1276" s="17" t="str">
        <f t="shared" si="14"/>
        <v>GAP UP</v>
      </c>
      <c r="I1276" s="18">
        <f t="shared" si="9"/>
        <v>1668.733333</v>
      </c>
      <c r="J1276" s="19">
        <f t="shared" si="10"/>
        <v>1686.466667</v>
      </c>
      <c r="K1276" s="19"/>
      <c r="L1276" s="19">
        <f t="shared" si="11"/>
        <v>1638.666667</v>
      </c>
      <c r="M1276" s="19">
        <f t="shared" si="12"/>
        <v>1716.533333</v>
      </c>
      <c r="N1276" s="19">
        <f t="shared" si="13"/>
        <v>1620.933333</v>
      </c>
    </row>
    <row r="1277" ht="24.75" customHeight="1">
      <c r="A1277" s="21" t="s">
        <v>1240</v>
      </c>
      <c r="B1277" s="13">
        <f>IFERROR(__xludf.DUMMYFUNCTION("GOOGLEFINANCE(A1277,""PRICE"")"),94.05)</f>
        <v>94.05</v>
      </c>
      <c r="C1277" s="14">
        <f>IFERROR(__xludf.DUMMYFUNCTION("GOOGLEFINANCE(A1277,""PRICEOPEN"")"),93.7)</f>
        <v>93.7</v>
      </c>
      <c r="D1277" s="14">
        <f>IFERROR(__xludf.DUMMYFUNCTION("GOOGLEFINANCE(A1277,""HIGH"")"),95.6)</f>
        <v>95.6</v>
      </c>
      <c r="E1277" s="14">
        <f>IFERROR(__xludf.DUMMYFUNCTION("GOOGLEFINANCE(A1277,""LOW"")"),93.11)</f>
        <v>93.11</v>
      </c>
      <c r="F1277" s="15" t="str">
        <f t="shared" si="8"/>
        <v/>
      </c>
      <c r="G1277" s="16">
        <f>IFERROR(__xludf.DUMMYFUNCTION("GOOGLEFINANCE(A1277,""CLOSEYEST"")"),93.5)</f>
        <v>93.5</v>
      </c>
      <c r="H1277" s="17" t="str">
        <f t="shared" si="14"/>
        <v/>
      </c>
      <c r="I1277" s="18">
        <f t="shared" si="9"/>
        <v>94.07</v>
      </c>
      <c r="J1277" s="19">
        <f t="shared" si="10"/>
        <v>95.03</v>
      </c>
      <c r="K1277" s="19"/>
      <c r="L1277" s="19">
        <f t="shared" si="11"/>
        <v>92.54</v>
      </c>
      <c r="M1277" s="19">
        <f t="shared" si="12"/>
        <v>96.56</v>
      </c>
      <c r="N1277" s="19">
        <f t="shared" si="13"/>
        <v>91.58</v>
      </c>
    </row>
    <row r="1278" ht="24.75" customHeight="1">
      <c r="A1278" s="21" t="s">
        <v>1241</v>
      </c>
      <c r="B1278" s="13" t="str">
        <f>IFERROR(__xludf.DUMMYFUNCTION("GOOGLEFINANCE(A1278,""PRICE"")"),"#N/A")</f>
        <v>#N/A</v>
      </c>
      <c r="C1278" s="14" t="str">
        <f>IFERROR(__xludf.DUMMYFUNCTION("GOOGLEFINANCE(A1278,""PRICEOPEN"")"),"#N/A")</f>
        <v>#N/A</v>
      </c>
      <c r="D1278" s="14" t="str">
        <f>IFERROR(__xludf.DUMMYFUNCTION("GOOGLEFINANCE(A1278,""HIGH"")"),"#N/A")</f>
        <v>#N/A</v>
      </c>
      <c r="E1278" s="14" t="str">
        <f>IFERROR(__xludf.DUMMYFUNCTION("GOOGLEFINANCE(A1278,""LOW"")"),"#N/A")</f>
        <v>#N/A</v>
      </c>
      <c r="F1278" s="15" t="str">
        <f t="shared" si="8"/>
        <v>#N/A</v>
      </c>
      <c r="G1278" s="16" t="str">
        <f>IFERROR(__xludf.DUMMYFUNCTION("GOOGLEFINANCE(A1278,""CLOSEYEST"")"),"#N/A")</f>
        <v>#N/A</v>
      </c>
      <c r="H1278" s="17" t="str">
        <f t="shared" si="14"/>
        <v>#N/A</v>
      </c>
      <c r="I1278" s="18" t="str">
        <f t="shared" si="9"/>
        <v>#N/A</v>
      </c>
      <c r="J1278" s="19" t="str">
        <f t="shared" si="10"/>
        <v>#N/A</v>
      </c>
      <c r="K1278" s="19"/>
      <c r="L1278" s="19" t="str">
        <f t="shared" si="11"/>
        <v>#N/A</v>
      </c>
      <c r="M1278" s="19" t="str">
        <f t="shared" si="12"/>
        <v>#N/A</v>
      </c>
      <c r="N1278" s="19" t="str">
        <f t="shared" si="13"/>
        <v>#N/A</v>
      </c>
    </row>
    <row r="1279" ht="24.75" customHeight="1">
      <c r="A1279" s="21" t="s">
        <v>1242</v>
      </c>
      <c r="B1279" s="13">
        <f>IFERROR(__xludf.DUMMYFUNCTION("GOOGLEFINANCE(A1279,""PRICE"")"),59.89)</f>
        <v>59.89</v>
      </c>
      <c r="C1279" s="14">
        <f>IFERROR(__xludf.DUMMYFUNCTION("GOOGLEFINANCE(A1279,""PRICEOPEN"")"),59.65)</f>
        <v>59.65</v>
      </c>
      <c r="D1279" s="14">
        <f>IFERROR(__xludf.DUMMYFUNCTION("GOOGLEFINANCE(A1279,""HIGH"")"),60.28)</f>
        <v>60.28</v>
      </c>
      <c r="E1279" s="14">
        <f>IFERROR(__xludf.DUMMYFUNCTION("GOOGLEFINANCE(A1279,""LOW"")"),58.8)</f>
        <v>58.8</v>
      </c>
      <c r="F1279" s="15" t="str">
        <f t="shared" si="8"/>
        <v/>
      </c>
      <c r="G1279" s="16">
        <f>IFERROR(__xludf.DUMMYFUNCTION("GOOGLEFINANCE(A1279,""CLOSEYEST"")"),59.05)</f>
        <v>59.05</v>
      </c>
      <c r="H1279" s="17" t="str">
        <f t="shared" si="14"/>
        <v>GAP UP</v>
      </c>
      <c r="I1279" s="18">
        <f t="shared" si="9"/>
        <v>59.37666667</v>
      </c>
      <c r="J1279" s="19">
        <f t="shared" si="10"/>
        <v>59.95333333</v>
      </c>
      <c r="K1279" s="19"/>
      <c r="L1279" s="19">
        <f t="shared" si="11"/>
        <v>58.47333333</v>
      </c>
      <c r="M1279" s="19">
        <f t="shared" si="12"/>
        <v>60.85666667</v>
      </c>
      <c r="N1279" s="19">
        <f t="shared" si="13"/>
        <v>57.89666667</v>
      </c>
    </row>
    <row r="1280" ht="24.75" customHeight="1">
      <c r="A1280" s="21" t="s">
        <v>1243</v>
      </c>
      <c r="B1280" s="13">
        <f>IFERROR(__xludf.DUMMYFUNCTION("GOOGLEFINANCE(A1280,""PRICE"")"),150.0)</f>
        <v>150</v>
      </c>
      <c r="C1280" s="14">
        <f>IFERROR(__xludf.DUMMYFUNCTION("GOOGLEFINANCE(A1280,""PRICEOPEN"")"),152.0)</f>
        <v>152</v>
      </c>
      <c r="D1280" s="14">
        <f>IFERROR(__xludf.DUMMYFUNCTION("GOOGLEFINANCE(A1280,""HIGH"")"),153.39)</f>
        <v>153.39</v>
      </c>
      <c r="E1280" s="14">
        <f>IFERROR(__xludf.DUMMYFUNCTION("GOOGLEFINANCE(A1280,""LOW"")"),148.01)</f>
        <v>148.01</v>
      </c>
      <c r="F1280" s="15" t="str">
        <f t="shared" si="8"/>
        <v/>
      </c>
      <c r="G1280" s="16">
        <f>IFERROR(__xludf.DUMMYFUNCTION("GOOGLEFINANCE(A1280,""CLOSEYEST"")"),153.24)</f>
        <v>153.24</v>
      </c>
      <c r="H1280" s="17" t="str">
        <f t="shared" si="14"/>
        <v/>
      </c>
      <c r="I1280" s="18">
        <f t="shared" si="9"/>
        <v>151.5466667</v>
      </c>
      <c r="J1280" s="19">
        <f t="shared" si="10"/>
        <v>155.0833333</v>
      </c>
      <c r="K1280" s="19"/>
      <c r="L1280" s="19">
        <f t="shared" si="11"/>
        <v>149.7033333</v>
      </c>
      <c r="M1280" s="19">
        <f t="shared" si="12"/>
        <v>156.9266667</v>
      </c>
      <c r="N1280" s="19">
        <f t="shared" si="13"/>
        <v>146.1666667</v>
      </c>
    </row>
    <row r="1281" ht="24.75" customHeight="1">
      <c r="A1281" s="21" t="s">
        <v>1244</v>
      </c>
      <c r="B1281" s="13">
        <f>IFERROR(__xludf.DUMMYFUNCTION("GOOGLEFINANCE(A1281,""PRICE"")"),627.1)</f>
        <v>627.1</v>
      </c>
      <c r="C1281" s="14">
        <f>IFERROR(__xludf.DUMMYFUNCTION("GOOGLEFINANCE(A1281,""PRICEOPEN"")"),624.45)</f>
        <v>624.45</v>
      </c>
      <c r="D1281" s="14">
        <f>IFERROR(__xludf.DUMMYFUNCTION("GOOGLEFINANCE(A1281,""HIGH"")"),644.9)</f>
        <v>644.9</v>
      </c>
      <c r="E1281" s="14">
        <f>IFERROR(__xludf.DUMMYFUNCTION("GOOGLEFINANCE(A1281,""LOW"")"),611.15)</f>
        <v>611.15</v>
      </c>
      <c r="F1281" s="15" t="str">
        <f t="shared" si="8"/>
        <v/>
      </c>
      <c r="G1281" s="16">
        <f>IFERROR(__xludf.DUMMYFUNCTION("GOOGLEFINANCE(A1281,""CLOSEYEST"")"),618.3)</f>
        <v>618.3</v>
      </c>
      <c r="H1281" s="17" t="str">
        <f t="shared" si="14"/>
        <v/>
      </c>
      <c r="I1281" s="18">
        <f t="shared" si="9"/>
        <v>624.7833333</v>
      </c>
      <c r="J1281" s="19">
        <f t="shared" si="10"/>
        <v>638.4166667</v>
      </c>
      <c r="K1281" s="19"/>
      <c r="L1281" s="19">
        <f t="shared" si="11"/>
        <v>604.6666667</v>
      </c>
      <c r="M1281" s="19">
        <f t="shared" si="12"/>
        <v>658.5333333</v>
      </c>
      <c r="N1281" s="19">
        <f t="shared" si="13"/>
        <v>591.0333333</v>
      </c>
    </row>
    <row r="1282" ht="24.75" customHeight="1">
      <c r="A1282" s="21" t="s">
        <v>1245</v>
      </c>
      <c r="B1282" s="13">
        <f>IFERROR(__xludf.DUMMYFUNCTION("GOOGLEFINANCE(A1282,""PRICE"")"),2.5)</f>
        <v>2.5</v>
      </c>
      <c r="C1282" s="14">
        <f>IFERROR(__xludf.DUMMYFUNCTION("GOOGLEFINANCE(A1282,""PRICEOPEN"")"),2.47)</f>
        <v>2.47</v>
      </c>
      <c r="D1282" s="14">
        <f>IFERROR(__xludf.DUMMYFUNCTION("GOOGLEFINANCE(A1282,""HIGH"")"),2.51)</f>
        <v>2.51</v>
      </c>
      <c r="E1282" s="14">
        <f>IFERROR(__xludf.DUMMYFUNCTION("GOOGLEFINANCE(A1282,""LOW"")"),2.47)</f>
        <v>2.47</v>
      </c>
      <c r="F1282" s="15" t="str">
        <f t="shared" si="8"/>
        <v>BUY</v>
      </c>
      <c r="G1282" s="16">
        <f>IFERROR(__xludf.DUMMYFUNCTION("GOOGLEFINANCE(A1282,""CLOSEYEST"")"),2.47)</f>
        <v>2.47</v>
      </c>
      <c r="H1282" s="17" t="str">
        <f t="shared" si="14"/>
        <v/>
      </c>
      <c r="I1282" s="18">
        <f t="shared" si="9"/>
        <v>2.483333333</v>
      </c>
      <c r="J1282" s="19">
        <f t="shared" si="10"/>
        <v>2.496666667</v>
      </c>
      <c r="K1282" s="19"/>
      <c r="L1282" s="19">
        <f t="shared" si="11"/>
        <v>2.456666667</v>
      </c>
      <c r="M1282" s="19">
        <f t="shared" si="12"/>
        <v>2.523333333</v>
      </c>
      <c r="N1282" s="19">
        <f t="shared" si="13"/>
        <v>2.443333333</v>
      </c>
    </row>
    <row r="1283" ht="24.75" customHeight="1">
      <c r="A1283" s="21" t="s">
        <v>1246</v>
      </c>
      <c r="B1283" s="13">
        <f>IFERROR(__xludf.DUMMYFUNCTION("GOOGLEFINANCE(A1283,""PRICE"")"),636.0)</f>
        <v>636</v>
      </c>
      <c r="C1283" s="14">
        <f>IFERROR(__xludf.DUMMYFUNCTION("GOOGLEFINANCE(A1283,""PRICEOPEN"")"),623.0)</f>
        <v>623</v>
      </c>
      <c r="D1283" s="14">
        <f>IFERROR(__xludf.DUMMYFUNCTION("GOOGLEFINANCE(A1283,""HIGH"")"),680.0)</f>
        <v>680</v>
      </c>
      <c r="E1283" s="14">
        <f>IFERROR(__xludf.DUMMYFUNCTION("GOOGLEFINANCE(A1283,""LOW"")"),621.4)</f>
        <v>621.4</v>
      </c>
      <c r="F1283" s="15" t="str">
        <f t="shared" si="8"/>
        <v/>
      </c>
      <c r="G1283" s="16">
        <f>IFERROR(__xludf.DUMMYFUNCTION("GOOGLEFINANCE(A1283,""CLOSEYEST"")"),626.2)</f>
        <v>626.2</v>
      </c>
      <c r="H1283" s="17" t="str">
        <f t="shared" si="14"/>
        <v/>
      </c>
      <c r="I1283" s="18">
        <f t="shared" si="9"/>
        <v>642.5333333</v>
      </c>
      <c r="J1283" s="19">
        <f t="shared" si="10"/>
        <v>663.6666667</v>
      </c>
      <c r="K1283" s="19"/>
      <c r="L1283" s="19">
        <f t="shared" si="11"/>
        <v>605.0666667</v>
      </c>
      <c r="M1283" s="19">
        <f t="shared" si="12"/>
        <v>701.1333333</v>
      </c>
      <c r="N1283" s="19">
        <f t="shared" si="13"/>
        <v>583.9333333</v>
      </c>
    </row>
    <row r="1284" ht="24.75" customHeight="1">
      <c r="A1284" s="21" t="s">
        <v>1247</v>
      </c>
      <c r="B1284" s="13">
        <f>IFERROR(__xludf.DUMMYFUNCTION("GOOGLEFINANCE(A1284,""PRICE"")"),275.2)</f>
        <v>275.2</v>
      </c>
      <c r="C1284" s="14">
        <f>IFERROR(__xludf.DUMMYFUNCTION("GOOGLEFINANCE(A1284,""PRICEOPEN"")"),271.4)</f>
        <v>271.4</v>
      </c>
      <c r="D1284" s="14">
        <f>IFERROR(__xludf.DUMMYFUNCTION("GOOGLEFINANCE(A1284,""HIGH"")"),280.0)</f>
        <v>280</v>
      </c>
      <c r="E1284" s="14">
        <f>IFERROR(__xludf.DUMMYFUNCTION("GOOGLEFINANCE(A1284,""LOW"")"),267.8)</f>
        <v>267.8</v>
      </c>
      <c r="F1284" s="15" t="str">
        <f t="shared" si="8"/>
        <v/>
      </c>
      <c r="G1284" s="16">
        <f>IFERROR(__xludf.DUMMYFUNCTION("GOOGLEFINANCE(A1284,""CLOSEYEST"")"),269.95)</f>
        <v>269.95</v>
      </c>
      <c r="H1284" s="17" t="str">
        <f t="shared" si="14"/>
        <v/>
      </c>
      <c r="I1284" s="18">
        <f t="shared" si="9"/>
        <v>272.5833333</v>
      </c>
      <c r="J1284" s="19">
        <f t="shared" si="10"/>
        <v>277.3666667</v>
      </c>
      <c r="K1284" s="19"/>
      <c r="L1284" s="19">
        <f t="shared" si="11"/>
        <v>265.1666667</v>
      </c>
      <c r="M1284" s="19">
        <f t="shared" si="12"/>
        <v>284.7833333</v>
      </c>
      <c r="N1284" s="19">
        <f t="shared" si="13"/>
        <v>260.3833333</v>
      </c>
    </row>
    <row r="1285" ht="24.75" customHeight="1">
      <c r="A1285" s="21" t="s">
        <v>1248</v>
      </c>
      <c r="B1285" s="13">
        <f>IFERROR(__xludf.DUMMYFUNCTION("GOOGLEFINANCE(A1285,""PRICE"")"),277.0)</f>
        <v>277</v>
      </c>
      <c r="C1285" s="14">
        <f>IFERROR(__xludf.DUMMYFUNCTION("GOOGLEFINANCE(A1285,""PRICEOPEN"")"),270.75)</f>
        <v>270.75</v>
      </c>
      <c r="D1285" s="14">
        <f>IFERROR(__xludf.DUMMYFUNCTION("GOOGLEFINANCE(A1285,""HIGH"")"),277.35)</f>
        <v>277.35</v>
      </c>
      <c r="E1285" s="14">
        <f>IFERROR(__xludf.DUMMYFUNCTION("GOOGLEFINANCE(A1285,""LOW"")"),267.65)</f>
        <v>267.65</v>
      </c>
      <c r="F1285" s="15" t="str">
        <f t="shared" si="8"/>
        <v/>
      </c>
      <c r="G1285" s="16">
        <f>IFERROR(__xludf.DUMMYFUNCTION("GOOGLEFINANCE(A1285,""CLOSEYEST"")"),270.7)</f>
        <v>270.7</v>
      </c>
      <c r="H1285" s="17" t="str">
        <f t="shared" si="14"/>
        <v/>
      </c>
      <c r="I1285" s="18">
        <f t="shared" si="9"/>
        <v>271.9</v>
      </c>
      <c r="J1285" s="19">
        <f t="shared" si="10"/>
        <v>276.15</v>
      </c>
      <c r="K1285" s="19"/>
      <c r="L1285" s="19">
        <f t="shared" si="11"/>
        <v>266.45</v>
      </c>
      <c r="M1285" s="19">
        <f t="shared" si="12"/>
        <v>281.6</v>
      </c>
      <c r="N1285" s="19">
        <f t="shared" si="13"/>
        <v>262.2</v>
      </c>
    </row>
    <row r="1286" ht="24.75" customHeight="1">
      <c r="A1286" s="21" t="s">
        <v>1249</v>
      </c>
      <c r="B1286" s="13">
        <f>IFERROR(__xludf.DUMMYFUNCTION("GOOGLEFINANCE(A1286,""PRICE"")"),10.37)</f>
        <v>10.37</v>
      </c>
      <c r="C1286" s="14">
        <f>IFERROR(__xludf.DUMMYFUNCTION("GOOGLEFINANCE(A1286,""PRICEOPEN"")"),10.14)</f>
        <v>10.14</v>
      </c>
      <c r="D1286" s="14">
        <f>IFERROR(__xludf.DUMMYFUNCTION("GOOGLEFINANCE(A1286,""HIGH"")"),10.4)</f>
        <v>10.4</v>
      </c>
      <c r="E1286" s="14">
        <f>IFERROR(__xludf.DUMMYFUNCTION("GOOGLEFINANCE(A1286,""LOW"")"),10.09)</f>
        <v>10.09</v>
      </c>
      <c r="F1286" s="15" t="str">
        <f t="shared" si="8"/>
        <v/>
      </c>
      <c r="G1286" s="16">
        <f>IFERROR(__xludf.DUMMYFUNCTION("GOOGLEFINANCE(A1286,""CLOSEYEST"")"),10.11)</f>
        <v>10.11</v>
      </c>
      <c r="H1286" s="17" t="str">
        <f t="shared" si="14"/>
        <v/>
      </c>
      <c r="I1286" s="18">
        <f t="shared" si="9"/>
        <v>10.2</v>
      </c>
      <c r="J1286" s="19">
        <f t="shared" si="10"/>
        <v>10.31</v>
      </c>
      <c r="K1286" s="19"/>
      <c r="L1286" s="19">
        <f t="shared" si="11"/>
        <v>10</v>
      </c>
      <c r="M1286" s="19">
        <f t="shared" si="12"/>
        <v>10.51</v>
      </c>
      <c r="N1286" s="19">
        <f t="shared" si="13"/>
        <v>9.89</v>
      </c>
    </row>
    <row r="1287" ht="24.75" customHeight="1">
      <c r="A1287" s="21" t="s">
        <v>1250</v>
      </c>
      <c r="B1287" s="13">
        <f>IFERROR(__xludf.DUMMYFUNCTION("GOOGLEFINANCE(A1287,""PRICE"")"),17.98)</f>
        <v>17.98</v>
      </c>
      <c r="C1287" s="14">
        <f>IFERROR(__xludf.DUMMYFUNCTION("GOOGLEFINANCE(A1287,""PRICEOPEN"")"),17.24)</f>
        <v>17.24</v>
      </c>
      <c r="D1287" s="14">
        <f>IFERROR(__xludf.DUMMYFUNCTION("GOOGLEFINANCE(A1287,""HIGH"")"),18.1)</f>
        <v>18.1</v>
      </c>
      <c r="E1287" s="14">
        <f>IFERROR(__xludf.DUMMYFUNCTION("GOOGLEFINANCE(A1287,""LOW"")"),16.98)</f>
        <v>16.98</v>
      </c>
      <c r="F1287" s="15" t="str">
        <f t="shared" si="8"/>
        <v/>
      </c>
      <c r="G1287" s="16">
        <f>IFERROR(__xludf.DUMMYFUNCTION("GOOGLEFINANCE(A1287,""CLOSEYEST"")"),17.1)</f>
        <v>17.1</v>
      </c>
      <c r="H1287" s="17" t="str">
        <f t="shared" si="14"/>
        <v/>
      </c>
      <c r="I1287" s="18">
        <f t="shared" si="9"/>
        <v>17.39333333</v>
      </c>
      <c r="J1287" s="19">
        <f t="shared" si="10"/>
        <v>17.80666667</v>
      </c>
      <c r="K1287" s="19"/>
      <c r="L1287" s="19">
        <f t="shared" si="11"/>
        <v>16.68666667</v>
      </c>
      <c r="M1287" s="19">
        <f t="shared" si="12"/>
        <v>18.51333333</v>
      </c>
      <c r="N1287" s="19">
        <f t="shared" si="13"/>
        <v>16.27333333</v>
      </c>
    </row>
    <row r="1288" ht="24.75" customHeight="1">
      <c r="A1288" s="21" t="s">
        <v>1251</v>
      </c>
      <c r="B1288" s="13">
        <f>IFERROR(__xludf.DUMMYFUNCTION("GOOGLEFINANCE(A1288,""PRICE"")"),17.76)</f>
        <v>17.76</v>
      </c>
      <c r="C1288" s="14">
        <f>IFERROR(__xludf.DUMMYFUNCTION("GOOGLEFINANCE(A1288,""PRICEOPEN"")"),17.44)</f>
        <v>17.44</v>
      </c>
      <c r="D1288" s="14">
        <f>IFERROR(__xludf.DUMMYFUNCTION("GOOGLEFINANCE(A1288,""HIGH"")"),17.89)</f>
        <v>17.89</v>
      </c>
      <c r="E1288" s="14">
        <f>IFERROR(__xludf.DUMMYFUNCTION("GOOGLEFINANCE(A1288,""LOW"")"),17.41)</f>
        <v>17.41</v>
      </c>
      <c r="F1288" s="15" t="str">
        <f t="shared" si="8"/>
        <v/>
      </c>
      <c r="G1288" s="16">
        <f>IFERROR(__xludf.DUMMYFUNCTION("GOOGLEFINANCE(A1288,""CLOSEYEST"")"),17.28)</f>
        <v>17.28</v>
      </c>
      <c r="H1288" s="17" t="str">
        <f t="shared" si="14"/>
        <v/>
      </c>
      <c r="I1288" s="18">
        <f t="shared" si="9"/>
        <v>17.52666667</v>
      </c>
      <c r="J1288" s="19">
        <f t="shared" si="10"/>
        <v>17.64333333</v>
      </c>
      <c r="K1288" s="19"/>
      <c r="L1288" s="19">
        <f t="shared" si="11"/>
        <v>17.16333333</v>
      </c>
      <c r="M1288" s="19">
        <f t="shared" si="12"/>
        <v>18.00666667</v>
      </c>
      <c r="N1288" s="19">
        <f t="shared" si="13"/>
        <v>17.04666667</v>
      </c>
    </row>
    <row r="1289" ht="24.75" customHeight="1">
      <c r="A1289" s="21" t="s">
        <v>1252</v>
      </c>
      <c r="B1289" s="13" t="str">
        <f>IFERROR(__xludf.DUMMYFUNCTION("GOOGLEFINANCE(A1289,""PRICE"")"),"#N/A")</f>
        <v>#N/A</v>
      </c>
      <c r="C1289" s="14" t="str">
        <f>IFERROR(__xludf.DUMMYFUNCTION("GOOGLEFINANCE(A1289,""PRICEOPEN"")"),"#N/A")</f>
        <v>#N/A</v>
      </c>
      <c r="D1289" s="14" t="str">
        <f>IFERROR(__xludf.DUMMYFUNCTION("GOOGLEFINANCE(A1289,""HIGH"")"),"#N/A")</f>
        <v>#N/A</v>
      </c>
      <c r="E1289" s="14" t="str">
        <f>IFERROR(__xludf.DUMMYFUNCTION("GOOGLEFINANCE(A1289,""LOW"")"),"#N/A")</f>
        <v>#N/A</v>
      </c>
      <c r="F1289" s="15" t="str">
        <f t="shared" si="8"/>
        <v>#N/A</v>
      </c>
      <c r="G1289" s="16" t="str">
        <f>IFERROR(__xludf.DUMMYFUNCTION("GOOGLEFINANCE(A1289,""CLOSEYEST"")"),"#N/A")</f>
        <v>#N/A</v>
      </c>
      <c r="H1289" s="17" t="str">
        <f t="shared" si="14"/>
        <v>#N/A</v>
      </c>
      <c r="I1289" s="18" t="str">
        <f t="shared" si="9"/>
        <v>#N/A</v>
      </c>
      <c r="J1289" s="19" t="str">
        <f t="shared" si="10"/>
        <v>#N/A</v>
      </c>
      <c r="K1289" s="19"/>
      <c r="L1289" s="19" t="str">
        <f t="shared" si="11"/>
        <v>#N/A</v>
      </c>
      <c r="M1289" s="19" t="str">
        <f t="shared" si="12"/>
        <v>#N/A</v>
      </c>
      <c r="N1289" s="19" t="str">
        <f t="shared" si="13"/>
        <v>#N/A</v>
      </c>
    </row>
    <row r="1290" ht="24.75" customHeight="1">
      <c r="A1290" s="21" t="s">
        <v>1253</v>
      </c>
      <c r="B1290" s="13">
        <f>IFERROR(__xludf.DUMMYFUNCTION("GOOGLEFINANCE(A1290,""PRICE"")"),442.95)</f>
        <v>442.95</v>
      </c>
      <c r="C1290" s="14">
        <f>IFERROR(__xludf.DUMMYFUNCTION("GOOGLEFINANCE(A1290,""PRICEOPEN"")"),444.0)</f>
        <v>444</v>
      </c>
      <c r="D1290" s="14">
        <f>IFERROR(__xludf.DUMMYFUNCTION("GOOGLEFINANCE(A1290,""HIGH"")"),444.95)</f>
        <v>444.95</v>
      </c>
      <c r="E1290" s="14">
        <f>IFERROR(__xludf.DUMMYFUNCTION("GOOGLEFINANCE(A1290,""LOW"")"),439.0)</f>
        <v>439</v>
      </c>
      <c r="F1290" s="15" t="str">
        <f t="shared" si="8"/>
        <v/>
      </c>
      <c r="G1290" s="16">
        <f>IFERROR(__xludf.DUMMYFUNCTION("GOOGLEFINANCE(A1290,""CLOSEYEST"")"),443.1)</f>
        <v>443.1</v>
      </c>
      <c r="H1290" s="17" t="str">
        <f t="shared" si="14"/>
        <v/>
      </c>
      <c r="I1290" s="18">
        <f t="shared" si="9"/>
        <v>442.35</v>
      </c>
      <c r="J1290" s="19">
        <f t="shared" si="10"/>
        <v>445.7</v>
      </c>
      <c r="K1290" s="19"/>
      <c r="L1290" s="19">
        <f t="shared" si="11"/>
        <v>439.75</v>
      </c>
      <c r="M1290" s="19">
        <f t="shared" si="12"/>
        <v>448.3</v>
      </c>
      <c r="N1290" s="19">
        <f t="shared" si="13"/>
        <v>436.4</v>
      </c>
    </row>
    <row r="1291" ht="24.75" customHeight="1">
      <c r="A1291" s="21" t="s">
        <v>1254</v>
      </c>
      <c r="B1291" s="13">
        <f>IFERROR(__xludf.DUMMYFUNCTION("GOOGLEFINANCE(A1291,""PRICE"")"),32.0)</f>
        <v>32</v>
      </c>
      <c r="C1291" s="14">
        <f>IFERROR(__xludf.DUMMYFUNCTION("GOOGLEFINANCE(A1291,""PRICEOPEN"")"),32.46)</f>
        <v>32.46</v>
      </c>
      <c r="D1291" s="14">
        <f>IFERROR(__xludf.DUMMYFUNCTION("GOOGLEFINANCE(A1291,""HIGH"")"),32.46)</f>
        <v>32.46</v>
      </c>
      <c r="E1291" s="14">
        <f>IFERROR(__xludf.DUMMYFUNCTION("GOOGLEFINANCE(A1291,""LOW"")"),31.0)</f>
        <v>31</v>
      </c>
      <c r="F1291" s="15" t="str">
        <f t="shared" si="8"/>
        <v>SELL</v>
      </c>
      <c r="G1291" s="16">
        <f>IFERROR(__xludf.DUMMYFUNCTION("GOOGLEFINANCE(A1291,""CLOSEYEST"")"),31.34)</f>
        <v>31.34</v>
      </c>
      <c r="H1291" s="17" t="str">
        <f t="shared" si="14"/>
        <v>GAP UP</v>
      </c>
      <c r="I1291" s="18">
        <f t="shared" si="9"/>
        <v>31.6</v>
      </c>
      <c r="J1291" s="19">
        <f t="shared" si="10"/>
        <v>32.2</v>
      </c>
      <c r="K1291" s="19"/>
      <c r="L1291" s="19">
        <f t="shared" si="11"/>
        <v>30.74</v>
      </c>
      <c r="M1291" s="19">
        <f t="shared" si="12"/>
        <v>33.06</v>
      </c>
      <c r="N1291" s="19">
        <f t="shared" si="13"/>
        <v>30.14</v>
      </c>
    </row>
    <row r="1292" ht="24.75" customHeight="1">
      <c r="A1292" s="21" t="s">
        <v>1255</v>
      </c>
      <c r="B1292" s="13">
        <f>IFERROR(__xludf.DUMMYFUNCTION("GOOGLEFINANCE(A1292,""PRICE"")"),5.44)</f>
        <v>5.44</v>
      </c>
      <c r="C1292" s="14">
        <f>IFERROR(__xludf.DUMMYFUNCTION("GOOGLEFINANCE(A1292,""PRICEOPEN"")"),5.44)</f>
        <v>5.44</v>
      </c>
      <c r="D1292" s="14">
        <f>IFERROR(__xludf.DUMMYFUNCTION("GOOGLEFINANCE(A1292,""HIGH"")"),5.45)</f>
        <v>5.45</v>
      </c>
      <c r="E1292" s="14">
        <f>IFERROR(__xludf.DUMMYFUNCTION("GOOGLEFINANCE(A1292,""LOW"")"),5.36)</f>
        <v>5.36</v>
      </c>
      <c r="F1292" s="15" t="str">
        <f t="shared" si="8"/>
        <v/>
      </c>
      <c r="G1292" s="16">
        <f>IFERROR(__xludf.DUMMYFUNCTION("GOOGLEFINANCE(A1292,""CLOSEYEST"")"),5.42)</f>
        <v>5.42</v>
      </c>
      <c r="H1292" s="17" t="str">
        <f t="shared" si="14"/>
        <v/>
      </c>
      <c r="I1292" s="18">
        <f t="shared" si="9"/>
        <v>5.41</v>
      </c>
      <c r="J1292" s="19">
        <f t="shared" si="10"/>
        <v>5.46</v>
      </c>
      <c r="K1292" s="19"/>
      <c r="L1292" s="19">
        <f t="shared" si="11"/>
        <v>5.37</v>
      </c>
      <c r="M1292" s="19">
        <f t="shared" si="12"/>
        <v>5.5</v>
      </c>
      <c r="N1292" s="19">
        <f t="shared" si="13"/>
        <v>5.32</v>
      </c>
    </row>
    <row r="1293" ht="24.75" customHeight="1">
      <c r="A1293" s="21" t="s">
        <v>1256</v>
      </c>
      <c r="B1293" s="13">
        <f>IFERROR(__xludf.DUMMYFUNCTION("GOOGLEFINANCE(A1293,""PRICE"")"),162.21)</f>
        <v>162.21</v>
      </c>
      <c r="C1293" s="14">
        <f>IFERROR(__xludf.DUMMYFUNCTION("GOOGLEFINANCE(A1293,""PRICEOPEN"")"),160.0)</f>
        <v>160</v>
      </c>
      <c r="D1293" s="14">
        <f>IFERROR(__xludf.DUMMYFUNCTION("GOOGLEFINANCE(A1293,""HIGH"")"),164.4)</f>
        <v>164.4</v>
      </c>
      <c r="E1293" s="14">
        <f>IFERROR(__xludf.DUMMYFUNCTION("GOOGLEFINANCE(A1293,""LOW"")"),160.0)</f>
        <v>160</v>
      </c>
      <c r="F1293" s="15" t="str">
        <f t="shared" si="8"/>
        <v>BUY</v>
      </c>
      <c r="G1293" s="16">
        <f>IFERROR(__xludf.DUMMYFUNCTION("GOOGLEFINANCE(A1293,""CLOSEYEST"")"),161.33)</f>
        <v>161.33</v>
      </c>
      <c r="H1293" s="17" t="str">
        <f t="shared" si="14"/>
        <v/>
      </c>
      <c r="I1293" s="18">
        <f t="shared" si="9"/>
        <v>161.91</v>
      </c>
      <c r="J1293" s="19">
        <f t="shared" si="10"/>
        <v>163.82</v>
      </c>
      <c r="K1293" s="19"/>
      <c r="L1293" s="19">
        <f t="shared" si="11"/>
        <v>159.42</v>
      </c>
      <c r="M1293" s="19">
        <f t="shared" si="12"/>
        <v>166.31</v>
      </c>
      <c r="N1293" s="19">
        <f t="shared" si="13"/>
        <v>157.51</v>
      </c>
    </row>
    <row r="1294" ht="24.75" customHeight="1">
      <c r="A1294" s="21" t="s">
        <v>1257</v>
      </c>
      <c r="B1294" s="13">
        <f>IFERROR(__xludf.DUMMYFUNCTION("GOOGLEFINANCE(A1294,""PRICE"")"),113.2)</f>
        <v>113.2</v>
      </c>
      <c r="C1294" s="14">
        <f>IFERROR(__xludf.DUMMYFUNCTION("GOOGLEFINANCE(A1294,""PRICEOPEN"")"),114.85)</f>
        <v>114.85</v>
      </c>
      <c r="D1294" s="14">
        <f>IFERROR(__xludf.DUMMYFUNCTION("GOOGLEFINANCE(A1294,""HIGH"")"),114.85)</f>
        <v>114.85</v>
      </c>
      <c r="E1294" s="14">
        <f>IFERROR(__xludf.DUMMYFUNCTION("GOOGLEFINANCE(A1294,""LOW"")"),111.61)</f>
        <v>111.61</v>
      </c>
      <c r="F1294" s="15" t="str">
        <f t="shared" si="8"/>
        <v>SELL</v>
      </c>
      <c r="G1294" s="16">
        <f>IFERROR(__xludf.DUMMYFUNCTION("GOOGLEFINANCE(A1294,""CLOSEYEST"")"),111.39)</f>
        <v>111.39</v>
      </c>
      <c r="H1294" s="17" t="str">
        <f t="shared" si="14"/>
        <v>GAP UP</v>
      </c>
      <c r="I1294" s="18">
        <f t="shared" si="9"/>
        <v>112.6166667</v>
      </c>
      <c r="J1294" s="19">
        <f t="shared" si="10"/>
        <v>113.6233333</v>
      </c>
      <c r="K1294" s="19"/>
      <c r="L1294" s="19">
        <f t="shared" si="11"/>
        <v>110.3833333</v>
      </c>
      <c r="M1294" s="19">
        <f t="shared" si="12"/>
        <v>115.8566667</v>
      </c>
      <c r="N1294" s="19">
        <f t="shared" si="13"/>
        <v>109.3766667</v>
      </c>
    </row>
    <row r="1295" ht="24.75" customHeight="1">
      <c r="A1295" s="21" t="s">
        <v>1258</v>
      </c>
      <c r="B1295" s="13">
        <f>IFERROR(__xludf.DUMMYFUNCTION("GOOGLEFINANCE(A1295,""PRICE"")"),80.1)</f>
        <v>80.1</v>
      </c>
      <c r="C1295" s="14">
        <f>IFERROR(__xludf.DUMMYFUNCTION("GOOGLEFINANCE(A1295,""PRICEOPEN"")"),81.81)</f>
        <v>81.81</v>
      </c>
      <c r="D1295" s="14">
        <f>IFERROR(__xludf.DUMMYFUNCTION("GOOGLEFINANCE(A1295,""HIGH"")"),82.7)</f>
        <v>82.7</v>
      </c>
      <c r="E1295" s="14">
        <f>IFERROR(__xludf.DUMMYFUNCTION("GOOGLEFINANCE(A1295,""LOW"")"),79.37)</f>
        <v>79.37</v>
      </c>
      <c r="F1295" s="15" t="str">
        <f t="shared" si="8"/>
        <v/>
      </c>
      <c r="G1295" s="16">
        <f>IFERROR(__xludf.DUMMYFUNCTION("GOOGLEFINANCE(A1295,""CLOSEYEST"")"),81.06)</f>
        <v>81.06</v>
      </c>
      <c r="H1295" s="17" t="str">
        <f t="shared" si="14"/>
        <v/>
      </c>
      <c r="I1295" s="18">
        <f t="shared" si="9"/>
        <v>81.04333333</v>
      </c>
      <c r="J1295" s="19">
        <f t="shared" si="10"/>
        <v>82.71666667</v>
      </c>
      <c r="K1295" s="19"/>
      <c r="L1295" s="19">
        <f t="shared" si="11"/>
        <v>79.38666667</v>
      </c>
      <c r="M1295" s="19">
        <f t="shared" si="12"/>
        <v>84.37333333</v>
      </c>
      <c r="N1295" s="19">
        <f t="shared" si="13"/>
        <v>77.71333333</v>
      </c>
    </row>
    <row r="1296" ht="24.75" customHeight="1">
      <c r="A1296" s="21" t="s">
        <v>1259</v>
      </c>
      <c r="B1296" s="13" t="str">
        <f>IFERROR(__xludf.DUMMYFUNCTION("GOOGLEFINANCE(A1296,""PRICE"")"),"#N/A")</f>
        <v>#N/A</v>
      </c>
      <c r="C1296" s="14" t="str">
        <f>IFERROR(__xludf.DUMMYFUNCTION("GOOGLEFINANCE(A1296,""PRICEOPEN"")"),"#N/A")</f>
        <v>#N/A</v>
      </c>
      <c r="D1296" s="14" t="str">
        <f>IFERROR(__xludf.DUMMYFUNCTION("GOOGLEFINANCE(A1296,""HIGH"")"),"#N/A")</f>
        <v>#N/A</v>
      </c>
      <c r="E1296" s="14" t="str">
        <f>IFERROR(__xludf.DUMMYFUNCTION("GOOGLEFINANCE(A1296,""LOW"")"),"#N/A")</f>
        <v>#N/A</v>
      </c>
      <c r="F1296" s="15" t="str">
        <f t="shared" si="8"/>
        <v>#N/A</v>
      </c>
      <c r="G1296" s="16" t="str">
        <f>IFERROR(__xludf.DUMMYFUNCTION("GOOGLEFINANCE(A1296,""CLOSEYEST"")"),"#N/A")</f>
        <v>#N/A</v>
      </c>
      <c r="H1296" s="17" t="str">
        <f t="shared" si="14"/>
        <v>#N/A</v>
      </c>
      <c r="I1296" s="18" t="str">
        <f t="shared" si="9"/>
        <v>#N/A</v>
      </c>
      <c r="J1296" s="19" t="str">
        <f t="shared" si="10"/>
        <v>#N/A</v>
      </c>
      <c r="K1296" s="19"/>
      <c r="L1296" s="19" t="str">
        <f t="shared" si="11"/>
        <v>#N/A</v>
      </c>
      <c r="M1296" s="19" t="str">
        <f t="shared" si="12"/>
        <v>#N/A</v>
      </c>
      <c r="N1296" s="19" t="str">
        <f t="shared" si="13"/>
        <v>#N/A</v>
      </c>
    </row>
    <row r="1297" ht="24.75" customHeight="1">
      <c r="A1297" s="21" t="s">
        <v>1260</v>
      </c>
      <c r="B1297" s="13">
        <f>IFERROR(__xludf.DUMMYFUNCTION("GOOGLEFINANCE(A1297,""PRICE"")"),222.6)</f>
        <v>222.6</v>
      </c>
      <c r="C1297" s="14">
        <f>IFERROR(__xludf.DUMMYFUNCTION("GOOGLEFINANCE(A1297,""PRICEOPEN"")"),213.0)</f>
        <v>213</v>
      </c>
      <c r="D1297" s="14">
        <f>IFERROR(__xludf.DUMMYFUNCTION("GOOGLEFINANCE(A1297,""HIGH"")"),222.62)</f>
        <v>222.62</v>
      </c>
      <c r="E1297" s="14">
        <f>IFERROR(__xludf.DUMMYFUNCTION("GOOGLEFINANCE(A1297,""LOW"")"),208.05)</f>
        <v>208.05</v>
      </c>
      <c r="F1297" s="15" t="str">
        <f t="shared" si="8"/>
        <v/>
      </c>
      <c r="G1297" s="16">
        <f>IFERROR(__xludf.DUMMYFUNCTION("GOOGLEFINANCE(A1297,""CLOSEYEST"")"),212.02)</f>
        <v>212.02</v>
      </c>
      <c r="H1297" s="17" t="str">
        <f t="shared" si="14"/>
        <v/>
      </c>
      <c r="I1297" s="18">
        <f t="shared" si="9"/>
        <v>214.23</v>
      </c>
      <c r="J1297" s="19">
        <f t="shared" si="10"/>
        <v>220.41</v>
      </c>
      <c r="K1297" s="19"/>
      <c r="L1297" s="19">
        <f t="shared" si="11"/>
        <v>205.84</v>
      </c>
      <c r="M1297" s="19">
        <f t="shared" si="12"/>
        <v>228.8</v>
      </c>
      <c r="N1297" s="19">
        <f t="shared" si="13"/>
        <v>199.66</v>
      </c>
    </row>
    <row r="1298" ht="24.75" customHeight="1">
      <c r="A1298" s="21" t="s">
        <v>1261</v>
      </c>
      <c r="B1298" s="13">
        <f>IFERROR(__xludf.DUMMYFUNCTION("GOOGLEFINANCE(A1298,""PRICE"")"),89.2)</f>
        <v>89.2</v>
      </c>
      <c r="C1298" s="14">
        <f>IFERROR(__xludf.DUMMYFUNCTION("GOOGLEFINANCE(A1298,""PRICEOPEN"")"),88.0)</f>
        <v>88</v>
      </c>
      <c r="D1298" s="14">
        <f>IFERROR(__xludf.DUMMYFUNCTION("GOOGLEFINANCE(A1298,""HIGH"")"),90.39)</f>
        <v>90.39</v>
      </c>
      <c r="E1298" s="14">
        <f>IFERROR(__xludf.DUMMYFUNCTION("GOOGLEFINANCE(A1298,""LOW"")"),88.0)</f>
        <v>88</v>
      </c>
      <c r="F1298" s="15" t="str">
        <f t="shared" si="8"/>
        <v>BUY</v>
      </c>
      <c r="G1298" s="16">
        <f>IFERROR(__xludf.DUMMYFUNCTION("GOOGLEFINANCE(A1298,""CLOSEYEST"")"),89.36)</f>
        <v>89.36</v>
      </c>
      <c r="H1298" s="17" t="str">
        <f t="shared" si="14"/>
        <v>GAP DOWN</v>
      </c>
      <c r="I1298" s="18">
        <f t="shared" si="9"/>
        <v>89.25</v>
      </c>
      <c r="J1298" s="19">
        <f t="shared" si="10"/>
        <v>90.5</v>
      </c>
      <c r="K1298" s="19"/>
      <c r="L1298" s="19">
        <f t="shared" si="11"/>
        <v>88.11</v>
      </c>
      <c r="M1298" s="19">
        <f t="shared" si="12"/>
        <v>91.64</v>
      </c>
      <c r="N1298" s="19">
        <f t="shared" si="13"/>
        <v>86.86</v>
      </c>
    </row>
    <row r="1299" ht="24.75" customHeight="1">
      <c r="A1299" s="21" t="s">
        <v>1262</v>
      </c>
      <c r="B1299" s="13">
        <f>IFERROR(__xludf.DUMMYFUNCTION("GOOGLEFINANCE(A1299,""PRICE"")"),3.0)</f>
        <v>3</v>
      </c>
      <c r="C1299" s="14">
        <f>IFERROR(__xludf.DUMMYFUNCTION("GOOGLEFINANCE(A1299,""PRICEOPEN"")"),2.95)</f>
        <v>2.95</v>
      </c>
      <c r="D1299" s="14">
        <f>IFERROR(__xludf.DUMMYFUNCTION("GOOGLEFINANCE(A1299,""HIGH"")"),3.05)</f>
        <v>3.05</v>
      </c>
      <c r="E1299" s="14">
        <f>IFERROR(__xludf.DUMMYFUNCTION("GOOGLEFINANCE(A1299,""LOW"")"),2.93)</f>
        <v>2.93</v>
      </c>
      <c r="F1299" s="15" t="str">
        <f t="shared" si="8"/>
        <v/>
      </c>
      <c r="G1299" s="16">
        <f>IFERROR(__xludf.DUMMYFUNCTION("GOOGLEFINANCE(A1299,""CLOSEYEST"")"),2.95)</f>
        <v>2.95</v>
      </c>
      <c r="H1299" s="17" t="str">
        <f t="shared" si="14"/>
        <v/>
      </c>
      <c r="I1299" s="18">
        <f t="shared" si="9"/>
        <v>2.976666667</v>
      </c>
      <c r="J1299" s="19">
        <f t="shared" si="10"/>
        <v>3.023333333</v>
      </c>
      <c r="K1299" s="19"/>
      <c r="L1299" s="19">
        <f t="shared" si="11"/>
        <v>2.903333333</v>
      </c>
      <c r="M1299" s="19">
        <f t="shared" si="12"/>
        <v>3.096666667</v>
      </c>
      <c r="N1299" s="19">
        <f t="shared" si="13"/>
        <v>2.856666667</v>
      </c>
    </row>
    <row r="1300" ht="24.75" customHeight="1">
      <c r="A1300" s="21" t="s">
        <v>1263</v>
      </c>
      <c r="B1300" s="13">
        <f>IFERROR(__xludf.DUMMYFUNCTION("GOOGLEFINANCE(A1300,""PRICE"")"),31.7)</f>
        <v>31.7</v>
      </c>
      <c r="C1300" s="14">
        <f>IFERROR(__xludf.DUMMYFUNCTION("GOOGLEFINANCE(A1300,""PRICEOPEN"")"),31.65)</f>
        <v>31.65</v>
      </c>
      <c r="D1300" s="14">
        <f>IFERROR(__xludf.DUMMYFUNCTION("GOOGLEFINANCE(A1300,""HIGH"")"),31.7)</f>
        <v>31.7</v>
      </c>
      <c r="E1300" s="14">
        <f>IFERROR(__xludf.DUMMYFUNCTION("GOOGLEFINANCE(A1300,""LOW"")"),31.0)</f>
        <v>31</v>
      </c>
      <c r="F1300" s="15" t="str">
        <f t="shared" si="8"/>
        <v/>
      </c>
      <c r="G1300" s="16">
        <f>IFERROR(__xludf.DUMMYFUNCTION("GOOGLEFINANCE(A1300,""CLOSEYEST"")"),31.13)</f>
        <v>31.13</v>
      </c>
      <c r="H1300" s="17" t="str">
        <f t="shared" si="14"/>
        <v>GAP UP</v>
      </c>
      <c r="I1300" s="18">
        <f t="shared" si="9"/>
        <v>31.27666667</v>
      </c>
      <c r="J1300" s="19">
        <f t="shared" si="10"/>
        <v>31.55333333</v>
      </c>
      <c r="K1300" s="19"/>
      <c r="L1300" s="19">
        <f t="shared" si="11"/>
        <v>30.85333333</v>
      </c>
      <c r="M1300" s="19">
        <f t="shared" si="12"/>
        <v>31.97666667</v>
      </c>
      <c r="N1300" s="19">
        <f t="shared" si="13"/>
        <v>30.57666667</v>
      </c>
    </row>
    <row r="1301" ht="24.75" customHeight="1">
      <c r="A1301" s="21" t="s">
        <v>1264</v>
      </c>
      <c r="B1301" s="13">
        <f>IFERROR(__xludf.DUMMYFUNCTION("GOOGLEFINANCE(A1301,""PRICE"")"),4.66)</f>
        <v>4.66</v>
      </c>
      <c r="C1301" s="14">
        <f>IFERROR(__xludf.DUMMYFUNCTION("GOOGLEFINANCE(A1301,""PRICEOPEN"")"),4.6)</f>
        <v>4.6</v>
      </c>
      <c r="D1301" s="14">
        <f>IFERROR(__xludf.DUMMYFUNCTION("GOOGLEFINANCE(A1301,""HIGH"")"),4.84)</f>
        <v>4.84</v>
      </c>
      <c r="E1301" s="14">
        <f>IFERROR(__xludf.DUMMYFUNCTION("GOOGLEFINANCE(A1301,""LOW"")"),4.6)</f>
        <v>4.6</v>
      </c>
      <c r="F1301" s="15" t="str">
        <f t="shared" si="8"/>
        <v>BUY</v>
      </c>
      <c r="G1301" s="16">
        <f>IFERROR(__xludf.DUMMYFUNCTION("GOOGLEFINANCE(A1301,""CLOSEYEST"")"),4.57)</f>
        <v>4.57</v>
      </c>
      <c r="H1301" s="17" t="str">
        <f t="shared" si="14"/>
        <v/>
      </c>
      <c r="I1301" s="18">
        <f t="shared" si="9"/>
        <v>4.67</v>
      </c>
      <c r="J1301" s="19">
        <f t="shared" si="10"/>
        <v>4.74</v>
      </c>
      <c r="K1301" s="19"/>
      <c r="L1301" s="19">
        <f t="shared" si="11"/>
        <v>4.5</v>
      </c>
      <c r="M1301" s="19">
        <f t="shared" si="12"/>
        <v>4.91</v>
      </c>
      <c r="N1301" s="19">
        <f t="shared" si="13"/>
        <v>4.43</v>
      </c>
    </row>
    <row r="1302" ht="24.75" customHeight="1">
      <c r="A1302" s="21" t="s">
        <v>1265</v>
      </c>
      <c r="B1302" s="13">
        <f>IFERROR(__xludf.DUMMYFUNCTION("GOOGLEFINANCE(A1302,""PRICE"")"),109.1)</f>
        <v>109.1</v>
      </c>
      <c r="C1302" s="14">
        <f>IFERROR(__xludf.DUMMYFUNCTION("GOOGLEFINANCE(A1302,""PRICEOPEN"")"),110.9)</f>
        <v>110.9</v>
      </c>
      <c r="D1302" s="14">
        <f>IFERROR(__xludf.DUMMYFUNCTION("GOOGLEFINANCE(A1302,""HIGH"")"),110.9)</f>
        <v>110.9</v>
      </c>
      <c r="E1302" s="14">
        <f>IFERROR(__xludf.DUMMYFUNCTION("GOOGLEFINANCE(A1302,""LOW"")"),108.44)</f>
        <v>108.44</v>
      </c>
      <c r="F1302" s="15" t="str">
        <f t="shared" si="8"/>
        <v>SELL</v>
      </c>
      <c r="G1302" s="16">
        <f>IFERROR(__xludf.DUMMYFUNCTION("GOOGLEFINANCE(A1302,""CLOSEYEST"")"),108.68)</f>
        <v>108.68</v>
      </c>
      <c r="H1302" s="17" t="str">
        <f t="shared" si="14"/>
        <v>GAP UP</v>
      </c>
      <c r="I1302" s="18">
        <f t="shared" si="9"/>
        <v>109.34</v>
      </c>
      <c r="J1302" s="19">
        <f t="shared" si="10"/>
        <v>110.24</v>
      </c>
      <c r="K1302" s="19"/>
      <c r="L1302" s="19">
        <f t="shared" si="11"/>
        <v>107.78</v>
      </c>
      <c r="M1302" s="19">
        <f t="shared" si="12"/>
        <v>111.8</v>
      </c>
      <c r="N1302" s="19">
        <f t="shared" si="13"/>
        <v>106.88</v>
      </c>
    </row>
    <row r="1303" ht="24.75" customHeight="1">
      <c r="A1303" s="21" t="s">
        <v>1266</v>
      </c>
      <c r="B1303" s="13">
        <f>IFERROR(__xludf.DUMMYFUNCTION("GOOGLEFINANCE(A1303,""PRICE"")"),181.16)</f>
        <v>181.16</v>
      </c>
      <c r="C1303" s="14">
        <f>IFERROR(__xludf.DUMMYFUNCTION("GOOGLEFINANCE(A1303,""PRICEOPEN"")"),185.01)</f>
        <v>185.01</v>
      </c>
      <c r="D1303" s="14">
        <f>IFERROR(__xludf.DUMMYFUNCTION("GOOGLEFINANCE(A1303,""HIGH"")"),187.3)</f>
        <v>187.3</v>
      </c>
      <c r="E1303" s="14">
        <f>IFERROR(__xludf.DUMMYFUNCTION("GOOGLEFINANCE(A1303,""LOW"")"),181.15)</f>
        <v>181.15</v>
      </c>
      <c r="F1303" s="15" t="str">
        <f t="shared" si="8"/>
        <v/>
      </c>
      <c r="G1303" s="16">
        <f>IFERROR(__xludf.DUMMYFUNCTION("GOOGLEFINANCE(A1303,""CLOSEYEST"")"),184.93)</f>
        <v>184.93</v>
      </c>
      <c r="H1303" s="17" t="str">
        <f t="shared" si="14"/>
        <v/>
      </c>
      <c r="I1303" s="18">
        <f t="shared" si="9"/>
        <v>184.46</v>
      </c>
      <c r="J1303" s="19">
        <f t="shared" si="10"/>
        <v>187.77</v>
      </c>
      <c r="K1303" s="19"/>
      <c r="L1303" s="19">
        <f t="shared" si="11"/>
        <v>181.62</v>
      </c>
      <c r="M1303" s="19">
        <f t="shared" si="12"/>
        <v>190.61</v>
      </c>
      <c r="N1303" s="19">
        <f t="shared" si="13"/>
        <v>178.31</v>
      </c>
    </row>
    <row r="1304" ht="24.75" customHeight="1">
      <c r="A1304" s="21" t="s">
        <v>1267</v>
      </c>
      <c r="B1304" s="13">
        <f>IFERROR(__xludf.DUMMYFUNCTION("GOOGLEFINANCE(A1304,""PRICE"")"),92.25)</f>
        <v>92.25</v>
      </c>
      <c r="C1304" s="14">
        <f>IFERROR(__xludf.DUMMYFUNCTION("GOOGLEFINANCE(A1304,""PRICEOPEN"")"),93.0)</f>
        <v>93</v>
      </c>
      <c r="D1304" s="14">
        <f>IFERROR(__xludf.DUMMYFUNCTION("GOOGLEFINANCE(A1304,""HIGH"")"),94.88)</f>
        <v>94.88</v>
      </c>
      <c r="E1304" s="14">
        <f>IFERROR(__xludf.DUMMYFUNCTION("GOOGLEFINANCE(A1304,""LOW"")"),90.11)</f>
        <v>90.11</v>
      </c>
      <c r="F1304" s="15" t="str">
        <f t="shared" si="8"/>
        <v/>
      </c>
      <c r="G1304" s="16">
        <f>IFERROR(__xludf.DUMMYFUNCTION("GOOGLEFINANCE(A1304,""CLOSEYEST"")"),93.14)</f>
        <v>93.14</v>
      </c>
      <c r="H1304" s="17" t="str">
        <f t="shared" si="14"/>
        <v/>
      </c>
      <c r="I1304" s="18">
        <f t="shared" si="9"/>
        <v>92.71</v>
      </c>
      <c r="J1304" s="19">
        <f t="shared" si="10"/>
        <v>95.31</v>
      </c>
      <c r="K1304" s="19"/>
      <c r="L1304" s="19">
        <f t="shared" si="11"/>
        <v>90.54</v>
      </c>
      <c r="M1304" s="19">
        <f t="shared" si="12"/>
        <v>97.48</v>
      </c>
      <c r="N1304" s="19">
        <f t="shared" si="13"/>
        <v>87.94</v>
      </c>
    </row>
    <row r="1305" ht="24.75" customHeight="1">
      <c r="A1305" s="21" t="s">
        <v>1268</v>
      </c>
      <c r="B1305" s="13">
        <f>IFERROR(__xludf.DUMMYFUNCTION("GOOGLEFINANCE(A1305,""PRICE"")"),331.15)</f>
        <v>331.15</v>
      </c>
      <c r="C1305" s="14">
        <f>IFERROR(__xludf.DUMMYFUNCTION("GOOGLEFINANCE(A1305,""PRICEOPEN"")"),341.2)</f>
        <v>341.2</v>
      </c>
      <c r="D1305" s="14">
        <f>IFERROR(__xludf.DUMMYFUNCTION("GOOGLEFINANCE(A1305,""HIGH"")"),341.2)</f>
        <v>341.2</v>
      </c>
      <c r="E1305" s="14">
        <f>IFERROR(__xludf.DUMMYFUNCTION("GOOGLEFINANCE(A1305,""LOW"")"),330.1)</f>
        <v>330.1</v>
      </c>
      <c r="F1305" s="15" t="str">
        <f t="shared" si="8"/>
        <v>SELL</v>
      </c>
      <c r="G1305" s="16">
        <f>IFERROR(__xludf.DUMMYFUNCTION("GOOGLEFINANCE(A1305,""CLOSEYEST"")"),340.75)</f>
        <v>340.75</v>
      </c>
      <c r="H1305" s="17" t="str">
        <f t="shared" si="14"/>
        <v/>
      </c>
      <c r="I1305" s="18">
        <f t="shared" si="9"/>
        <v>337.35</v>
      </c>
      <c r="J1305" s="19">
        <f t="shared" si="10"/>
        <v>344.6</v>
      </c>
      <c r="K1305" s="19"/>
      <c r="L1305" s="19">
        <f t="shared" si="11"/>
        <v>333.5</v>
      </c>
      <c r="M1305" s="19">
        <f t="shared" si="12"/>
        <v>348.45</v>
      </c>
      <c r="N1305" s="19">
        <f t="shared" si="13"/>
        <v>326.25</v>
      </c>
    </row>
    <row r="1306" ht="24.75" customHeight="1">
      <c r="A1306" s="21" t="s">
        <v>1269</v>
      </c>
      <c r="B1306" s="13">
        <f>IFERROR(__xludf.DUMMYFUNCTION("GOOGLEFINANCE(A1306,""PRICE"")"),169.26)</f>
        <v>169.26</v>
      </c>
      <c r="C1306" s="14">
        <f>IFERROR(__xludf.DUMMYFUNCTION("GOOGLEFINANCE(A1306,""PRICEOPEN"")"),169.26)</f>
        <v>169.26</v>
      </c>
      <c r="D1306" s="14">
        <f>IFERROR(__xludf.DUMMYFUNCTION("GOOGLEFINANCE(A1306,""HIGH"")"),169.26)</f>
        <v>169.26</v>
      </c>
      <c r="E1306" s="14">
        <f>IFERROR(__xludf.DUMMYFUNCTION("GOOGLEFINANCE(A1306,""LOW"")"),169.26)</f>
        <v>169.26</v>
      </c>
      <c r="F1306" s="15" t="str">
        <f t="shared" si="8"/>
        <v>SELL</v>
      </c>
      <c r="G1306" s="16">
        <f>IFERROR(__xludf.DUMMYFUNCTION("GOOGLEFINANCE(A1306,""CLOSEYEST"")"),172.72)</f>
        <v>172.72</v>
      </c>
      <c r="H1306" s="17" t="str">
        <f t="shared" si="14"/>
        <v>GAP DOWN</v>
      </c>
      <c r="I1306" s="18">
        <f t="shared" si="9"/>
        <v>170.4133333</v>
      </c>
      <c r="J1306" s="19">
        <f t="shared" si="10"/>
        <v>171.5666667</v>
      </c>
      <c r="K1306" s="19"/>
      <c r="L1306" s="19">
        <f t="shared" si="11"/>
        <v>171.5666667</v>
      </c>
      <c r="M1306" s="19">
        <f t="shared" si="12"/>
        <v>170.4133333</v>
      </c>
      <c r="N1306" s="19">
        <f t="shared" si="13"/>
        <v>170.4133333</v>
      </c>
    </row>
    <row r="1307" ht="24.75" customHeight="1">
      <c r="A1307" s="21" t="s">
        <v>1270</v>
      </c>
      <c r="B1307" s="13">
        <f>IFERROR(__xludf.DUMMYFUNCTION("GOOGLEFINANCE(A1307,""PRICE"")"),938.75)</f>
        <v>938.75</v>
      </c>
      <c r="C1307" s="14">
        <f>IFERROR(__xludf.DUMMYFUNCTION("GOOGLEFINANCE(A1307,""PRICEOPEN"")"),952.0)</f>
        <v>952</v>
      </c>
      <c r="D1307" s="14">
        <f>IFERROR(__xludf.DUMMYFUNCTION("GOOGLEFINANCE(A1307,""HIGH"")"),968.0)</f>
        <v>968</v>
      </c>
      <c r="E1307" s="14">
        <f>IFERROR(__xludf.DUMMYFUNCTION("GOOGLEFINANCE(A1307,""LOW"")"),925.0)</f>
        <v>925</v>
      </c>
      <c r="F1307" s="15" t="str">
        <f t="shared" si="8"/>
        <v/>
      </c>
      <c r="G1307" s="16">
        <f>IFERROR(__xludf.DUMMYFUNCTION("GOOGLEFINANCE(A1307,""CLOSEYEST"")"),950.45)</f>
        <v>950.45</v>
      </c>
      <c r="H1307" s="17" t="str">
        <f t="shared" si="14"/>
        <v/>
      </c>
      <c r="I1307" s="18">
        <f t="shared" si="9"/>
        <v>947.8166667</v>
      </c>
      <c r="J1307" s="19">
        <f t="shared" si="10"/>
        <v>970.6333333</v>
      </c>
      <c r="K1307" s="19"/>
      <c r="L1307" s="19">
        <f t="shared" si="11"/>
        <v>927.6333333</v>
      </c>
      <c r="M1307" s="19">
        <f t="shared" si="12"/>
        <v>990.8166667</v>
      </c>
      <c r="N1307" s="19">
        <f t="shared" si="13"/>
        <v>904.8166667</v>
      </c>
    </row>
    <row r="1308" ht="24.75" customHeight="1">
      <c r="A1308" s="21" t="s">
        <v>1271</v>
      </c>
      <c r="B1308" s="13">
        <f>IFERROR(__xludf.DUMMYFUNCTION("GOOGLEFINANCE(A1308,""PRICE"")"),350.25)</f>
        <v>350.25</v>
      </c>
      <c r="C1308" s="14">
        <f>IFERROR(__xludf.DUMMYFUNCTION("GOOGLEFINANCE(A1308,""PRICEOPEN"")"),365.0)</f>
        <v>365</v>
      </c>
      <c r="D1308" s="14">
        <f>IFERROR(__xludf.DUMMYFUNCTION("GOOGLEFINANCE(A1308,""HIGH"")"),365.0)</f>
        <v>365</v>
      </c>
      <c r="E1308" s="14">
        <f>IFERROR(__xludf.DUMMYFUNCTION("GOOGLEFINANCE(A1308,""LOW"")"),346.35)</f>
        <v>346.35</v>
      </c>
      <c r="F1308" s="15" t="str">
        <f t="shared" si="8"/>
        <v>SELL</v>
      </c>
      <c r="G1308" s="16">
        <f>IFERROR(__xludf.DUMMYFUNCTION("GOOGLEFINANCE(A1308,""CLOSEYEST"")"),361.9)</f>
        <v>361.9</v>
      </c>
      <c r="H1308" s="17" t="str">
        <f t="shared" si="14"/>
        <v/>
      </c>
      <c r="I1308" s="18">
        <f t="shared" si="9"/>
        <v>357.75</v>
      </c>
      <c r="J1308" s="19">
        <f t="shared" si="10"/>
        <v>369.15</v>
      </c>
      <c r="K1308" s="19"/>
      <c r="L1308" s="19">
        <f t="shared" si="11"/>
        <v>350.5</v>
      </c>
      <c r="M1308" s="19">
        <f t="shared" si="12"/>
        <v>376.4</v>
      </c>
      <c r="N1308" s="19">
        <f t="shared" si="13"/>
        <v>339.1</v>
      </c>
    </row>
    <row r="1309" ht="24.75" customHeight="1">
      <c r="A1309" s="21" t="s">
        <v>1272</v>
      </c>
      <c r="B1309" s="13" t="str">
        <f>IFERROR(__xludf.DUMMYFUNCTION("GOOGLEFINANCE(A1309,""PRICE"")"),"#N/A")</f>
        <v>#N/A</v>
      </c>
      <c r="C1309" s="14" t="str">
        <f>IFERROR(__xludf.DUMMYFUNCTION("GOOGLEFINANCE(A1309,""PRICEOPEN"")"),"#N/A")</f>
        <v>#N/A</v>
      </c>
      <c r="D1309" s="14" t="str">
        <f>IFERROR(__xludf.DUMMYFUNCTION("GOOGLEFINANCE(A1309,""HIGH"")"),"#N/A")</f>
        <v>#N/A</v>
      </c>
      <c r="E1309" s="14" t="str">
        <f>IFERROR(__xludf.DUMMYFUNCTION("GOOGLEFINANCE(A1309,""LOW"")"),"#N/A")</f>
        <v>#N/A</v>
      </c>
      <c r="F1309" s="15" t="str">
        <f t="shared" si="8"/>
        <v>#N/A</v>
      </c>
      <c r="G1309" s="16" t="str">
        <f>IFERROR(__xludf.DUMMYFUNCTION("GOOGLEFINANCE(A1309,""CLOSEYEST"")"),"#N/A")</f>
        <v>#N/A</v>
      </c>
      <c r="H1309" s="17" t="str">
        <f t="shared" si="14"/>
        <v>#N/A</v>
      </c>
      <c r="I1309" s="18" t="str">
        <f t="shared" si="9"/>
        <v>#N/A</v>
      </c>
      <c r="J1309" s="19" t="str">
        <f t="shared" si="10"/>
        <v>#N/A</v>
      </c>
      <c r="K1309" s="19"/>
      <c r="L1309" s="19" t="str">
        <f t="shared" si="11"/>
        <v>#N/A</v>
      </c>
      <c r="M1309" s="19" t="str">
        <f t="shared" si="12"/>
        <v>#N/A</v>
      </c>
      <c r="N1309" s="19" t="str">
        <f t="shared" si="13"/>
        <v>#N/A</v>
      </c>
    </row>
    <row r="1310" ht="24.75" customHeight="1">
      <c r="A1310" s="21" t="s">
        <v>1273</v>
      </c>
      <c r="B1310" s="13">
        <f>IFERROR(__xludf.DUMMYFUNCTION("GOOGLEFINANCE(A1310,""PRICE"")"),4.02)</f>
        <v>4.02</v>
      </c>
      <c r="C1310" s="14">
        <f>IFERROR(__xludf.DUMMYFUNCTION("GOOGLEFINANCE(A1310,""PRICEOPEN"")"),4.03)</f>
        <v>4.03</v>
      </c>
      <c r="D1310" s="14">
        <f>IFERROR(__xludf.DUMMYFUNCTION("GOOGLEFINANCE(A1310,""HIGH"")"),4.25)</f>
        <v>4.25</v>
      </c>
      <c r="E1310" s="14">
        <f>IFERROR(__xludf.DUMMYFUNCTION("GOOGLEFINANCE(A1310,""LOW"")"),3.89)</f>
        <v>3.89</v>
      </c>
      <c r="F1310" s="15" t="str">
        <f t="shared" si="8"/>
        <v/>
      </c>
      <c r="G1310" s="16">
        <f>IFERROR(__xludf.DUMMYFUNCTION("GOOGLEFINANCE(A1310,""CLOSEYEST"")"),4.08)</f>
        <v>4.08</v>
      </c>
      <c r="H1310" s="17" t="str">
        <f t="shared" si="14"/>
        <v>GAP DOWN</v>
      </c>
      <c r="I1310" s="18">
        <f t="shared" si="9"/>
        <v>4.073333333</v>
      </c>
      <c r="J1310" s="19">
        <f t="shared" si="10"/>
        <v>4.256666667</v>
      </c>
      <c r="K1310" s="19"/>
      <c r="L1310" s="19">
        <f t="shared" si="11"/>
        <v>3.896666667</v>
      </c>
      <c r="M1310" s="19">
        <f t="shared" si="12"/>
        <v>4.433333333</v>
      </c>
      <c r="N1310" s="19">
        <f t="shared" si="13"/>
        <v>3.713333333</v>
      </c>
    </row>
    <row r="1311" ht="24.75" customHeight="1">
      <c r="A1311" s="21" t="s">
        <v>1274</v>
      </c>
      <c r="B1311" s="13">
        <f>IFERROR(__xludf.DUMMYFUNCTION("GOOGLEFINANCE(A1311,""PRICE"")"),33.0)</f>
        <v>33</v>
      </c>
      <c r="C1311" s="14">
        <f>IFERROR(__xludf.DUMMYFUNCTION("GOOGLEFINANCE(A1311,""PRICEOPEN"")"),34.75)</f>
        <v>34.75</v>
      </c>
      <c r="D1311" s="14">
        <f>IFERROR(__xludf.DUMMYFUNCTION("GOOGLEFINANCE(A1311,""HIGH"")"),34.75)</f>
        <v>34.75</v>
      </c>
      <c r="E1311" s="14">
        <f>IFERROR(__xludf.DUMMYFUNCTION("GOOGLEFINANCE(A1311,""LOW"")"),32.9)</f>
        <v>32.9</v>
      </c>
      <c r="F1311" s="15" t="str">
        <f t="shared" si="8"/>
        <v>SELL</v>
      </c>
      <c r="G1311" s="16">
        <f>IFERROR(__xludf.DUMMYFUNCTION("GOOGLEFINANCE(A1311,""CLOSEYEST"")"),34.63)</f>
        <v>34.63</v>
      </c>
      <c r="H1311" s="17" t="str">
        <f t="shared" si="14"/>
        <v/>
      </c>
      <c r="I1311" s="18">
        <f t="shared" si="9"/>
        <v>34.09333333</v>
      </c>
      <c r="J1311" s="19">
        <f t="shared" si="10"/>
        <v>35.28666667</v>
      </c>
      <c r="K1311" s="19"/>
      <c r="L1311" s="19">
        <f t="shared" si="11"/>
        <v>33.43666667</v>
      </c>
      <c r="M1311" s="19">
        <f t="shared" si="12"/>
        <v>35.94333333</v>
      </c>
      <c r="N1311" s="19">
        <f t="shared" si="13"/>
        <v>32.24333333</v>
      </c>
    </row>
    <row r="1312" ht="24.75" customHeight="1">
      <c r="A1312" s="21" t="s">
        <v>1275</v>
      </c>
      <c r="B1312" s="13">
        <f>IFERROR(__xludf.DUMMYFUNCTION("GOOGLEFINANCE(A1312,""PRICE"")"),126.81)</f>
        <v>126.81</v>
      </c>
      <c r="C1312" s="14">
        <f>IFERROR(__xludf.DUMMYFUNCTION("GOOGLEFINANCE(A1312,""PRICEOPEN"")"),127.7)</f>
        <v>127.7</v>
      </c>
      <c r="D1312" s="14">
        <f>IFERROR(__xludf.DUMMYFUNCTION("GOOGLEFINANCE(A1312,""HIGH"")"),130.0)</f>
        <v>130</v>
      </c>
      <c r="E1312" s="14">
        <f>IFERROR(__xludf.DUMMYFUNCTION("GOOGLEFINANCE(A1312,""LOW"")"),126.75)</f>
        <v>126.75</v>
      </c>
      <c r="F1312" s="15" t="str">
        <f t="shared" si="8"/>
        <v/>
      </c>
      <c r="G1312" s="16">
        <f>IFERROR(__xludf.DUMMYFUNCTION("GOOGLEFINANCE(A1312,""CLOSEYEST"")"),126.98)</f>
        <v>126.98</v>
      </c>
      <c r="H1312" s="17" t="str">
        <f t="shared" si="14"/>
        <v/>
      </c>
      <c r="I1312" s="18">
        <f t="shared" si="9"/>
        <v>127.91</v>
      </c>
      <c r="J1312" s="19">
        <f t="shared" si="10"/>
        <v>129.07</v>
      </c>
      <c r="K1312" s="19"/>
      <c r="L1312" s="19">
        <f t="shared" si="11"/>
        <v>125.82</v>
      </c>
      <c r="M1312" s="19">
        <f t="shared" si="12"/>
        <v>131.16</v>
      </c>
      <c r="N1312" s="19">
        <f t="shared" si="13"/>
        <v>124.66</v>
      </c>
    </row>
    <row r="1313" ht="24.75" customHeight="1">
      <c r="A1313" s="21" t="s">
        <v>1276</v>
      </c>
      <c r="B1313" s="13">
        <f>IFERROR(__xludf.DUMMYFUNCTION("GOOGLEFINANCE(A1313,""PRICE"")"),33.28)</f>
        <v>33.28</v>
      </c>
      <c r="C1313" s="14">
        <f>IFERROR(__xludf.DUMMYFUNCTION("GOOGLEFINANCE(A1313,""PRICEOPEN"")"),29.5)</f>
        <v>29.5</v>
      </c>
      <c r="D1313" s="14">
        <f>IFERROR(__xludf.DUMMYFUNCTION("GOOGLEFINANCE(A1313,""HIGH"")"),33.5)</f>
        <v>33.5</v>
      </c>
      <c r="E1313" s="14">
        <f>IFERROR(__xludf.DUMMYFUNCTION("GOOGLEFINANCE(A1313,""LOW"")"),29.5)</f>
        <v>29.5</v>
      </c>
      <c r="F1313" s="15" t="str">
        <f t="shared" si="8"/>
        <v>BUY</v>
      </c>
      <c r="G1313" s="16">
        <f>IFERROR(__xludf.DUMMYFUNCTION("GOOGLEFINANCE(A1313,""CLOSEYEST"")"),30.55)</f>
        <v>30.55</v>
      </c>
      <c r="H1313" s="17" t="str">
        <f t="shared" si="14"/>
        <v>GAP DOWN</v>
      </c>
      <c r="I1313" s="18">
        <f t="shared" si="9"/>
        <v>31.18333333</v>
      </c>
      <c r="J1313" s="19">
        <f t="shared" si="10"/>
        <v>32.86666667</v>
      </c>
      <c r="K1313" s="19"/>
      <c r="L1313" s="19">
        <f t="shared" si="11"/>
        <v>28.86666667</v>
      </c>
      <c r="M1313" s="19">
        <f t="shared" si="12"/>
        <v>35.18333333</v>
      </c>
      <c r="N1313" s="19">
        <f t="shared" si="13"/>
        <v>27.18333333</v>
      </c>
    </row>
    <row r="1314" ht="24.75" customHeight="1">
      <c r="A1314" s="21" t="s">
        <v>1277</v>
      </c>
      <c r="B1314" s="13" t="str">
        <f>IFERROR(__xludf.DUMMYFUNCTION("GOOGLEFINANCE(A1314,""PRICE"")"),"#N/A")</f>
        <v>#N/A</v>
      </c>
      <c r="C1314" s="14" t="str">
        <f>IFERROR(__xludf.DUMMYFUNCTION("GOOGLEFINANCE(A1314,""PRICEOPEN"")"),"#N/A")</f>
        <v>#N/A</v>
      </c>
      <c r="D1314" s="14" t="str">
        <f>IFERROR(__xludf.DUMMYFUNCTION("GOOGLEFINANCE(A1314,""HIGH"")"),"#N/A")</f>
        <v>#N/A</v>
      </c>
      <c r="E1314" s="14" t="str">
        <f>IFERROR(__xludf.DUMMYFUNCTION("GOOGLEFINANCE(A1314,""LOW"")"),"#N/A")</f>
        <v>#N/A</v>
      </c>
      <c r="F1314" s="15" t="str">
        <f t="shared" si="8"/>
        <v>#N/A</v>
      </c>
      <c r="G1314" s="16" t="str">
        <f>IFERROR(__xludf.DUMMYFUNCTION("GOOGLEFINANCE(A1314,""CLOSEYEST"")"),"#N/A")</f>
        <v>#N/A</v>
      </c>
      <c r="H1314" s="17" t="str">
        <f t="shared" si="14"/>
        <v>#N/A</v>
      </c>
      <c r="I1314" s="18" t="str">
        <f t="shared" si="9"/>
        <v>#N/A</v>
      </c>
      <c r="J1314" s="19" t="str">
        <f t="shared" si="10"/>
        <v>#N/A</v>
      </c>
      <c r="K1314" s="19"/>
      <c r="L1314" s="19" t="str">
        <f t="shared" si="11"/>
        <v>#N/A</v>
      </c>
      <c r="M1314" s="19" t="str">
        <f t="shared" si="12"/>
        <v>#N/A</v>
      </c>
      <c r="N1314" s="19" t="str">
        <f t="shared" si="13"/>
        <v>#N/A</v>
      </c>
    </row>
    <row r="1315" ht="24.75" customHeight="1">
      <c r="A1315" s="21" t="s">
        <v>1278</v>
      </c>
      <c r="B1315" s="13">
        <f>IFERROR(__xludf.DUMMYFUNCTION("GOOGLEFINANCE(A1315,""PRICE"")"),19.2)</f>
        <v>19.2</v>
      </c>
      <c r="C1315" s="14">
        <f>IFERROR(__xludf.DUMMYFUNCTION("GOOGLEFINANCE(A1315,""PRICEOPEN"")"),18.45)</f>
        <v>18.45</v>
      </c>
      <c r="D1315" s="14">
        <f>IFERROR(__xludf.DUMMYFUNCTION("GOOGLEFINANCE(A1315,""HIGH"")"),19.49)</f>
        <v>19.49</v>
      </c>
      <c r="E1315" s="14">
        <f>IFERROR(__xludf.DUMMYFUNCTION("GOOGLEFINANCE(A1315,""LOW"")"),18.45)</f>
        <v>18.45</v>
      </c>
      <c r="F1315" s="15" t="str">
        <f t="shared" si="8"/>
        <v>BUY</v>
      </c>
      <c r="G1315" s="16">
        <f>IFERROR(__xludf.DUMMYFUNCTION("GOOGLEFINANCE(A1315,""CLOSEYEST"")"),18.31)</f>
        <v>18.31</v>
      </c>
      <c r="H1315" s="17" t="str">
        <f t="shared" si="14"/>
        <v/>
      </c>
      <c r="I1315" s="18">
        <f t="shared" si="9"/>
        <v>18.75</v>
      </c>
      <c r="J1315" s="19">
        <f t="shared" si="10"/>
        <v>19.05</v>
      </c>
      <c r="K1315" s="19"/>
      <c r="L1315" s="19">
        <f t="shared" si="11"/>
        <v>18.01</v>
      </c>
      <c r="M1315" s="19">
        <f t="shared" si="12"/>
        <v>19.79</v>
      </c>
      <c r="N1315" s="19">
        <f t="shared" si="13"/>
        <v>17.71</v>
      </c>
    </row>
    <row r="1316" ht="24.75" customHeight="1">
      <c r="A1316" s="21" t="s">
        <v>1279</v>
      </c>
      <c r="B1316" s="13" t="str">
        <f>IFERROR(__xludf.DUMMYFUNCTION("GOOGLEFINANCE(A1316,""PRICE"")"),"#N/A")</f>
        <v>#N/A</v>
      </c>
      <c r="C1316" s="14" t="str">
        <f>IFERROR(__xludf.DUMMYFUNCTION("GOOGLEFINANCE(A1316,""PRICEOPEN"")"),"#N/A")</f>
        <v>#N/A</v>
      </c>
      <c r="D1316" s="14" t="str">
        <f>IFERROR(__xludf.DUMMYFUNCTION("GOOGLEFINANCE(A1316,""HIGH"")"),"#N/A")</f>
        <v>#N/A</v>
      </c>
      <c r="E1316" s="14" t="str">
        <f>IFERROR(__xludf.DUMMYFUNCTION("GOOGLEFINANCE(A1316,""LOW"")"),"#N/A")</f>
        <v>#N/A</v>
      </c>
      <c r="F1316" s="15" t="str">
        <f t="shared" si="8"/>
        <v>#N/A</v>
      </c>
      <c r="G1316" s="16" t="str">
        <f>IFERROR(__xludf.DUMMYFUNCTION("GOOGLEFINANCE(A1316,""CLOSEYEST"")"),"#N/A")</f>
        <v>#N/A</v>
      </c>
      <c r="H1316" s="17" t="str">
        <f t="shared" si="14"/>
        <v>#N/A</v>
      </c>
      <c r="I1316" s="18" t="str">
        <f t="shared" si="9"/>
        <v>#N/A</v>
      </c>
      <c r="J1316" s="19" t="str">
        <f t="shared" si="10"/>
        <v>#N/A</v>
      </c>
      <c r="K1316" s="19"/>
      <c r="L1316" s="19" t="str">
        <f t="shared" si="11"/>
        <v>#N/A</v>
      </c>
      <c r="M1316" s="19" t="str">
        <f t="shared" si="12"/>
        <v>#N/A</v>
      </c>
      <c r="N1316" s="19" t="str">
        <f t="shared" si="13"/>
        <v>#N/A</v>
      </c>
    </row>
    <row r="1317" ht="24.75" customHeight="1">
      <c r="A1317" s="21" t="s">
        <v>1280</v>
      </c>
      <c r="B1317" s="13">
        <f>IFERROR(__xludf.DUMMYFUNCTION("GOOGLEFINANCE(A1317,""PRICE"")"),16.55)</f>
        <v>16.55</v>
      </c>
      <c r="C1317" s="14">
        <f>IFERROR(__xludf.DUMMYFUNCTION("GOOGLEFINANCE(A1317,""PRICEOPEN"")"),16.01)</f>
        <v>16.01</v>
      </c>
      <c r="D1317" s="14">
        <f>IFERROR(__xludf.DUMMYFUNCTION("GOOGLEFINANCE(A1317,""HIGH"")"),16.72)</f>
        <v>16.72</v>
      </c>
      <c r="E1317" s="14">
        <f>IFERROR(__xludf.DUMMYFUNCTION("GOOGLEFINANCE(A1317,""LOW"")"),16.01)</f>
        <v>16.01</v>
      </c>
      <c r="F1317" s="15" t="str">
        <f t="shared" si="8"/>
        <v>BUY</v>
      </c>
      <c r="G1317" s="16">
        <f>IFERROR(__xludf.DUMMYFUNCTION("GOOGLEFINANCE(A1317,""CLOSEYEST"")"),16.2)</f>
        <v>16.2</v>
      </c>
      <c r="H1317" s="17" t="str">
        <f t="shared" si="14"/>
        <v>GAP DOWN</v>
      </c>
      <c r="I1317" s="18">
        <f t="shared" si="9"/>
        <v>16.31</v>
      </c>
      <c r="J1317" s="19">
        <f t="shared" si="10"/>
        <v>16.61</v>
      </c>
      <c r="K1317" s="19"/>
      <c r="L1317" s="19">
        <f t="shared" si="11"/>
        <v>15.9</v>
      </c>
      <c r="M1317" s="19">
        <f t="shared" si="12"/>
        <v>17.02</v>
      </c>
      <c r="N1317" s="19">
        <f t="shared" si="13"/>
        <v>15.6</v>
      </c>
    </row>
    <row r="1318" ht="24.75" customHeight="1">
      <c r="A1318" s="21" t="s">
        <v>1281</v>
      </c>
      <c r="B1318" s="13">
        <f>IFERROR(__xludf.DUMMYFUNCTION("GOOGLEFINANCE(A1318,""PRICE"")"),2.44)</f>
        <v>2.44</v>
      </c>
      <c r="C1318" s="14">
        <f>IFERROR(__xludf.DUMMYFUNCTION("GOOGLEFINANCE(A1318,""PRICEOPEN"")"),2.36)</f>
        <v>2.36</v>
      </c>
      <c r="D1318" s="14">
        <f>IFERROR(__xludf.DUMMYFUNCTION("GOOGLEFINANCE(A1318,""HIGH"")"),2.46)</f>
        <v>2.46</v>
      </c>
      <c r="E1318" s="14">
        <f>IFERROR(__xludf.DUMMYFUNCTION("GOOGLEFINANCE(A1318,""LOW"")"),2.33)</f>
        <v>2.33</v>
      </c>
      <c r="F1318" s="15" t="str">
        <f t="shared" si="8"/>
        <v/>
      </c>
      <c r="G1318" s="16">
        <f>IFERROR(__xludf.DUMMYFUNCTION("GOOGLEFINANCE(A1318,""CLOSEYEST"")"),2.36)</f>
        <v>2.36</v>
      </c>
      <c r="H1318" s="17" t="str">
        <f t="shared" si="14"/>
        <v/>
      </c>
      <c r="I1318" s="18">
        <f t="shared" si="9"/>
        <v>2.383333333</v>
      </c>
      <c r="J1318" s="19">
        <f t="shared" si="10"/>
        <v>2.436666667</v>
      </c>
      <c r="K1318" s="19"/>
      <c r="L1318" s="19">
        <f t="shared" si="11"/>
        <v>2.306666667</v>
      </c>
      <c r="M1318" s="19">
        <f t="shared" si="12"/>
        <v>2.513333333</v>
      </c>
      <c r="N1318" s="19">
        <f t="shared" si="13"/>
        <v>2.253333333</v>
      </c>
    </row>
    <row r="1319" ht="24.75" customHeight="1">
      <c r="A1319" s="21" t="s">
        <v>1282</v>
      </c>
      <c r="B1319" s="13">
        <f>IFERROR(__xludf.DUMMYFUNCTION("GOOGLEFINANCE(A1319,""PRICE"")"),201.5)</f>
        <v>201.5</v>
      </c>
      <c r="C1319" s="14">
        <f>IFERROR(__xludf.DUMMYFUNCTION("GOOGLEFINANCE(A1319,""PRICEOPEN"")"),201.92)</f>
        <v>201.92</v>
      </c>
      <c r="D1319" s="14">
        <f>IFERROR(__xludf.DUMMYFUNCTION("GOOGLEFINANCE(A1319,""HIGH"")"),206.9)</f>
        <v>206.9</v>
      </c>
      <c r="E1319" s="14">
        <f>IFERROR(__xludf.DUMMYFUNCTION("GOOGLEFINANCE(A1319,""LOW"")"),200.99)</f>
        <v>200.99</v>
      </c>
      <c r="F1319" s="15" t="str">
        <f t="shared" si="8"/>
        <v/>
      </c>
      <c r="G1319" s="16">
        <f>IFERROR(__xludf.DUMMYFUNCTION("GOOGLEFINANCE(A1319,""CLOSEYEST"")"),200.91)</f>
        <v>200.91</v>
      </c>
      <c r="H1319" s="17" t="str">
        <f t="shared" si="14"/>
        <v/>
      </c>
      <c r="I1319" s="18">
        <f t="shared" si="9"/>
        <v>202.9333333</v>
      </c>
      <c r="J1319" s="19">
        <f t="shared" si="10"/>
        <v>204.8766667</v>
      </c>
      <c r="K1319" s="19"/>
      <c r="L1319" s="19">
        <f t="shared" si="11"/>
        <v>198.9666667</v>
      </c>
      <c r="M1319" s="19">
        <f t="shared" si="12"/>
        <v>208.8433333</v>
      </c>
      <c r="N1319" s="19">
        <f t="shared" si="13"/>
        <v>197.0233333</v>
      </c>
    </row>
    <row r="1320" ht="24.75" customHeight="1">
      <c r="A1320" s="21" t="s">
        <v>1283</v>
      </c>
      <c r="B1320" s="13">
        <f>IFERROR(__xludf.DUMMYFUNCTION("GOOGLEFINANCE(A1320,""PRICE"")"),96.4)</f>
        <v>96.4</v>
      </c>
      <c r="C1320" s="14">
        <f>IFERROR(__xludf.DUMMYFUNCTION("GOOGLEFINANCE(A1320,""PRICEOPEN"")"),94.89)</f>
        <v>94.89</v>
      </c>
      <c r="D1320" s="14">
        <f>IFERROR(__xludf.DUMMYFUNCTION("GOOGLEFINANCE(A1320,""HIGH"")"),96.95)</f>
        <v>96.95</v>
      </c>
      <c r="E1320" s="14">
        <f>IFERROR(__xludf.DUMMYFUNCTION("GOOGLEFINANCE(A1320,""LOW"")"),94.21)</f>
        <v>94.21</v>
      </c>
      <c r="F1320" s="15" t="str">
        <f t="shared" si="8"/>
        <v/>
      </c>
      <c r="G1320" s="16">
        <f>IFERROR(__xludf.DUMMYFUNCTION("GOOGLEFINANCE(A1320,""CLOSEYEST"")"),94.57)</f>
        <v>94.57</v>
      </c>
      <c r="H1320" s="17" t="str">
        <f t="shared" si="14"/>
        <v/>
      </c>
      <c r="I1320" s="18">
        <f t="shared" si="9"/>
        <v>95.24333333</v>
      </c>
      <c r="J1320" s="19">
        <f t="shared" si="10"/>
        <v>96.27666667</v>
      </c>
      <c r="K1320" s="19"/>
      <c r="L1320" s="19">
        <f t="shared" si="11"/>
        <v>93.53666667</v>
      </c>
      <c r="M1320" s="19">
        <f t="shared" si="12"/>
        <v>97.98333333</v>
      </c>
      <c r="N1320" s="19">
        <f t="shared" si="13"/>
        <v>92.50333333</v>
      </c>
    </row>
    <row r="1321" ht="24.75" customHeight="1">
      <c r="A1321" s="21" t="s">
        <v>1284</v>
      </c>
      <c r="B1321" s="13">
        <f>IFERROR(__xludf.DUMMYFUNCTION("GOOGLEFINANCE(A1321,""PRICE"")"),7.0)</f>
        <v>7</v>
      </c>
      <c r="C1321" s="14">
        <f>IFERROR(__xludf.DUMMYFUNCTION("GOOGLEFINANCE(A1321,""PRICEOPEN"")"),6.95)</f>
        <v>6.95</v>
      </c>
      <c r="D1321" s="14">
        <f>IFERROR(__xludf.DUMMYFUNCTION("GOOGLEFINANCE(A1321,""HIGH"")"),7.08)</f>
        <v>7.08</v>
      </c>
      <c r="E1321" s="14">
        <f>IFERROR(__xludf.DUMMYFUNCTION("GOOGLEFINANCE(A1321,""LOW"")"),6.95)</f>
        <v>6.95</v>
      </c>
      <c r="F1321" s="15" t="str">
        <f t="shared" si="8"/>
        <v>BUY</v>
      </c>
      <c r="G1321" s="16">
        <f>IFERROR(__xludf.DUMMYFUNCTION("GOOGLEFINANCE(A1321,""CLOSEYEST"")"),7.03)</f>
        <v>7.03</v>
      </c>
      <c r="H1321" s="17" t="str">
        <f t="shared" si="14"/>
        <v>GAP DOWN</v>
      </c>
      <c r="I1321" s="18">
        <f t="shared" si="9"/>
        <v>7.02</v>
      </c>
      <c r="J1321" s="19">
        <f t="shared" si="10"/>
        <v>7.09</v>
      </c>
      <c r="K1321" s="19"/>
      <c r="L1321" s="19">
        <f t="shared" si="11"/>
        <v>6.96</v>
      </c>
      <c r="M1321" s="19">
        <f t="shared" si="12"/>
        <v>7.15</v>
      </c>
      <c r="N1321" s="19">
        <f t="shared" si="13"/>
        <v>6.89</v>
      </c>
    </row>
    <row r="1322" ht="24.75" customHeight="1">
      <c r="A1322" s="21" t="s">
        <v>1285</v>
      </c>
      <c r="B1322" s="13">
        <f>IFERROR(__xludf.DUMMYFUNCTION("GOOGLEFINANCE(A1322,""PRICE"")"),89.6)</f>
        <v>89.6</v>
      </c>
      <c r="C1322" s="14">
        <f>IFERROR(__xludf.DUMMYFUNCTION("GOOGLEFINANCE(A1322,""PRICEOPEN"")"),91.1)</f>
        <v>91.1</v>
      </c>
      <c r="D1322" s="14">
        <f>IFERROR(__xludf.DUMMYFUNCTION("GOOGLEFINANCE(A1322,""HIGH"")"),95.0)</f>
        <v>95</v>
      </c>
      <c r="E1322" s="14">
        <f>IFERROR(__xludf.DUMMYFUNCTION("GOOGLEFINANCE(A1322,""LOW"")"),89.01)</f>
        <v>89.01</v>
      </c>
      <c r="F1322" s="15" t="str">
        <f t="shared" si="8"/>
        <v/>
      </c>
      <c r="G1322" s="16">
        <f>IFERROR(__xludf.DUMMYFUNCTION("GOOGLEFINANCE(A1322,""CLOSEYEST"")"),92.21)</f>
        <v>92.21</v>
      </c>
      <c r="H1322" s="17" t="str">
        <f t="shared" si="14"/>
        <v>GAP DOWN</v>
      </c>
      <c r="I1322" s="18">
        <f t="shared" si="9"/>
        <v>92.07333333</v>
      </c>
      <c r="J1322" s="19">
        <f t="shared" si="10"/>
        <v>95.13666667</v>
      </c>
      <c r="K1322" s="19"/>
      <c r="L1322" s="19">
        <f t="shared" si="11"/>
        <v>89.14666667</v>
      </c>
      <c r="M1322" s="19">
        <f t="shared" si="12"/>
        <v>98.06333333</v>
      </c>
      <c r="N1322" s="19">
        <f t="shared" si="13"/>
        <v>86.08333333</v>
      </c>
    </row>
    <row r="1323" ht="24.75" customHeight="1">
      <c r="A1323" s="21" t="s">
        <v>1286</v>
      </c>
      <c r="B1323" s="13" t="str">
        <f>IFERROR(__xludf.DUMMYFUNCTION("GOOGLEFINANCE(A1323,""PRICE"")"),"#N/A")</f>
        <v>#N/A</v>
      </c>
      <c r="C1323" s="14" t="str">
        <f>IFERROR(__xludf.DUMMYFUNCTION("GOOGLEFINANCE(A1323,""PRICEOPEN"")"),"#N/A")</f>
        <v>#N/A</v>
      </c>
      <c r="D1323" s="14" t="str">
        <f>IFERROR(__xludf.DUMMYFUNCTION("GOOGLEFINANCE(A1323,""HIGH"")"),"#N/A")</f>
        <v>#N/A</v>
      </c>
      <c r="E1323" s="14" t="str">
        <f>IFERROR(__xludf.DUMMYFUNCTION("GOOGLEFINANCE(A1323,""LOW"")"),"#N/A")</f>
        <v>#N/A</v>
      </c>
      <c r="F1323" s="15" t="str">
        <f t="shared" si="8"/>
        <v>#N/A</v>
      </c>
      <c r="G1323" s="16" t="str">
        <f>IFERROR(__xludf.DUMMYFUNCTION("GOOGLEFINANCE(A1323,""CLOSEYEST"")"),"#N/A")</f>
        <v>#N/A</v>
      </c>
      <c r="H1323" s="17" t="str">
        <f t="shared" si="14"/>
        <v>#N/A</v>
      </c>
      <c r="I1323" s="18" t="str">
        <f t="shared" si="9"/>
        <v>#N/A</v>
      </c>
      <c r="J1323" s="19" t="str">
        <f t="shared" si="10"/>
        <v>#N/A</v>
      </c>
      <c r="K1323" s="19"/>
      <c r="L1323" s="19" t="str">
        <f t="shared" si="11"/>
        <v>#N/A</v>
      </c>
      <c r="M1323" s="19" t="str">
        <f t="shared" si="12"/>
        <v>#N/A</v>
      </c>
      <c r="N1323" s="19" t="str">
        <f t="shared" si="13"/>
        <v>#N/A</v>
      </c>
    </row>
    <row r="1324" ht="24.75" customHeight="1">
      <c r="A1324" s="21" t="s">
        <v>1287</v>
      </c>
      <c r="B1324" s="13">
        <f>IFERROR(__xludf.DUMMYFUNCTION("GOOGLEFINANCE(A1324,""PRICE"")"),11.27)</f>
        <v>11.27</v>
      </c>
      <c r="C1324" s="14">
        <f>IFERROR(__xludf.DUMMYFUNCTION("GOOGLEFINANCE(A1324,""PRICEOPEN"")"),12.19)</f>
        <v>12.19</v>
      </c>
      <c r="D1324" s="14">
        <f>IFERROR(__xludf.DUMMYFUNCTION("GOOGLEFINANCE(A1324,""HIGH"")"),12.2)</f>
        <v>12.2</v>
      </c>
      <c r="E1324" s="14">
        <f>IFERROR(__xludf.DUMMYFUNCTION("GOOGLEFINANCE(A1324,""LOW"")"),11.18)</f>
        <v>11.18</v>
      </c>
      <c r="F1324" s="15" t="str">
        <f t="shared" si="8"/>
        <v/>
      </c>
      <c r="G1324" s="16">
        <f>IFERROR(__xludf.DUMMYFUNCTION("GOOGLEFINANCE(A1324,""CLOSEYEST"")"),11.77)</f>
        <v>11.77</v>
      </c>
      <c r="H1324" s="17" t="str">
        <f t="shared" si="14"/>
        <v>GAP UP</v>
      </c>
      <c r="I1324" s="18">
        <f t="shared" si="9"/>
        <v>11.71666667</v>
      </c>
      <c r="J1324" s="19">
        <f t="shared" si="10"/>
        <v>12.25333333</v>
      </c>
      <c r="K1324" s="19"/>
      <c r="L1324" s="19">
        <f t="shared" si="11"/>
        <v>11.23333333</v>
      </c>
      <c r="M1324" s="19">
        <f t="shared" si="12"/>
        <v>12.73666667</v>
      </c>
      <c r="N1324" s="19">
        <f t="shared" si="13"/>
        <v>10.69666667</v>
      </c>
    </row>
    <row r="1325" ht="24.75" customHeight="1">
      <c r="A1325" s="21" t="s">
        <v>1288</v>
      </c>
      <c r="B1325" s="13">
        <f>IFERROR(__xludf.DUMMYFUNCTION("GOOGLEFINANCE(A1325,""PRICE"")"),30.6)</f>
        <v>30.6</v>
      </c>
      <c r="C1325" s="14">
        <f>IFERROR(__xludf.DUMMYFUNCTION("GOOGLEFINANCE(A1325,""PRICEOPEN"")"),30.11)</f>
        <v>30.11</v>
      </c>
      <c r="D1325" s="14">
        <f>IFERROR(__xludf.DUMMYFUNCTION("GOOGLEFINANCE(A1325,""HIGH"")"),30.68)</f>
        <v>30.68</v>
      </c>
      <c r="E1325" s="14">
        <f>IFERROR(__xludf.DUMMYFUNCTION("GOOGLEFINANCE(A1325,""LOW"")"),30.0)</f>
        <v>30</v>
      </c>
      <c r="F1325" s="15" t="str">
        <f t="shared" si="8"/>
        <v/>
      </c>
      <c r="G1325" s="16">
        <f>IFERROR(__xludf.DUMMYFUNCTION("GOOGLEFINANCE(A1325,""CLOSEYEST"")"),30.18)</f>
        <v>30.18</v>
      </c>
      <c r="H1325" s="17" t="str">
        <f t="shared" si="14"/>
        <v/>
      </c>
      <c r="I1325" s="18">
        <f t="shared" si="9"/>
        <v>30.28666667</v>
      </c>
      <c r="J1325" s="19">
        <f t="shared" si="10"/>
        <v>30.57333333</v>
      </c>
      <c r="K1325" s="19"/>
      <c r="L1325" s="19">
        <f t="shared" si="11"/>
        <v>29.89333333</v>
      </c>
      <c r="M1325" s="19">
        <f t="shared" si="12"/>
        <v>30.96666667</v>
      </c>
      <c r="N1325" s="19">
        <f t="shared" si="13"/>
        <v>29.60666667</v>
      </c>
    </row>
    <row r="1326" ht="24.75" customHeight="1">
      <c r="A1326" s="21" t="s">
        <v>1289</v>
      </c>
      <c r="B1326" s="13">
        <f>IFERROR(__xludf.DUMMYFUNCTION("GOOGLEFINANCE(A1326,""PRICE"")"),1.96)</f>
        <v>1.96</v>
      </c>
      <c r="C1326" s="14">
        <f>IFERROR(__xludf.DUMMYFUNCTION("GOOGLEFINANCE(A1326,""PRICEOPEN"")"),1.9)</f>
        <v>1.9</v>
      </c>
      <c r="D1326" s="14">
        <f>IFERROR(__xludf.DUMMYFUNCTION("GOOGLEFINANCE(A1326,""HIGH"")"),2.09)</f>
        <v>2.09</v>
      </c>
      <c r="E1326" s="14">
        <f>IFERROR(__xludf.DUMMYFUNCTION("GOOGLEFINANCE(A1326,""LOW"")"),1.9)</f>
        <v>1.9</v>
      </c>
      <c r="F1326" s="15" t="str">
        <f t="shared" si="8"/>
        <v>BUY</v>
      </c>
      <c r="G1326" s="16">
        <f>IFERROR(__xludf.DUMMYFUNCTION("GOOGLEFINANCE(A1326,""CLOSEYEST"")"),2.01)</f>
        <v>2.01</v>
      </c>
      <c r="H1326" s="17" t="str">
        <f t="shared" si="14"/>
        <v>GAP DOWN</v>
      </c>
      <c r="I1326" s="18">
        <f t="shared" si="9"/>
        <v>2</v>
      </c>
      <c r="J1326" s="19">
        <f t="shared" si="10"/>
        <v>2.1</v>
      </c>
      <c r="K1326" s="19"/>
      <c r="L1326" s="19">
        <f t="shared" si="11"/>
        <v>1.91</v>
      </c>
      <c r="M1326" s="19">
        <f t="shared" si="12"/>
        <v>2.19</v>
      </c>
      <c r="N1326" s="19">
        <f t="shared" si="13"/>
        <v>1.81</v>
      </c>
    </row>
    <row r="1327" ht="24.75" customHeight="1">
      <c r="A1327" s="21" t="s">
        <v>1290</v>
      </c>
      <c r="B1327" s="13" t="str">
        <f>IFERROR(__xludf.DUMMYFUNCTION("GOOGLEFINANCE(A1327,""PRICE"")"),"#N/A")</f>
        <v>#N/A</v>
      </c>
      <c r="C1327" s="14" t="str">
        <f>IFERROR(__xludf.DUMMYFUNCTION("GOOGLEFINANCE(A1327,""PRICEOPEN"")"),"#N/A")</f>
        <v>#N/A</v>
      </c>
      <c r="D1327" s="14" t="str">
        <f>IFERROR(__xludf.DUMMYFUNCTION("GOOGLEFINANCE(A1327,""HIGH"")"),"#N/A")</f>
        <v>#N/A</v>
      </c>
      <c r="E1327" s="14" t="str">
        <f>IFERROR(__xludf.DUMMYFUNCTION("GOOGLEFINANCE(A1327,""LOW"")"),"#N/A")</f>
        <v>#N/A</v>
      </c>
      <c r="F1327" s="15" t="str">
        <f t="shared" si="8"/>
        <v>#N/A</v>
      </c>
      <c r="G1327" s="16" t="str">
        <f>IFERROR(__xludf.DUMMYFUNCTION("GOOGLEFINANCE(A1327,""CLOSEYEST"")"),"#N/A")</f>
        <v>#N/A</v>
      </c>
      <c r="H1327" s="17" t="str">
        <f t="shared" si="14"/>
        <v>#N/A</v>
      </c>
      <c r="I1327" s="18" t="str">
        <f t="shared" si="9"/>
        <v>#N/A</v>
      </c>
      <c r="J1327" s="19" t="str">
        <f t="shared" si="10"/>
        <v>#N/A</v>
      </c>
      <c r="K1327" s="19"/>
      <c r="L1327" s="19" t="str">
        <f t="shared" si="11"/>
        <v>#N/A</v>
      </c>
      <c r="M1327" s="19" t="str">
        <f t="shared" si="12"/>
        <v>#N/A</v>
      </c>
      <c r="N1327" s="19" t="str">
        <f t="shared" si="13"/>
        <v>#N/A</v>
      </c>
    </row>
    <row r="1328" ht="24.75" customHeight="1">
      <c r="A1328" s="21" t="s">
        <v>1291</v>
      </c>
      <c r="B1328" s="13">
        <f>IFERROR(__xludf.DUMMYFUNCTION("GOOGLEFINANCE(A1328,""PRICE"")"),42.91)</f>
        <v>42.91</v>
      </c>
      <c r="C1328" s="14">
        <f>IFERROR(__xludf.DUMMYFUNCTION("GOOGLEFINANCE(A1328,""PRICEOPEN"")"),39.12)</f>
        <v>39.12</v>
      </c>
      <c r="D1328" s="14">
        <f>IFERROR(__xludf.DUMMYFUNCTION("GOOGLEFINANCE(A1328,""HIGH"")"),42.91)</f>
        <v>42.91</v>
      </c>
      <c r="E1328" s="14">
        <f>IFERROR(__xludf.DUMMYFUNCTION("GOOGLEFINANCE(A1328,""LOW"")"),39.02)</f>
        <v>39.02</v>
      </c>
      <c r="F1328" s="15" t="str">
        <f t="shared" si="8"/>
        <v/>
      </c>
      <c r="G1328" s="16">
        <f>IFERROR(__xludf.DUMMYFUNCTION("GOOGLEFINANCE(A1328,""CLOSEYEST"")"),39.01)</f>
        <v>39.01</v>
      </c>
      <c r="H1328" s="17" t="str">
        <f t="shared" si="14"/>
        <v/>
      </c>
      <c r="I1328" s="18">
        <f t="shared" si="9"/>
        <v>40.31333333</v>
      </c>
      <c r="J1328" s="19">
        <f t="shared" si="10"/>
        <v>41.60666667</v>
      </c>
      <c r="K1328" s="19"/>
      <c r="L1328" s="19">
        <f t="shared" si="11"/>
        <v>37.71666667</v>
      </c>
      <c r="M1328" s="19">
        <f t="shared" si="12"/>
        <v>44.20333333</v>
      </c>
      <c r="N1328" s="19">
        <f t="shared" si="13"/>
        <v>36.42333333</v>
      </c>
    </row>
    <row r="1329" ht="24.75" customHeight="1">
      <c r="A1329" s="21" t="s">
        <v>1292</v>
      </c>
      <c r="B1329" s="13">
        <f>IFERROR(__xludf.DUMMYFUNCTION("GOOGLEFINANCE(A1329,""PRICE"")"),45.1)</f>
        <v>45.1</v>
      </c>
      <c r="C1329" s="14">
        <f>IFERROR(__xludf.DUMMYFUNCTION("GOOGLEFINANCE(A1329,""PRICEOPEN"")"),45.05)</f>
        <v>45.05</v>
      </c>
      <c r="D1329" s="14">
        <f>IFERROR(__xludf.DUMMYFUNCTION("GOOGLEFINANCE(A1329,""HIGH"")"),45.75)</f>
        <v>45.75</v>
      </c>
      <c r="E1329" s="14">
        <f>IFERROR(__xludf.DUMMYFUNCTION("GOOGLEFINANCE(A1329,""LOW"")"),44.06)</f>
        <v>44.06</v>
      </c>
      <c r="F1329" s="15" t="str">
        <f t="shared" si="8"/>
        <v/>
      </c>
      <c r="G1329" s="16">
        <f>IFERROR(__xludf.DUMMYFUNCTION("GOOGLEFINANCE(A1329,""CLOSEYEST"")"),44.82)</f>
        <v>44.82</v>
      </c>
      <c r="H1329" s="17" t="str">
        <f t="shared" si="14"/>
        <v/>
      </c>
      <c r="I1329" s="18">
        <f t="shared" si="9"/>
        <v>44.87666667</v>
      </c>
      <c r="J1329" s="19">
        <f t="shared" si="10"/>
        <v>45.69333333</v>
      </c>
      <c r="K1329" s="19"/>
      <c r="L1329" s="19">
        <f t="shared" si="11"/>
        <v>44.00333333</v>
      </c>
      <c r="M1329" s="19">
        <f t="shared" si="12"/>
        <v>46.56666667</v>
      </c>
      <c r="N1329" s="19">
        <f t="shared" si="13"/>
        <v>43.18666667</v>
      </c>
    </row>
    <row r="1330" ht="24.75" customHeight="1">
      <c r="A1330" s="21" t="s">
        <v>1293</v>
      </c>
      <c r="B1330" s="13">
        <f>IFERROR(__xludf.DUMMYFUNCTION("GOOGLEFINANCE(A1330,""PRICE"")"),1100.0)</f>
        <v>1100</v>
      </c>
      <c r="C1330" s="14">
        <f>IFERROR(__xludf.DUMMYFUNCTION("GOOGLEFINANCE(A1330,""PRICEOPEN"")"),1125.0)</f>
        <v>1125</v>
      </c>
      <c r="D1330" s="14">
        <f>IFERROR(__xludf.DUMMYFUNCTION("GOOGLEFINANCE(A1330,""HIGH"")"),1125.0)</f>
        <v>1125</v>
      </c>
      <c r="E1330" s="14">
        <f>IFERROR(__xludf.DUMMYFUNCTION("GOOGLEFINANCE(A1330,""LOW"")"),1097.3)</f>
        <v>1097.3</v>
      </c>
      <c r="F1330" s="15" t="str">
        <f t="shared" si="8"/>
        <v>SELL</v>
      </c>
      <c r="G1330" s="16">
        <f>IFERROR(__xludf.DUMMYFUNCTION("GOOGLEFINANCE(A1330,""CLOSEYEST"")"),1100.5)</f>
        <v>1100.5</v>
      </c>
      <c r="H1330" s="17" t="str">
        <f t="shared" si="14"/>
        <v>GAP UP</v>
      </c>
      <c r="I1330" s="18">
        <f t="shared" si="9"/>
        <v>1107.6</v>
      </c>
      <c r="J1330" s="19">
        <f t="shared" si="10"/>
        <v>1117.9</v>
      </c>
      <c r="K1330" s="19"/>
      <c r="L1330" s="19">
        <f t="shared" si="11"/>
        <v>1090.2</v>
      </c>
      <c r="M1330" s="19">
        <f t="shared" si="12"/>
        <v>1135.3</v>
      </c>
      <c r="N1330" s="19">
        <f t="shared" si="13"/>
        <v>1079.9</v>
      </c>
    </row>
    <row r="1331" ht="24.75" customHeight="1">
      <c r="A1331" s="21" t="s">
        <v>1294</v>
      </c>
      <c r="B1331" s="13">
        <f>IFERROR(__xludf.DUMMYFUNCTION("GOOGLEFINANCE(A1331,""PRICE"")"),126.5)</f>
        <v>126.5</v>
      </c>
      <c r="C1331" s="14">
        <f>IFERROR(__xludf.DUMMYFUNCTION("GOOGLEFINANCE(A1331,""PRICEOPEN"")"),125.61)</f>
        <v>125.61</v>
      </c>
      <c r="D1331" s="14">
        <f>IFERROR(__xludf.DUMMYFUNCTION("GOOGLEFINANCE(A1331,""HIGH"")"),127.0)</f>
        <v>127</v>
      </c>
      <c r="E1331" s="14">
        <f>IFERROR(__xludf.DUMMYFUNCTION("GOOGLEFINANCE(A1331,""LOW"")"),124.32)</f>
        <v>124.32</v>
      </c>
      <c r="F1331" s="15" t="str">
        <f t="shared" si="8"/>
        <v/>
      </c>
      <c r="G1331" s="16">
        <f>IFERROR(__xludf.DUMMYFUNCTION("GOOGLEFINANCE(A1331,""CLOSEYEST"")"),124.59)</f>
        <v>124.59</v>
      </c>
      <c r="H1331" s="17" t="str">
        <f t="shared" si="14"/>
        <v/>
      </c>
      <c r="I1331" s="18">
        <f t="shared" si="9"/>
        <v>125.3033333</v>
      </c>
      <c r="J1331" s="19">
        <f t="shared" si="10"/>
        <v>126.2866667</v>
      </c>
      <c r="K1331" s="19"/>
      <c r="L1331" s="19">
        <f t="shared" si="11"/>
        <v>123.6066667</v>
      </c>
      <c r="M1331" s="19">
        <f t="shared" si="12"/>
        <v>127.9833333</v>
      </c>
      <c r="N1331" s="19">
        <f t="shared" si="13"/>
        <v>122.6233333</v>
      </c>
    </row>
    <row r="1332" ht="24.75" customHeight="1">
      <c r="A1332" s="21" t="s">
        <v>1295</v>
      </c>
      <c r="B1332" s="13">
        <f>IFERROR(__xludf.DUMMYFUNCTION("GOOGLEFINANCE(A1332,""PRICE"")"),8.12)</f>
        <v>8.12</v>
      </c>
      <c r="C1332" s="14">
        <f>IFERROR(__xludf.DUMMYFUNCTION("GOOGLEFINANCE(A1332,""PRICEOPEN"")"),8.23)</f>
        <v>8.23</v>
      </c>
      <c r="D1332" s="14">
        <f>IFERROR(__xludf.DUMMYFUNCTION("GOOGLEFINANCE(A1332,""HIGH"")"),8.23)</f>
        <v>8.23</v>
      </c>
      <c r="E1332" s="14">
        <f>IFERROR(__xludf.DUMMYFUNCTION("GOOGLEFINANCE(A1332,""LOW"")"),8.05)</f>
        <v>8.05</v>
      </c>
      <c r="F1332" s="15" t="str">
        <f t="shared" si="8"/>
        <v>SELL</v>
      </c>
      <c r="G1332" s="16">
        <f>IFERROR(__xludf.DUMMYFUNCTION("GOOGLEFINANCE(A1332,""CLOSEYEST"")"),8.06)</f>
        <v>8.06</v>
      </c>
      <c r="H1332" s="17" t="str">
        <f t="shared" si="14"/>
        <v>GAP UP</v>
      </c>
      <c r="I1332" s="18">
        <f t="shared" si="9"/>
        <v>8.113333333</v>
      </c>
      <c r="J1332" s="19">
        <f t="shared" si="10"/>
        <v>8.176666667</v>
      </c>
      <c r="K1332" s="19"/>
      <c r="L1332" s="19">
        <f t="shared" si="11"/>
        <v>7.996666667</v>
      </c>
      <c r="M1332" s="19">
        <f t="shared" si="12"/>
        <v>8.293333333</v>
      </c>
      <c r="N1332" s="19">
        <f t="shared" si="13"/>
        <v>7.933333333</v>
      </c>
    </row>
    <row r="1333" ht="24.75" customHeight="1">
      <c r="A1333" s="21" t="s">
        <v>1296</v>
      </c>
      <c r="B1333" s="13">
        <f>IFERROR(__xludf.DUMMYFUNCTION("GOOGLEFINANCE(A1333,""PRICE"")"),20.69)</f>
        <v>20.69</v>
      </c>
      <c r="C1333" s="14">
        <f>IFERROR(__xludf.DUMMYFUNCTION("GOOGLEFINANCE(A1333,""PRICEOPEN"")"),20.79)</f>
        <v>20.79</v>
      </c>
      <c r="D1333" s="14">
        <f>IFERROR(__xludf.DUMMYFUNCTION("GOOGLEFINANCE(A1333,""HIGH"")"),20.79)</f>
        <v>20.79</v>
      </c>
      <c r="E1333" s="14">
        <f>IFERROR(__xludf.DUMMYFUNCTION("GOOGLEFINANCE(A1333,""LOW"")"),20.37)</f>
        <v>20.37</v>
      </c>
      <c r="F1333" s="15" t="str">
        <f t="shared" si="8"/>
        <v>SELL</v>
      </c>
      <c r="G1333" s="16">
        <f>IFERROR(__xludf.DUMMYFUNCTION("GOOGLEFINANCE(A1333,""CLOSEYEST"")"),20.4)</f>
        <v>20.4</v>
      </c>
      <c r="H1333" s="17" t="str">
        <f t="shared" si="14"/>
        <v>GAP UP</v>
      </c>
      <c r="I1333" s="18">
        <f t="shared" si="9"/>
        <v>20.52</v>
      </c>
      <c r="J1333" s="19">
        <f t="shared" si="10"/>
        <v>20.67</v>
      </c>
      <c r="K1333" s="19"/>
      <c r="L1333" s="19">
        <f t="shared" si="11"/>
        <v>20.25</v>
      </c>
      <c r="M1333" s="19">
        <f t="shared" si="12"/>
        <v>20.94</v>
      </c>
      <c r="N1333" s="19">
        <f t="shared" si="13"/>
        <v>20.1</v>
      </c>
    </row>
    <row r="1334" ht="24.75" customHeight="1">
      <c r="A1334" s="21" t="s">
        <v>1297</v>
      </c>
      <c r="B1334" s="13">
        <f>IFERROR(__xludf.DUMMYFUNCTION("GOOGLEFINANCE(A1334,""PRICE"")"),27.8)</f>
        <v>27.8</v>
      </c>
      <c r="C1334" s="14">
        <f>IFERROR(__xludf.DUMMYFUNCTION("GOOGLEFINANCE(A1334,""PRICEOPEN"")"),27.99)</f>
        <v>27.99</v>
      </c>
      <c r="D1334" s="14">
        <f>IFERROR(__xludf.DUMMYFUNCTION("GOOGLEFINANCE(A1334,""HIGH"")"),28.04)</f>
        <v>28.04</v>
      </c>
      <c r="E1334" s="14">
        <f>IFERROR(__xludf.DUMMYFUNCTION("GOOGLEFINANCE(A1334,""LOW"")"),27.37)</f>
        <v>27.37</v>
      </c>
      <c r="F1334" s="15" t="str">
        <f t="shared" si="8"/>
        <v/>
      </c>
      <c r="G1334" s="16">
        <f>IFERROR(__xludf.DUMMYFUNCTION("GOOGLEFINANCE(A1334,""CLOSEYEST"")"),27.92)</f>
        <v>27.92</v>
      </c>
      <c r="H1334" s="17" t="str">
        <f t="shared" si="14"/>
        <v/>
      </c>
      <c r="I1334" s="18">
        <f t="shared" si="9"/>
        <v>27.77666667</v>
      </c>
      <c r="J1334" s="19">
        <f t="shared" si="10"/>
        <v>28.18333333</v>
      </c>
      <c r="K1334" s="19"/>
      <c r="L1334" s="19">
        <f t="shared" si="11"/>
        <v>27.51333333</v>
      </c>
      <c r="M1334" s="19">
        <f t="shared" si="12"/>
        <v>28.44666667</v>
      </c>
      <c r="N1334" s="19">
        <f t="shared" si="13"/>
        <v>27.10666667</v>
      </c>
    </row>
    <row r="1335" ht="24.75" customHeight="1">
      <c r="A1335" s="21" t="s">
        <v>1298</v>
      </c>
      <c r="B1335" s="13">
        <f>IFERROR(__xludf.DUMMYFUNCTION("GOOGLEFINANCE(A1335,""PRICE"")"),217.94)</f>
        <v>217.94</v>
      </c>
      <c r="C1335" s="14">
        <f>IFERROR(__xludf.DUMMYFUNCTION("GOOGLEFINANCE(A1335,""PRICEOPEN"")"),215.99)</f>
        <v>215.99</v>
      </c>
      <c r="D1335" s="14">
        <f>IFERROR(__xludf.DUMMYFUNCTION("GOOGLEFINANCE(A1335,""HIGH"")"),218.89)</f>
        <v>218.89</v>
      </c>
      <c r="E1335" s="14">
        <f>IFERROR(__xludf.DUMMYFUNCTION("GOOGLEFINANCE(A1335,""LOW"")"),214.78)</f>
        <v>214.78</v>
      </c>
      <c r="F1335" s="15" t="str">
        <f t="shared" si="8"/>
        <v/>
      </c>
      <c r="G1335" s="16">
        <f>IFERROR(__xludf.DUMMYFUNCTION("GOOGLEFINANCE(A1335,""CLOSEYEST"")"),213.99)</f>
        <v>213.99</v>
      </c>
      <c r="H1335" s="17" t="str">
        <f t="shared" si="14"/>
        <v/>
      </c>
      <c r="I1335" s="18">
        <f t="shared" si="9"/>
        <v>215.8866667</v>
      </c>
      <c r="J1335" s="19">
        <f t="shared" si="10"/>
        <v>216.9933333</v>
      </c>
      <c r="K1335" s="19"/>
      <c r="L1335" s="19">
        <f t="shared" si="11"/>
        <v>212.8833333</v>
      </c>
      <c r="M1335" s="19">
        <f t="shared" si="12"/>
        <v>219.9966667</v>
      </c>
      <c r="N1335" s="19">
        <f t="shared" si="13"/>
        <v>211.7766667</v>
      </c>
    </row>
    <row r="1336" ht="24.75" customHeight="1">
      <c r="A1336" s="21" t="s">
        <v>1299</v>
      </c>
      <c r="B1336" s="13">
        <f>IFERROR(__xludf.DUMMYFUNCTION("GOOGLEFINANCE(A1336,""PRICE"")"),41.62)</f>
        <v>41.62</v>
      </c>
      <c r="C1336" s="14">
        <f>IFERROR(__xludf.DUMMYFUNCTION("GOOGLEFINANCE(A1336,""PRICEOPEN"")"),41.8)</f>
        <v>41.8</v>
      </c>
      <c r="D1336" s="14">
        <f>IFERROR(__xludf.DUMMYFUNCTION("GOOGLEFINANCE(A1336,""HIGH"")"),42.4)</f>
        <v>42.4</v>
      </c>
      <c r="E1336" s="14">
        <f>IFERROR(__xludf.DUMMYFUNCTION("GOOGLEFINANCE(A1336,""LOW"")"),41.45)</f>
        <v>41.45</v>
      </c>
      <c r="F1336" s="15" t="str">
        <f t="shared" si="8"/>
        <v/>
      </c>
      <c r="G1336" s="16">
        <f>IFERROR(__xludf.DUMMYFUNCTION("GOOGLEFINANCE(A1336,""CLOSEYEST"")"),41.91)</f>
        <v>41.91</v>
      </c>
      <c r="H1336" s="17" t="str">
        <f t="shared" si="14"/>
        <v/>
      </c>
      <c r="I1336" s="18">
        <f t="shared" si="9"/>
        <v>41.92</v>
      </c>
      <c r="J1336" s="19">
        <f t="shared" si="10"/>
        <v>42.39</v>
      </c>
      <c r="K1336" s="19"/>
      <c r="L1336" s="19">
        <f t="shared" si="11"/>
        <v>41.44</v>
      </c>
      <c r="M1336" s="19">
        <f t="shared" si="12"/>
        <v>42.87</v>
      </c>
      <c r="N1336" s="19">
        <f t="shared" si="13"/>
        <v>40.97</v>
      </c>
    </row>
    <row r="1337" ht="24.75" customHeight="1">
      <c r="A1337" s="21" t="s">
        <v>1300</v>
      </c>
      <c r="B1337" s="13">
        <f>IFERROR(__xludf.DUMMYFUNCTION("GOOGLEFINANCE(A1337,""PRICE"")"),7.6)</f>
        <v>7.6</v>
      </c>
      <c r="C1337" s="14">
        <f>IFERROR(__xludf.DUMMYFUNCTION("GOOGLEFINANCE(A1337,""PRICEOPEN"")"),7.35)</f>
        <v>7.35</v>
      </c>
      <c r="D1337" s="14">
        <f>IFERROR(__xludf.DUMMYFUNCTION("GOOGLEFINANCE(A1337,""HIGH"")"),7.72)</f>
        <v>7.72</v>
      </c>
      <c r="E1337" s="14">
        <f>IFERROR(__xludf.DUMMYFUNCTION("GOOGLEFINANCE(A1337,""LOW"")"),7.35)</f>
        <v>7.35</v>
      </c>
      <c r="F1337" s="15" t="str">
        <f t="shared" si="8"/>
        <v>BUY</v>
      </c>
      <c r="G1337" s="16">
        <f>IFERROR(__xludf.DUMMYFUNCTION("GOOGLEFINANCE(A1337,""CLOSEYEST"")"),7.54)</f>
        <v>7.54</v>
      </c>
      <c r="H1337" s="17" t="str">
        <f t="shared" si="14"/>
        <v>GAP DOWN</v>
      </c>
      <c r="I1337" s="18">
        <f t="shared" si="9"/>
        <v>7.536666667</v>
      </c>
      <c r="J1337" s="19">
        <f t="shared" si="10"/>
        <v>7.723333333</v>
      </c>
      <c r="K1337" s="19"/>
      <c r="L1337" s="19">
        <f t="shared" si="11"/>
        <v>7.353333333</v>
      </c>
      <c r="M1337" s="19">
        <f t="shared" si="12"/>
        <v>7.906666667</v>
      </c>
      <c r="N1337" s="19">
        <f t="shared" si="13"/>
        <v>7.166666667</v>
      </c>
    </row>
    <row r="1338" ht="24.75" customHeight="1">
      <c r="A1338" s="21" t="s">
        <v>1301</v>
      </c>
      <c r="B1338" s="13">
        <f>IFERROR(__xludf.DUMMYFUNCTION("GOOGLEFINANCE(A1338,""PRICE"")"),213.59)</f>
        <v>213.59</v>
      </c>
      <c r="C1338" s="14">
        <f>IFERROR(__xludf.DUMMYFUNCTION("GOOGLEFINANCE(A1338,""PRICEOPEN"")"),219.23)</f>
        <v>219.23</v>
      </c>
      <c r="D1338" s="14">
        <f>IFERROR(__xludf.DUMMYFUNCTION("GOOGLEFINANCE(A1338,""HIGH"")"),222.4)</f>
        <v>222.4</v>
      </c>
      <c r="E1338" s="14">
        <f>IFERROR(__xludf.DUMMYFUNCTION("GOOGLEFINANCE(A1338,""LOW"")"),212.05)</f>
        <v>212.05</v>
      </c>
      <c r="F1338" s="15" t="str">
        <f t="shared" si="8"/>
        <v/>
      </c>
      <c r="G1338" s="16">
        <f>IFERROR(__xludf.DUMMYFUNCTION("GOOGLEFINANCE(A1338,""CLOSEYEST"")"),217.3)</f>
        <v>217.3</v>
      </c>
      <c r="H1338" s="17" t="str">
        <f t="shared" si="14"/>
        <v/>
      </c>
      <c r="I1338" s="18">
        <f t="shared" si="9"/>
        <v>217.25</v>
      </c>
      <c r="J1338" s="19">
        <f t="shared" si="10"/>
        <v>222.45</v>
      </c>
      <c r="K1338" s="19"/>
      <c r="L1338" s="19">
        <f t="shared" si="11"/>
        <v>212.1</v>
      </c>
      <c r="M1338" s="19">
        <f t="shared" si="12"/>
        <v>227.6</v>
      </c>
      <c r="N1338" s="19">
        <f t="shared" si="13"/>
        <v>206.9</v>
      </c>
    </row>
    <row r="1339" ht="24.75" customHeight="1">
      <c r="A1339" s="21" t="s">
        <v>1302</v>
      </c>
      <c r="B1339" s="13">
        <f>IFERROR(__xludf.DUMMYFUNCTION("GOOGLEFINANCE(A1339,""PRICE"")"),365.85)</f>
        <v>365.85</v>
      </c>
      <c r="C1339" s="14">
        <f>IFERROR(__xludf.DUMMYFUNCTION("GOOGLEFINANCE(A1339,""PRICEOPEN"")"),365.1)</f>
        <v>365.1</v>
      </c>
      <c r="D1339" s="14">
        <f>IFERROR(__xludf.DUMMYFUNCTION("GOOGLEFINANCE(A1339,""HIGH"")"),367.05)</f>
        <v>367.05</v>
      </c>
      <c r="E1339" s="14">
        <f>IFERROR(__xludf.DUMMYFUNCTION("GOOGLEFINANCE(A1339,""LOW"")"),361.5)</f>
        <v>361.5</v>
      </c>
      <c r="F1339" s="15" t="str">
        <f t="shared" si="8"/>
        <v/>
      </c>
      <c r="G1339" s="16">
        <f>IFERROR(__xludf.DUMMYFUNCTION("GOOGLEFINANCE(A1339,""CLOSEYEST"")"),365.55)</f>
        <v>365.55</v>
      </c>
      <c r="H1339" s="17" t="str">
        <f t="shared" si="14"/>
        <v/>
      </c>
      <c r="I1339" s="18">
        <f t="shared" si="9"/>
        <v>364.7</v>
      </c>
      <c r="J1339" s="19">
        <f t="shared" si="10"/>
        <v>367.9</v>
      </c>
      <c r="K1339" s="19"/>
      <c r="L1339" s="19">
        <f t="shared" si="11"/>
        <v>362.35</v>
      </c>
      <c r="M1339" s="19">
        <f t="shared" si="12"/>
        <v>370.25</v>
      </c>
      <c r="N1339" s="19">
        <f t="shared" si="13"/>
        <v>359.15</v>
      </c>
    </row>
    <row r="1340" ht="24.75" customHeight="1">
      <c r="A1340" s="21" t="s">
        <v>1303</v>
      </c>
      <c r="B1340" s="13">
        <f>IFERROR(__xludf.DUMMYFUNCTION("GOOGLEFINANCE(A1340,""PRICE"")"),181.49)</f>
        <v>181.49</v>
      </c>
      <c r="C1340" s="14">
        <f>IFERROR(__xludf.DUMMYFUNCTION("GOOGLEFINANCE(A1340,""PRICEOPEN"")"),181.0)</f>
        <v>181</v>
      </c>
      <c r="D1340" s="14">
        <f>IFERROR(__xludf.DUMMYFUNCTION("GOOGLEFINANCE(A1340,""HIGH"")"),184.48)</f>
        <v>184.48</v>
      </c>
      <c r="E1340" s="14">
        <f>IFERROR(__xludf.DUMMYFUNCTION("GOOGLEFINANCE(A1340,""LOW"")"),176.0)</f>
        <v>176</v>
      </c>
      <c r="F1340" s="15" t="str">
        <f t="shared" si="8"/>
        <v/>
      </c>
      <c r="G1340" s="16">
        <f>IFERROR(__xludf.DUMMYFUNCTION("GOOGLEFINANCE(A1340,""CLOSEYEST"")"),180.01)</f>
        <v>180.01</v>
      </c>
      <c r="H1340" s="17" t="str">
        <f t="shared" si="14"/>
        <v/>
      </c>
      <c r="I1340" s="18">
        <f t="shared" si="9"/>
        <v>180.1633333</v>
      </c>
      <c r="J1340" s="19">
        <f t="shared" si="10"/>
        <v>184.3266667</v>
      </c>
      <c r="K1340" s="19"/>
      <c r="L1340" s="19">
        <f t="shared" si="11"/>
        <v>175.8466667</v>
      </c>
      <c r="M1340" s="19">
        <f t="shared" si="12"/>
        <v>188.6433333</v>
      </c>
      <c r="N1340" s="19">
        <f t="shared" si="13"/>
        <v>171.6833333</v>
      </c>
    </row>
    <row r="1341" ht="24.75" customHeight="1">
      <c r="A1341" s="21" t="s">
        <v>1304</v>
      </c>
      <c r="B1341" s="13">
        <f>IFERROR(__xludf.DUMMYFUNCTION("GOOGLEFINANCE(A1341,""PRICE"")"),25.36)</f>
        <v>25.36</v>
      </c>
      <c r="C1341" s="14">
        <f>IFERROR(__xludf.DUMMYFUNCTION("GOOGLEFINANCE(A1341,""PRICEOPEN"")"),25.25)</f>
        <v>25.25</v>
      </c>
      <c r="D1341" s="14">
        <f>IFERROR(__xludf.DUMMYFUNCTION("GOOGLEFINANCE(A1341,""HIGH"")"),26.24)</f>
        <v>26.24</v>
      </c>
      <c r="E1341" s="14">
        <f>IFERROR(__xludf.DUMMYFUNCTION("GOOGLEFINANCE(A1341,""LOW"")"),25.06)</f>
        <v>25.06</v>
      </c>
      <c r="F1341" s="15" t="str">
        <f t="shared" si="8"/>
        <v/>
      </c>
      <c r="G1341" s="16">
        <f>IFERROR(__xludf.DUMMYFUNCTION("GOOGLEFINANCE(A1341,""CLOSEYEST"")"),25.7)</f>
        <v>25.7</v>
      </c>
      <c r="H1341" s="17" t="str">
        <f t="shared" si="14"/>
        <v>GAP DOWN</v>
      </c>
      <c r="I1341" s="18">
        <f t="shared" si="9"/>
        <v>25.66666667</v>
      </c>
      <c r="J1341" s="19">
        <f t="shared" si="10"/>
        <v>26.27333333</v>
      </c>
      <c r="K1341" s="19"/>
      <c r="L1341" s="19">
        <f t="shared" si="11"/>
        <v>25.09333333</v>
      </c>
      <c r="M1341" s="19">
        <f t="shared" si="12"/>
        <v>26.84666667</v>
      </c>
      <c r="N1341" s="19">
        <f t="shared" si="13"/>
        <v>24.48666667</v>
      </c>
    </row>
    <row r="1342" ht="24.75" customHeight="1">
      <c r="A1342" s="21" t="s">
        <v>1305</v>
      </c>
      <c r="B1342" s="13" t="str">
        <f>IFERROR(__xludf.DUMMYFUNCTION("GOOGLEFINANCE(A1342,""PRICE"")"),"#N/A")</f>
        <v>#N/A</v>
      </c>
      <c r="C1342" s="14" t="str">
        <f>IFERROR(__xludf.DUMMYFUNCTION("GOOGLEFINANCE(A1342,""PRICEOPEN"")"),"#N/A")</f>
        <v>#N/A</v>
      </c>
      <c r="D1342" s="14" t="str">
        <f>IFERROR(__xludf.DUMMYFUNCTION("GOOGLEFINANCE(A1342,""HIGH"")"),"#N/A")</f>
        <v>#N/A</v>
      </c>
      <c r="E1342" s="14" t="str">
        <f>IFERROR(__xludf.DUMMYFUNCTION("GOOGLEFINANCE(A1342,""LOW"")"),"#N/A")</f>
        <v>#N/A</v>
      </c>
      <c r="F1342" s="15" t="str">
        <f t="shared" si="8"/>
        <v>#N/A</v>
      </c>
      <c r="G1342" s="16" t="str">
        <f>IFERROR(__xludf.DUMMYFUNCTION("GOOGLEFINANCE(A1342,""CLOSEYEST"")"),"#N/A")</f>
        <v>#N/A</v>
      </c>
      <c r="H1342" s="17" t="str">
        <f t="shared" si="14"/>
        <v>#N/A</v>
      </c>
      <c r="I1342" s="18" t="str">
        <f t="shared" si="9"/>
        <v>#N/A</v>
      </c>
      <c r="J1342" s="19" t="str">
        <f t="shared" si="10"/>
        <v>#N/A</v>
      </c>
      <c r="K1342" s="19"/>
      <c r="L1342" s="19" t="str">
        <f t="shared" si="11"/>
        <v>#N/A</v>
      </c>
      <c r="M1342" s="19" t="str">
        <f t="shared" si="12"/>
        <v>#N/A</v>
      </c>
      <c r="N1342" s="19" t="str">
        <f t="shared" si="13"/>
        <v>#N/A</v>
      </c>
    </row>
    <row r="1343" ht="24.75" customHeight="1">
      <c r="A1343" s="21" t="s">
        <v>1306</v>
      </c>
      <c r="B1343" s="13">
        <f>IFERROR(__xludf.DUMMYFUNCTION("GOOGLEFINANCE(A1343,""PRICE"")"),30.37)</f>
        <v>30.37</v>
      </c>
      <c r="C1343" s="14">
        <f>IFERROR(__xludf.DUMMYFUNCTION("GOOGLEFINANCE(A1343,""PRICEOPEN"")"),30.25)</f>
        <v>30.25</v>
      </c>
      <c r="D1343" s="14">
        <f>IFERROR(__xludf.DUMMYFUNCTION("GOOGLEFINANCE(A1343,""HIGH"")"),30.79)</f>
        <v>30.79</v>
      </c>
      <c r="E1343" s="14">
        <f>IFERROR(__xludf.DUMMYFUNCTION("GOOGLEFINANCE(A1343,""LOW"")"),30.25)</f>
        <v>30.25</v>
      </c>
      <c r="F1343" s="15" t="str">
        <f t="shared" si="8"/>
        <v>BUY</v>
      </c>
      <c r="G1343" s="16">
        <f>IFERROR(__xludf.DUMMYFUNCTION("GOOGLEFINANCE(A1343,""CLOSEYEST"")"),30.2)</f>
        <v>30.2</v>
      </c>
      <c r="H1343" s="17" t="str">
        <f t="shared" si="14"/>
        <v/>
      </c>
      <c r="I1343" s="18">
        <f t="shared" si="9"/>
        <v>30.41333333</v>
      </c>
      <c r="J1343" s="19">
        <f t="shared" si="10"/>
        <v>30.57666667</v>
      </c>
      <c r="K1343" s="19"/>
      <c r="L1343" s="19">
        <f t="shared" si="11"/>
        <v>30.03666667</v>
      </c>
      <c r="M1343" s="19">
        <f t="shared" si="12"/>
        <v>30.95333333</v>
      </c>
      <c r="N1343" s="19">
        <f t="shared" si="13"/>
        <v>29.87333333</v>
      </c>
    </row>
    <row r="1344" ht="24.75" customHeight="1">
      <c r="A1344" s="21" t="s">
        <v>1307</v>
      </c>
      <c r="B1344" s="13">
        <f>IFERROR(__xludf.DUMMYFUNCTION("GOOGLEFINANCE(A1344,""PRICE"")"),64.3)</f>
        <v>64.3</v>
      </c>
      <c r="C1344" s="14">
        <f>IFERROR(__xludf.DUMMYFUNCTION("GOOGLEFINANCE(A1344,""PRICEOPEN"")"),63.63)</f>
        <v>63.63</v>
      </c>
      <c r="D1344" s="14">
        <f>IFERROR(__xludf.DUMMYFUNCTION("GOOGLEFINANCE(A1344,""HIGH"")"),64.65)</f>
        <v>64.65</v>
      </c>
      <c r="E1344" s="14">
        <f>IFERROR(__xludf.DUMMYFUNCTION("GOOGLEFINANCE(A1344,""LOW"")"),61.41)</f>
        <v>61.41</v>
      </c>
      <c r="F1344" s="15" t="str">
        <f t="shared" si="8"/>
        <v/>
      </c>
      <c r="G1344" s="16">
        <f>IFERROR(__xludf.DUMMYFUNCTION("GOOGLEFINANCE(A1344,""CLOSEYEST"")"),60.61)</f>
        <v>60.61</v>
      </c>
      <c r="H1344" s="17" t="str">
        <f t="shared" si="14"/>
        <v>GAP UP</v>
      </c>
      <c r="I1344" s="18">
        <f t="shared" si="9"/>
        <v>62.22333333</v>
      </c>
      <c r="J1344" s="19">
        <f t="shared" si="10"/>
        <v>63.03666667</v>
      </c>
      <c r="K1344" s="19"/>
      <c r="L1344" s="19">
        <f t="shared" si="11"/>
        <v>59.79666667</v>
      </c>
      <c r="M1344" s="19">
        <f t="shared" si="12"/>
        <v>65.46333333</v>
      </c>
      <c r="N1344" s="19">
        <f t="shared" si="13"/>
        <v>58.98333333</v>
      </c>
    </row>
    <row r="1345" ht="24.75" customHeight="1">
      <c r="A1345" s="21" t="s">
        <v>1308</v>
      </c>
      <c r="B1345" s="13">
        <f>IFERROR(__xludf.DUMMYFUNCTION("GOOGLEFINANCE(A1345,""PRICE"")"),19.94)</f>
        <v>19.94</v>
      </c>
      <c r="C1345" s="14">
        <f>IFERROR(__xludf.DUMMYFUNCTION("GOOGLEFINANCE(A1345,""PRICEOPEN"")"),19.07)</f>
        <v>19.07</v>
      </c>
      <c r="D1345" s="14">
        <f>IFERROR(__xludf.DUMMYFUNCTION("GOOGLEFINANCE(A1345,""HIGH"")"),20.5)</f>
        <v>20.5</v>
      </c>
      <c r="E1345" s="14">
        <f>IFERROR(__xludf.DUMMYFUNCTION("GOOGLEFINANCE(A1345,""LOW"")"),18.96)</f>
        <v>18.96</v>
      </c>
      <c r="F1345" s="15" t="str">
        <f t="shared" si="8"/>
        <v/>
      </c>
      <c r="G1345" s="16">
        <f>IFERROR(__xludf.DUMMYFUNCTION("GOOGLEFINANCE(A1345,""CLOSEYEST"")"),19.07)</f>
        <v>19.07</v>
      </c>
      <c r="H1345" s="17" t="str">
        <f t="shared" si="14"/>
        <v/>
      </c>
      <c r="I1345" s="18">
        <f t="shared" si="9"/>
        <v>19.51</v>
      </c>
      <c r="J1345" s="19">
        <f t="shared" si="10"/>
        <v>20.06</v>
      </c>
      <c r="K1345" s="19"/>
      <c r="L1345" s="19">
        <f t="shared" si="11"/>
        <v>18.52</v>
      </c>
      <c r="M1345" s="19">
        <f t="shared" si="12"/>
        <v>21.05</v>
      </c>
      <c r="N1345" s="19">
        <f t="shared" si="13"/>
        <v>17.97</v>
      </c>
    </row>
    <row r="1346" ht="24.75" customHeight="1">
      <c r="A1346" s="21" t="s">
        <v>1309</v>
      </c>
      <c r="B1346" s="13">
        <f>IFERROR(__xludf.DUMMYFUNCTION("GOOGLEFINANCE(A1346,""PRICE"")"),206.99)</f>
        <v>206.99</v>
      </c>
      <c r="C1346" s="14">
        <f>IFERROR(__xludf.DUMMYFUNCTION("GOOGLEFINANCE(A1346,""PRICEOPEN"")"),198.11)</f>
        <v>198.11</v>
      </c>
      <c r="D1346" s="14">
        <f>IFERROR(__xludf.DUMMYFUNCTION("GOOGLEFINANCE(A1346,""HIGH"")"),208.0)</f>
        <v>208</v>
      </c>
      <c r="E1346" s="14">
        <f>IFERROR(__xludf.DUMMYFUNCTION("GOOGLEFINANCE(A1346,""LOW"")"),198.11)</f>
        <v>198.11</v>
      </c>
      <c r="F1346" s="15" t="str">
        <f t="shared" si="8"/>
        <v>BUY</v>
      </c>
      <c r="G1346" s="16">
        <f>IFERROR(__xludf.DUMMYFUNCTION("GOOGLEFINANCE(A1346,""CLOSEYEST"")"),200.73)</f>
        <v>200.73</v>
      </c>
      <c r="H1346" s="17" t="str">
        <f t="shared" si="14"/>
        <v>GAP DOWN</v>
      </c>
      <c r="I1346" s="18">
        <f t="shared" si="9"/>
        <v>202.28</v>
      </c>
      <c r="J1346" s="19">
        <f t="shared" si="10"/>
        <v>206.45</v>
      </c>
      <c r="K1346" s="19"/>
      <c r="L1346" s="19">
        <f t="shared" si="11"/>
        <v>196.56</v>
      </c>
      <c r="M1346" s="19">
        <f t="shared" si="12"/>
        <v>212.17</v>
      </c>
      <c r="N1346" s="19">
        <f t="shared" si="13"/>
        <v>192.39</v>
      </c>
    </row>
    <row r="1347" ht="24.75" customHeight="1">
      <c r="A1347" s="21" t="s">
        <v>1310</v>
      </c>
      <c r="B1347" s="13">
        <f>IFERROR(__xludf.DUMMYFUNCTION("GOOGLEFINANCE(A1347,""PRICE"")"),29.77)</f>
        <v>29.77</v>
      </c>
      <c r="C1347" s="14">
        <f>IFERROR(__xludf.DUMMYFUNCTION("GOOGLEFINANCE(A1347,""PRICEOPEN"")"),29.49)</f>
        <v>29.49</v>
      </c>
      <c r="D1347" s="14">
        <f>IFERROR(__xludf.DUMMYFUNCTION("GOOGLEFINANCE(A1347,""HIGH"")"),30.0)</f>
        <v>30</v>
      </c>
      <c r="E1347" s="14">
        <f>IFERROR(__xludf.DUMMYFUNCTION("GOOGLEFINANCE(A1347,""LOW"")"),28.6)</f>
        <v>28.6</v>
      </c>
      <c r="F1347" s="15" t="str">
        <f t="shared" si="8"/>
        <v/>
      </c>
      <c r="G1347" s="16">
        <f>IFERROR(__xludf.DUMMYFUNCTION("GOOGLEFINANCE(A1347,""CLOSEYEST"")"),29.05)</f>
        <v>29.05</v>
      </c>
      <c r="H1347" s="17" t="str">
        <f t="shared" si="14"/>
        <v>GAP UP</v>
      </c>
      <c r="I1347" s="18">
        <f t="shared" si="9"/>
        <v>29.21666667</v>
      </c>
      <c r="J1347" s="19">
        <f t="shared" si="10"/>
        <v>29.83333333</v>
      </c>
      <c r="K1347" s="19"/>
      <c r="L1347" s="19">
        <f t="shared" si="11"/>
        <v>28.43333333</v>
      </c>
      <c r="M1347" s="19">
        <f t="shared" si="12"/>
        <v>30.61666667</v>
      </c>
      <c r="N1347" s="19">
        <f t="shared" si="13"/>
        <v>27.81666667</v>
      </c>
    </row>
    <row r="1348" ht="24.75" customHeight="1">
      <c r="A1348" s="21" t="s">
        <v>1311</v>
      </c>
      <c r="B1348" s="13">
        <f>IFERROR(__xludf.DUMMYFUNCTION("GOOGLEFINANCE(A1348,""PRICE"")"),1191.0)</f>
        <v>1191</v>
      </c>
      <c r="C1348" s="14">
        <f>IFERROR(__xludf.DUMMYFUNCTION("GOOGLEFINANCE(A1348,""PRICEOPEN"")"),1187.1)</f>
        <v>1187.1</v>
      </c>
      <c r="D1348" s="14">
        <f>IFERROR(__xludf.DUMMYFUNCTION("GOOGLEFINANCE(A1348,""HIGH"")"),1202.2)</f>
        <v>1202.2</v>
      </c>
      <c r="E1348" s="14">
        <f>IFERROR(__xludf.DUMMYFUNCTION("GOOGLEFINANCE(A1348,""LOW"")"),1174.2)</f>
        <v>1174.2</v>
      </c>
      <c r="F1348" s="15" t="str">
        <f t="shared" si="8"/>
        <v/>
      </c>
      <c r="G1348" s="16">
        <f>IFERROR(__xludf.DUMMYFUNCTION("GOOGLEFINANCE(A1348,""CLOSEYEST"")"),1187.1)</f>
        <v>1187.1</v>
      </c>
      <c r="H1348" s="17" t="str">
        <f t="shared" si="14"/>
        <v/>
      </c>
      <c r="I1348" s="18">
        <f t="shared" si="9"/>
        <v>1187.833333</v>
      </c>
      <c r="J1348" s="19">
        <f t="shared" si="10"/>
        <v>1201.466667</v>
      </c>
      <c r="K1348" s="19"/>
      <c r="L1348" s="19">
        <f t="shared" si="11"/>
        <v>1173.466667</v>
      </c>
      <c r="M1348" s="19">
        <f t="shared" si="12"/>
        <v>1215.833333</v>
      </c>
      <c r="N1348" s="19">
        <f t="shared" si="13"/>
        <v>1159.833333</v>
      </c>
    </row>
    <row r="1349" ht="24.75" customHeight="1">
      <c r="A1349" s="21" t="s">
        <v>1312</v>
      </c>
      <c r="B1349" s="13">
        <f>IFERROR(__xludf.DUMMYFUNCTION("GOOGLEFINANCE(A1349,""PRICE"")"),9.6)</f>
        <v>9.6</v>
      </c>
      <c r="C1349" s="14">
        <f>IFERROR(__xludf.DUMMYFUNCTION("GOOGLEFINANCE(A1349,""PRICEOPEN"")"),9.55)</f>
        <v>9.55</v>
      </c>
      <c r="D1349" s="14">
        <f>IFERROR(__xludf.DUMMYFUNCTION("GOOGLEFINANCE(A1349,""HIGH"")"),9.69)</f>
        <v>9.69</v>
      </c>
      <c r="E1349" s="14">
        <f>IFERROR(__xludf.DUMMYFUNCTION("GOOGLEFINANCE(A1349,""LOW"")"),9.53)</f>
        <v>9.53</v>
      </c>
      <c r="F1349" s="15" t="str">
        <f t="shared" si="8"/>
        <v/>
      </c>
      <c r="G1349" s="16">
        <f>IFERROR(__xludf.DUMMYFUNCTION("GOOGLEFINANCE(A1349,""CLOSEYEST"")"),9.55)</f>
        <v>9.55</v>
      </c>
      <c r="H1349" s="17" t="str">
        <f t="shared" si="14"/>
        <v/>
      </c>
      <c r="I1349" s="18">
        <f t="shared" si="9"/>
        <v>9.59</v>
      </c>
      <c r="J1349" s="19">
        <f t="shared" si="10"/>
        <v>9.65</v>
      </c>
      <c r="K1349" s="19"/>
      <c r="L1349" s="19">
        <f t="shared" si="11"/>
        <v>9.49</v>
      </c>
      <c r="M1349" s="19">
        <f t="shared" si="12"/>
        <v>9.75</v>
      </c>
      <c r="N1349" s="19">
        <f t="shared" si="13"/>
        <v>9.43</v>
      </c>
    </row>
    <row r="1350" ht="24.75" customHeight="1">
      <c r="A1350" s="21" t="s">
        <v>1313</v>
      </c>
      <c r="B1350" s="13">
        <f>IFERROR(__xludf.DUMMYFUNCTION("GOOGLEFINANCE(A1350,""PRICE"")"),100.77)</f>
        <v>100.77</v>
      </c>
      <c r="C1350" s="14">
        <f>IFERROR(__xludf.DUMMYFUNCTION("GOOGLEFINANCE(A1350,""PRICEOPEN"")"),99.9)</f>
        <v>99.9</v>
      </c>
      <c r="D1350" s="14">
        <f>IFERROR(__xludf.DUMMYFUNCTION("GOOGLEFINANCE(A1350,""HIGH"")"),101.85)</f>
        <v>101.85</v>
      </c>
      <c r="E1350" s="14">
        <f>IFERROR(__xludf.DUMMYFUNCTION("GOOGLEFINANCE(A1350,""LOW"")"),99.0)</f>
        <v>99</v>
      </c>
      <c r="F1350" s="15" t="str">
        <f t="shared" si="8"/>
        <v/>
      </c>
      <c r="G1350" s="16">
        <f>IFERROR(__xludf.DUMMYFUNCTION("GOOGLEFINANCE(A1350,""CLOSEYEST"")"),99.09)</f>
        <v>99.09</v>
      </c>
      <c r="H1350" s="17" t="str">
        <f t="shared" si="14"/>
        <v/>
      </c>
      <c r="I1350" s="18">
        <f t="shared" si="9"/>
        <v>99.98</v>
      </c>
      <c r="J1350" s="19">
        <f t="shared" si="10"/>
        <v>100.96</v>
      </c>
      <c r="K1350" s="19"/>
      <c r="L1350" s="19">
        <f t="shared" si="11"/>
        <v>98.11</v>
      </c>
      <c r="M1350" s="19">
        <f t="shared" si="12"/>
        <v>102.83</v>
      </c>
      <c r="N1350" s="19">
        <f t="shared" si="13"/>
        <v>97.13</v>
      </c>
    </row>
    <row r="1351" ht="24.75" customHeight="1">
      <c r="A1351" s="21" t="s">
        <v>1314</v>
      </c>
      <c r="B1351" s="13">
        <f>IFERROR(__xludf.DUMMYFUNCTION("GOOGLEFINANCE(A1351,""PRICE"")"),38.26)</f>
        <v>38.26</v>
      </c>
      <c r="C1351" s="14">
        <f>IFERROR(__xludf.DUMMYFUNCTION("GOOGLEFINANCE(A1351,""PRICEOPEN"")"),37.79)</f>
        <v>37.79</v>
      </c>
      <c r="D1351" s="14">
        <f>IFERROR(__xludf.DUMMYFUNCTION("GOOGLEFINANCE(A1351,""HIGH"")"),38.37)</f>
        <v>38.37</v>
      </c>
      <c r="E1351" s="14">
        <f>IFERROR(__xludf.DUMMYFUNCTION("GOOGLEFINANCE(A1351,""LOW"")"),37.64)</f>
        <v>37.64</v>
      </c>
      <c r="F1351" s="15" t="str">
        <f t="shared" si="8"/>
        <v/>
      </c>
      <c r="G1351" s="16">
        <f>IFERROR(__xludf.DUMMYFUNCTION("GOOGLEFINANCE(A1351,""CLOSEYEST"")"),37.58)</f>
        <v>37.58</v>
      </c>
      <c r="H1351" s="17" t="str">
        <f t="shared" si="14"/>
        <v/>
      </c>
      <c r="I1351" s="18">
        <f t="shared" si="9"/>
        <v>37.86333333</v>
      </c>
      <c r="J1351" s="19">
        <f t="shared" si="10"/>
        <v>38.08666667</v>
      </c>
      <c r="K1351" s="19"/>
      <c r="L1351" s="19">
        <f t="shared" si="11"/>
        <v>37.35666667</v>
      </c>
      <c r="M1351" s="19">
        <f t="shared" si="12"/>
        <v>38.59333333</v>
      </c>
      <c r="N1351" s="19">
        <f t="shared" si="13"/>
        <v>37.13333333</v>
      </c>
    </row>
    <row r="1352" ht="24.75" customHeight="1">
      <c r="A1352" s="21" t="s">
        <v>1315</v>
      </c>
      <c r="B1352" s="13">
        <f>IFERROR(__xludf.DUMMYFUNCTION("GOOGLEFINANCE(A1352,""PRICE"")"),90.49)</f>
        <v>90.49</v>
      </c>
      <c r="C1352" s="14">
        <f>IFERROR(__xludf.DUMMYFUNCTION("GOOGLEFINANCE(A1352,""PRICEOPEN"")"),91.5)</f>
        <v>91.5</v>
      </c>
      <c r="D1352" s="14">
        <f>IFERROR(__xludf.DUMMYFUNCTION("GOOGLEFINANCE(A1352,""HIGH"")"),91.5)</f>
        <v>91.5</v>
      </c>
      <c r="E1352" s="14">
        <f>IFERROR(__xludf.DUMMYFUNCTION("GOOGLEFINANCE(A1352,""LOW"")"),88.25)</f>
        <v>88.25</v>
      </c>
      <c r="F1352" s="15" t="str">
        <f t="shared" si="8"/>
        <v>SELL</v>
      </c>
      <c r="G1352" s="16">
        <f>IFERROR(__xludf.DUMMYFUNCTION("GOOGLEFINANCE(A1352,""CLOSEYEST"")"),90.84)</f>
        <v>90.84</v>
      </c>
      <c r="H1352" s="17" t="str">
        <f t="shared" si="14"/>
        <v/>
      </c>
      <c r="I1352" s="18">
        <f t="shared" si="9"/>
        <v>90.19666667</v>
      </c>
      <c r="J1352" s="19">
        <f t="shared" si="10"/>
        <v>92.14333333</v>
      </c>
      <c r="K1352" s="19"/>
      <c r="L1352" s="19">
        <f t="shared" si="11"/>
        <v>88.89333333</v>
      </c>
      <c r="M1352" s="19">
        <f t="shared" si="12"/>
        <v>93.44666667</v>
      </c>
      <c r="N1352" s="19">
        <f t="shared" si="13"/>
        <v>86.94666667</v>
      </c>
    </row>
    <row r="1353" ht="24.75" customHeight="1">
      <c r="A1353" s="21" t="s">
        <v>1316</v>
      </c>
      <c r="B1353" s="13">
        <f>IFERROR(__xludf.DUMMYFUNCTION("GOOGLEFINANCE(A1353,""PRICE"")"),9.8)</f>
        <v>9.8</v>
      </c>
      <c r="C1353" s="14">
        <f>IFERROR(__xludf.DUMMYFUNCTION("GOOGLEFINANCE(A1353,""PRICEOPEN"")"),9.88)</f>
        <v>9.88</v>
      </c>
      <c r="D1353" s="14">
        <f>IFERROR(__xludf.DUMMYFUNCTION("GOOGLEFINANCE(A1353,""HIGH"")"),9.94)</f>
        <v>9.94</v>
      </c>
      <c r="E1353" s="14">
        <f>IFERROR(__xludf.DUMMYFUNCTION("GOOGLEFINANCE(A1353,""LOW"")"),9.54)</f>
        <v>9.54</v>
      </c>
      <c r="F1353" s="15" t="str">
        <f t="shared" si="8"/>
        <v/>
      </c>
      <c r="G1353" s="16">
        <f>IFERROR(__xludf.DUMMYFUNCTION("GOOGLEFINANCE(A1353,""CLOSEYEST"")"),9.73)</f>
        <v>9.73</v>
      </c>
      <c r="H1353" s="17" t="str">
        <f t="shared" si="14"/>
        <v>GAP UP</v>
      </c>
      <c r="I1353" s="18">
        <f t="shared" si="9"/>
        <v>9.736666667</v>
      </c>
      <c r="J1353" s="19">
        <f t="shared" si="10"/>
        <v>9.933333333</v>
      </c>
      <c r="K1353" s="19"/>
      <c r="L1353" s="19">
        <f t="shared" si="11"/>
        <v>9.533333333</v>
      </c>
      <c r="M1353" s="19">
        <f t="shared" si="12"/>
        <v>10.13666667</v>
      </c>
      <c r="N1353" s="19">
        <f t="shared" si="13"/>
        <v>9.336666667</v>
      </c>
    </row>
    <row r="1354" ht="24.75" customHeight="1">
      <c r="A1354" s="21" t="s">
        <v>1317</v>
      </c>
      <c r="B1354" s="13">
        <f>IFERROR(__xludf.DUMMYFUNCTION("GOOGLEFINANCE(A1354,""PRICE"")"),37.55)</f>
        <v>37.55</v>
      </c>
      <c r="C1354" s="14">
        <f>IFERROR(__xludf.DUMMYFUNCTION("GOOGLEFINANCE(A1354,""PRICEOPEN"")"),32.78)</f>
        <v>32.78</v>
      </c>
      <c r="D1354" s="14">
        <f>IFERROR(__xludf.DUMMYFUNCTION("GOOGLEFINANCE(A1354,""HIGH"")"),37.8)</f>
        <v>37.8</v>
      </c>
      <c r="E1354" s="14">
        <f>IFERROR(__xludf.DUMMYFUNCTION("GOOGLEFINANCE(A1354,""LOW"")"),32.78)</f>
        <v>32.78</v>
      </c>
      <c r="F1354" s="15" t="str">
        <f t="shared" si="8"/>
        <v>BUY</v>
      </c>
      <c r="G1354" s="16">
        <f>IFERROR(__xludf.DUMMYFUNCTION("GOOGLEFINANCE(A1354,""CLOSEYEST"")"),32.99)</f>
        <v>32.99</v>
      </c>
      <c r="H1354" s="17" t="str">
        <f t="shared" si="14"/>
        <v/>
      </c>
      <c r="I1354" s="18">
        <f t="shared" si="9"/>
        <v>34.52333333</v>
      </c>
      <c r="J1354" s="19">
        <f t="shared" si="10"/>
        <v>36.26666667</v>
      </c>
      <c r="K1354" s="19"/>
      <c r="L1354" s="19">
        <f t="shared" si="11"/>
        <v>31.24666667</v>
      </c>
      <c r="M1354" s="19">
        <f t="shared" si="12"/>
        <v>39.54333333</v>
      </c>
      <c r="N1354" s="19">
        <f t="shared" si="13"/>
        <v>29.50333333</v>
      </c>
    </row>
    <row r="1355" ht="24.75" customHeight="1">
      <c r="A1355" s="21" t="s">
        <v>1318</v>
      </c>
      <c r="B1355" s="13">
        <f>IFERROR(__xludf.DUMMYFUNCTION("GOOGLEFINANCE(A1355,""PRICE"")"),12.99)</f>
        <v>12.99</v>
      </c>
      <c r="C1355" s="14">
        <f>IFERROR(__xludf.DUMMYFUNCTION("GOOGLEFINANCE(A1355,""PRICEOPEN"")"),12.95)</f>
        <v>12.95</v>
      </c>
      <c r="D1355" s="14">
        <f>IFERROR(__xludf.DUMMYFUNCTION("GOOGLEFINANCE(A1355,""HIGH"")"),13.05)</f>
        <v>13.05</v>
      </c>
      <c r="E1355" s="14">
        <f>IFERROR(__xludf.DUMMYFUNCTION("GOOGLEFINANCE(A1355,""LOW"")"),12.95)</f>
        <v>12.95</v>
      </c>
      <c r="F1355" s="15" t="str">
        <f t="shared" si="8"/>
        <v>BUY</v>
      </c>
      <c r="G1355" s="16">
        <f>IFERROR(__xludf.DUMMYFUNCTION("GOOGLEFINANCE(A1355,""CLOSEYEST"")"),12.98)</f>
        <v>12.98</v>
      </c>
      <c r="H1355" s="17" t="str">
        <f t="shared" si="14"/>
        <v/>
      </c>
      <c r="I1355" s="18">
        <f t="shared" si="9"/>
        <v>12.99333333</v>
      </c>
      <c r="J1355" s="19">
        <f t="shared" si="10"/>
        <v>13.03666667</v>
      </c>
      <c r="K1355" s="19"/>
      <c r="L1355" s="19">
        <f t="shared" si="11"/>
        <v>12.93666667</v>
      </c>
      <c r="M1355" s="19">
        <f t="shared" si="12"/>
        <v>13.09333333</v>
      </c>
      <c r="N1355" s="19">
        <f t="shared" si="13"/>
        <v>12.89333333</v>
      </c>
    </row>
    <row r="1356" ht="24.75" customHeight="1">
      <c r="A1356" s="21" t="s">
        <v>1319</v>
      </c>
      <c r="B1356" s="13">
        <f>IFERROR(__xludf.DUMMYFUNCTION("GOOGLEFINANCE(A1356,""PRICE"")"),96.22)</f>
        <v>96.22</v>
      </c>
      <c r="C1356" s="14">
        <f>IFERROR(__xludf.DUMMYFUNCTION("GOOGLEFINANCE(A1356,""PRICEOPEN"")"),95.25)</f>
        <v>95.25</v>
      </c>
      <c r="D1356" s="14">
        <f>IFERROR(__xludf.DUMMYFUNCTION("GOOGLEFINANCE(A1356,""HIGH"")"),98.5)</f>
        <v>98.5</v>
      </c>
      <c r="E1356" s="14">
        <f>IFERROR(__xludf.DUMMYFUNCTION("GOOGLEFINANCE(A1356,""LOW"")"),95.25)</f>
        <v>95.25</v>
      </c>
      <c r="F1356" s="15" t="str">
        <f t="shared" si="8"/>
        <v>BUY</v>
      </c>
      <c r="G1356" s="16">
        <f>IFERROR(__xludf.DUMMYFUNCTION("GOOGLEFINANCE(A1356,""CLOSEYEST"")"),96.67)</f>
        <v>96.67</v>
      </c>
      <c r="H1356" s="17" t="str">
        <f t="shared" si="14"/>
        <v>GAP DOWN</v>
      </c>
      <c r="I1356" s="18">
        <f t="shared" si="9"/>
        <v>96.80666667</v>
      </c>
      <c r="J1356" s="19">
        <f t="shared" si="10"/>
        <v>98.36333333</v>
      </c>
      <c r="K1356" s="19"/>
      <c r="L1356" s="19">
        <f t="shared" si="11"/>
        <v>95.11333333</v>
      </c>
      <c r="M1356" s="19">
        <f t="shared" si="12"/>
        <v>100.0566667</v>
      </c>
      <c r="N1356" s="19">
        <f t="shared" si="13"/>
        <v>93.55666667</v>
      </c>
    </row>
    <row r="1357" ht="24.75" customHeight="1">
      <c r="A1357" s="21" t="s">
        <v>1320</v>
      </c>
      <c r="B1357" s="13">
        <f>IFERROR(__xludf.DUMMYFUNCTION("GOOGLEFINANCE(A1357,""PRICE"")"),317.8)</f>
        <v>317.8</v>
      </c>
      <c r="C1357" s="14">
        <f>IFERROR(__xludf.DUMMYFUNCTION("GOOGLEFINANCE(A1357,""PRICEOPEN"")"),310.7)</f>
        <v>310.7</v>
      </c>
      <c r="D1357" s="14">
        <f>IFERROR(__xludf.DUMMYFUNCTION("GOOGLEFINANCE(A1357,""HIGH"")"),317.9)</f>
        <v>317.9</v>
      </c>
      <c r="E1357" s="14">
        <f>IFERROR(__xludf.DUMMYFUNCTION("GOOGLEFINANCE(A1357,""LOW"")"),303.0)</f>
        <v>303</v>
      </c>
      <c r="F1357" s="15" t="str">
        <f t="shared" si="8"/>
        <v/>
      </c>
      <c r="G1357" s="16">
        <f>IFERROR(__xludf.DUMMYFUNCTION("GOOGLEFINANCE(A1357,""CLOSEYEST"")"),318.65)</f>
        <v>318.65</v>
      </c>
      <c r="H1357" s="17" t="str">
        <f t="shared" si="14"/>
        <v>GAP DOWN</v>
      </c>
      <c r="I1357" s="18">
        <f t="shared" si="9"/>
        <v>313.1833333</v>
      </c>
      <c r="J1357" s="19">
        <f t="shared" si="10"/>
        <v>323.3666667</v>
      </c>
      <c r="K1357" s="19"/>
      <c r="L1357" s="19">
        <f t="shared" si="11"/>
        <v>308.4666667</v>
      </c>
      <c r="M1357" s="19">
        <f t="shared" si="12"/>
        <v>328.0833333</v>
      </c>
      <c r="N1357" s="19">
        <f t="shared" si="13"/>
        <v>298.2833333</v>
      </c>
    </row>
    <row r="1358" ht="24.75" customHeight="1">
      <c r="A1358" s="21" t="s">
        <v>1321</v>
      </c>
      <c r="B1358" s="13" t="str">
        <f>IFERROR(__xludf.DUMMYFUNCTION("GOOGLEFINANCE(A1358,""PRICE"")"),"#N/A")</f>
        <v>#N/A</v>
      </c>
      <c r="C1358" s="14" t="str">
        <f>IFERROR(__xludf.DUMMYFUNCTION("GOOGLEFINANCE(A1358,""PRICEOPEN"")"),"#N/A")</f>
        <v>#N/A</v>
      </c>
      <c r="D1358" s="14" t="str">
        <f>IFERROR(__xludf.DUMMYFUNCTION("GOOGLEFINANCE(A1358,""HIGH"")"),"#N/A")</f>
        <v>#N/A</v>
      </c>
      <c r="E1358" s="14" t="str">
        <f>IFERROR(__xludf.DUMMYFUNCTION("GOOGLEFINANCE(A1358,""LOW"")"),"#N/A")</f>
        <v>#N/A</v>
      </c>
      <c r="F1358" s="15" t="str">
        <f t="shared" si="8"/>
        <v>#N/A</v>
      </c>
      <c r="G1358" s="16" t="str">
        <f>IFERROR(__xludf.DUMMYFUNCTION("GOOGLEFINANCE(A1358,""CLOSEYEST"")"),"#N/A")</f>
        <v>#N/A</v>
      </c>
      <c r="H1358" s="17" t="str">
        <f t="shared" si="14"/>
        <v>#N/A</v>
      </c>
      <c r="I1358" s="18" t="str">
        <f t="shared" si="9"/>
        <v>#N/A</v>
      </c>
      <c r="J1358" s="19" t="str">
        <f t="shared" si="10"/>
        <v>#N/A</v>
      </c>
      <c r="K1358" s="19"/>
      <c r="L1358" s="19" t="str">
        <f t="shared" si="11"/>
        <v>#N/A</v>
      </c>
      <c r="M1358" s="19" t="str">
        <f t="shared" si="12"/>
        <v>#N/A</v>
      </c>
      <c r="N1358" s="19" t="str">
        <f t="shared" si="13"/>
        <v>#N/A</v>
      </c>
    </row>
    <row r="1359" ht="24.75" customHeight="1">
      <c r="A1359" s="21" t="s">
        <v>1322</v>
      </c>
      <c r="B1359" s="13">
        <f>IFERROR(__xludf.DUMMYFUNCTION("GOOGLEFINANCE(A1359,""PRICE"")"),582.0)</f>
        <v>582</v>
      </c>
      <c r="C1359" s="14">
        <f>IFERROR(__xludf.DUMMYFUNCTION("GOOGLEFINANCE(A1359,""PRICEOPEN"")"),585.0)</f>
        <v>585</v>
      </c>
      <c r="D1359" s="14">
        <f>IFERROR(__xludf.DUMMYFUNCTION("GOOGLEFINANCE(A1359,""HIGH"")"),595.0)</f>
        <v>595</v>
      </c>
      <c r="E1359" s="14">
        <f>IFERROR(__xludf.DUMMYFUNCTION("GOOGLEFINANCE(A1359,""LOW"")"),582.0)</f>
        <v>582</v>
      </c>
      <c r="F1359" s="15" t="str">
        <f t="shared" si="8"/>
        <v/>
      </c>
      <c r="G1359" s="16">
        <f>IFERROR(__xludf.DUMMYFUNCTION("GOOGLEFINANCE(A1359,""CLOSEYEST"")"),587.4)</f>
        <v>587.4</v>
      </c>
      <c r="H1359" s="17" t="str">
        <f t="shared" si="14"/>
        <v/>
      </c>
      <c r="I1359" s="18">
        <f t="shared" si="9"/>
        <v>588.1333333</v>
      </c>
      <c r="J1359" s="19">
        <f t="shared" si="10"/>
        <v>594.2666667</v>
      </c>
      <c r="K1359" s="19"/>
      <c r="L1359" s="19">
        <f t="shared" si="11"/>
        <v>581.2666667</v>
      </c>
      <c r="M1359" s="19">
        <f t="shared" si="12"/>
        <v>601.1333333</v>
      </c>
      <c r="N1359" s="19">
        <f t="shared" si="13"/>
        <v>575.1333333</v>
      </c>
    </row>
    <row r="1360" ht="24.75" customHeight="1">
      <c r="A1360" s="21" t="s">
        <v>1323</v>
      </c>
      <c r="B1360" s="13">
        <f>IFERROR(__xludf.DUMMYFUNCTION("GOOGLEFINANCE(A1360,""PRICE"")"),59.72)</f>
        <v>59.72</v>
      </c>
      <c r="C1360" s="14">
        <f>IFERROR(__xludf.DUMMYFUNCTION("GOOGLEFINANCE(A1360,""PRICEOPEN"")"),59.71)</f>
        <v>59.71</v>
      </c>
      <c r="D1360" s="14">
        <f>IFERROR(__xludf.DUMMYFUNCTION("GOOGLEFINANCE(A1360,""HIGH"")"),61.5)</f>
        <v>61.5</v>
      </c>
      <c r="E1360" s="14">
        <f>IFERROR(__xludf.DUMMYFUNCTION("GOOGLEFINANCE(A1360,""LOW"")"),59.01)</f>
        <v>59.01</v>
      </c>
      <c r="F1360" s="15" t="str">
        <f t="shared" si="8"/>
        <v/>
      </c>
      <c r="G1360" s="16">
        <f>IFERROR(__xludf.DUMMYFUNCTION("GOOGLEFINANCE(A1360,""CLOSEYEST"")"),61.22)</f>
        <v>61.22</v>
      </c>
      <c r="H1360" s="17" t="str">
        <f t="shared" si="14"/>
        <v>GAP DOWN</v>
      </c>
      <c r="I1360" s="18">
        <f t="shared" si="9"/>
        <v>60.57666667</v>
      </c>
      <c r="J1360" s="19">
        <f t="shared" si="10"/>
        <v>62.14333333</v>
      </c>
      <c r="K1360" s="19"/>
      <c r="L1360" s="19">
        <f t="shared" si="11"/>
        <v>59.65333333</v>
      </c>
      <c r="M1360" s="19">
        <f t="shared" si="12"/>
        <v>63.06666667</v>
      </c>
      <c r="N1360" s="19">
        <f t="shared" si="13"/>
        <v>58.08666667</v>
      </c>
    </row>
    <row r="1361" ht="24.75" customHeight="1">
      <c r="A1361" s="21" t="s">
        <v>1324</v>
      </c>
      <c r="B1361" s="13">
        <f>IFERROR(__xludf.DUMMYFUNCTION("GOOGLEFINANCE(A1361,""PRICE"")"),348.4)</f>
        <v>348.4</v>
      </c>
      <c r="C1361" s="14">
        <f>IFERROR(__xludf.DUMMYFUNCTION("GOOGLEFINANCE(A1361,""PRICEOPEN"")"),336.95)</f>
        <v>336.95</v>
      </c>
      <c r="D1361" s="14">
        <f>IFERROR(__xludf.DUMMYFUNCTION("GOOGLEFINANCE(A1361,""HIGH"")"),348.5)</f>
        <v>348.5</v>
      </c>
      <c r="E1361" s="14">
        <f>IFERROR(__xludf.DUMMYFUNCTION("GOOGLEFINANCE(A1361,""LOW"")"),333.3)</f>
        <v>333.3</v>
      </c>
      <c r="F1361" s="15" t="str">
        <f t="shared" si="8"/>
        <v/>
      </c>
      <c r="G1361" s="16">
        <f>IFERROR(__xludf.DUMMYFUNCTION("GOOGLEFINANCE(A1361,""CLOSEYEST"")"),333.0)</f>
        <v>333</v>
      </c>
      <c r="H1361" s="17" t="str">
        <f t="shared" si="14"/>
        <v>GAP UP</v>
      </c>
      <c r="I1361" s="18">
        <f t="shared" si="9"/>
        <v>338.2666667</v>
      </c>
      <c r="J1361" s="19">
        <f t="shared" si="10"/>
        <v>343.2333333</v>
      </c>
      <c r="K1361" s="19"/>
      <c r="L1361" s="19">
        <f t="shared" si="11"/>
        <v>328.0333333</v>
      </c>
      <c r="M1361" s="19">
        <f t="shared" si="12"/>
        <v>353.4666667</v>
      </c>
      <c r="N1361" s="19">
        <f t="shared" si="13"/>
        <v>323.0666667</v>
      </c>
    </row>
    <row r="1362" ht="24.75" customHeight="1">
      <c r="A1362" s="21" t="s">
        <v>1325</v>
      </c>
      <c r="B1362" s="13">
        <f>IFERROR(__xludf.DUMMYFUNCTION("GOOGLEFINANCE(A1362,""PRICE"")"),1.73)</f>
        <v>1.73</v>
      </c>
      <c r="C1362" s="14">
        <f>IFERROR(__xludf.DUMMYFUNCTION("GOOGLEFINANCE(A1362,""PRICEOPEN"")"),1.67)</f>
        <v>1.67</v>
      </c>
      <c r="D1362" s="14">
        <f>IFERROR(__xludf.DUMMYFUNCTION("GOOGLEFINANCE(A1362,""HIGH"")"),1.73)</f>
        <v>1.73</v>
      </c>
      <c r="E1362" s="14">
        <f>IFERROR(__xludf.DUMMYFUNCTION("GOOGLEFINANCE(A1362,""LOW"")"),1.65)</f>
        <v>1.65</v>
      </c>
      <c r="F1362" s="15" t="str">
        <f t="shared" si="8"/>
        <v/>
      </c>
      <c r="G1362" s="16">
        <f>IFERROR(__xludf.DUMMYFUNCTION("GOOGLEFINANCE(A1362,""CLOSEYEST"")"),1.7)</f>
        <v>1.7</v>
      </c>
      <c r="H1362" s="17" t="str">
        <f t="shared" si="14"/>
        <v>GAP DOWN</v>
      </c>
      <c r="I1362" s="18">
        <f t="shared" si="9"/>
        <v>1.693333333</v>
      </c>
      <c r="J1362" s="19">
        <f t="shared" si="10"/>
        <v>1.736666667</v>
      </c>
      <c r="K1362" s="19"/>
      <c r="L1362" s="19">
        <f t="shared" si="11"/>
        <v>1.656666667</v>
      </c>
      <c r="M1362" s="19">
        <f t="shared" si="12"/>
        <v>1.773333333</v>
      </c>
      <c r="N1362" s="19">
        <f t="shared" si="13"/>
        <v>1.613333333</v>
      </c>
    </row>
    <row r="1363" ht="24.75" customHeight="1">
      <c r="A1363" s="21" t="s">
        <v>1326</v>
      </c>
      <c r="B1363" s="13">
        <f>IFERROR(__xludf.DUMMYFUNCTION("GOOGLEFINANCE(A1363,""PRICE"")"),1.94)</f>
        <v>1.94</v>
      </c>
      <c r="C1363" s="14">
        <f>IFERROR(__xludf.DUMMYFUNCTION("GOOGLEFINANCE(A1363,""PRICEOPEN"")"),1.92)</f>
        <v>1.92</v>
      </c>
      <c r="D1363" s="14">
        <f>IFERROR(__xludf.DUMMYFUNCTION("GOOGLEFINANCE(A1363,""HIGH"")"),1.95)</f>
        <v>1.95</v>
      </c>
      <c r="E1363" s="14">
        <f>IFERROR(__xludf.DUMMYFUNCTION("GOOGLEFINANCE(A1363,""LOW"")"),1.9)</f>
        <v>1.9</v>
      </c>
      <c r="F1363" s="15" t="str">
        <f t="shared" si="8"/>
        <v/>
      </c>
      <c r="G1363" s="16">
        <f>IFERROR(__xludf.DUMMYFUNCTION("GOOGLEFINANCE(A1363,""CLOSEYEST"")"),1.91)</f>
        <v>1.91</v>
      </c>
      <c r="H1363" s="17" t="str">
        <f t="shared" si="14"/>
        <v/>
      </c>
      <c r="I1363" s="18">
        <f t="shared" si="9"/>
        <v>1.92</v>
      </c>
      <c r="J1363" s="19">
        <f t="shared" si="10"/>
        <v>1.94</v>
      </c>
      <c r="K1363" s="19"/>
      <c r="L1363" s="19">
        <f t="shared" si="11"/>
        <v>1.89</v>
      </c>
      <c r="M1363" s="19">
        <f t="shared" si="12"/>
        <v>1.97</v>
      </c>
      <c r="N1363" s="19">
        <f t="shared" si="13"/>
        <v>1.87</v>
      </c>
    </row>
    <row r="1364" ht="24.75" customHeight="1">
      <c r="A1364" s="21" t="s">
        <v>1327</v>
      </c>
      <c r="B1364" s="13">
        <f>IFERROR(__xludf.DUMMYFUNCTION("GOOGLEFINANCE(A1364,""PRICE"")"),294.0)</f>
        <v>294</v>
      </c>
      <c r="C1364" s="14">
        <f>IFERROR(__xludf.DUMMYFUNCTION("GOOGLEFINANCE(A1364,""PRICEOPEN"")"),302.95)</f>
        <v>302.95</v>
      </c>
      <c r="D1364" s="14">
        <f>IFERROR(__xludf.DUMMYFUNCTION("GOOGLEFINANCE(A1364,""HIGH"")"),302.95)</f>
        <v>302.95</v>
      </c>
      <c r="E1364" s="14">
        <f>IFERROR(__xludf.DUMMYFUNCTION("GOOGLEFINANCE(A1364,""LOW"")"),292.4)</f>
        <v>292.4</v>
      </c>
      <c r="F1364" s="15" t="str">
        <f t="shared" si="8"/>
        <v>SELL</v>
      </c>
      <c r="G1364" s="16">
        <f>IFERROR(__xludf.DUMMYFUNCTION("GOOGLEFINANCE(A1364,""CLOSEYEST"")"),299.95)</f>
        <v>299.95</v>
      </c>
      <c r="H1364" s="17" t="str">
        <f t="shared" si="14"/>
        <v>GAP UP</v>
      </c>
      <c r="I1364" s="18">
        <f t="shared" si="9"/>
        <v>298.4333333</v>
      </c>
      <c r="J1364" s="19">
        <f t="shared" si="10"/>
        <v>304.4666667</v>
      </c>
      <c r="K1364" s="19"/>
      <c r="L1364" s="19">
        <f t="shared" si="11"/>
        <v>293.9166667</v>
      </c>
      <c r="M1364" s="19">
        <f t="shared" si="12"/>
        <v>308.9833333</v>
      </c>
      <c r="N1364" s="19">
        <f t="shared" si="13"/>
        <v>287.8833333</v>
      </c>
    </row>
    <row r="1365" ht="24.75" customHeight="1">
      <c r="A1365" s="21" t="s">
        <v>1328</v>
      </c>
      <c r="B1365" s="13">
        <f>IFERROR(__xludf.DUMMYFUNCTION("GOOGLEFINANCE(A1365,""PRICE"")"),40.22)</f>
        <v>40.22</v>
      </c>
      <c r="C1365" s="14">
        <f>IFERROR(__xludf.DUMMYFUNCTION("GOOGLEFINANCE(A1365,""PRICEOPEN"")"),40.3)</f>
        <v>40.3</v>
      </c>
      <c r="D1365" s="14">
        <f>IFERROR(__xludf.DUMMYFUNCTION("GOOGLEFINANCE(A1365,""HIGH"")"),40.62)</f>
        <v>40.62</v>
      </c>
      <c r="E1365" s="14">
        <f>IFERROR(__xludf.DUMMYFUNCTION("GOOGLEFINANCE(A1365,""LOW"")"),40.08)</f>
        <v>40.08</v>
      </c>
      <c r="F1365" s="15" t="str">
        <f t="shared" si="8"/>
        <v/>
      </c>
      <c r="G1365" s="16">
        <f>IFERROR(__xludf.DUMMYFUNCTION("GOOGLEFINANCE(A1365,""CLOSEYEST"")"),40.3)</f>
        <v>40.3</v>
      </c>
      <c r="H1365" s="17" t="str">
        <f t="shared" si="14"/>
        <v/>
      </c>
      <c r="I1365" s="18">
        <f t="shared" si="9"/>
        <v>40.33333333</v>
      </c>
      <c r="J1365" s="19">
        <f t="shared" si="10"/>
        <v>40.58666667</v>
      </c>
      <c r="K1365" s="19"/>
      <c r="L1365" s="19">
        <f t="shared" si="11"/>
        <v>40.04666667</v>
      </c>
      <c r="M1365" s="19">
        <f t="shared" si="12"/>
        <v>40.87333333</v>
      </c>
      <c r="N1365" s="19">
        <f t="shared" si="13"/>
        <v>39.79333333</v>
      </c>
    </row>
    <row r="1366" ht="24.75" customHeight="1">
      <c r="A1366" s="21" t="s">
        <v>1329</v>
      </c>
      <c r="B1366" s="13">
        <f>IFERROR(__xludf.DUMMYFUNCTION("GOOGLEFINANCE(A1366,""PRICE"")"),485.5)</f>
        <v>485.5</v>
      </c>
      <c r="C1366" s="14">
        <f>IFERROR(__xludf.DUMMYFUNCTION("GOOGLEFINANCE(A1366,""PRICEOPEN"")"),468.75)</f>
        <v>468.75</v>
      </c>
      <c r="D1366" s="14">
        <f>IFERROR(__xludf.DUMMYFUNCTION("GOOGLEFINANCE(A1366,""HIGH"")"),492.0)</f>
        <v>492</v>
      </c>
      <c r="E1366" s="14">
        <f>IFERROR(__xludf.DUMMYFUNCTION("GOOGLEFINANCE(A1366,""LOW"")"),468.75)</f>
        <v>468.75</v>
      </c>
      <c r="F1366" s="15" t="str">
        <f t="shared" si="8"/>
        <v>BUY</v>
      </c>
      <c r="G1366" s="16">
        <f>IFERROR(__xludf.DUMMYFUNCTION("GOOGLEFINANCE(A1366,""CLOSEYEST"")"),468.7)</f>
        <v>468.7</v>
      </c>
      <c r="H1366" s="17" t="str">
        <f t="shared" si="14"/>
        <v/>
      </c>
      <c r="I1366" s="18">
        <f t="shared" si="9"/>
        <v>476.4833333</v>
      </c>
      <c r="J1366" s="19">
        <f t="shared" si="10"/>
        <v>484.2166667</v>
      </c>
      <c r="K1366" s="19"/>
      <c r="L1366" s="19">
        <f t="shared" si="11"/>
        <v>460.9666667</v>
      </c>
      <c r="M1366" s="19">
        <f t="shared" si="12"/>
        <v>499.7333333</v>
      </c>
      <c r="N1366" s="19">
        <f t="shared" si="13"/>
        <v>453.2333333</v>
      </c>
    </row>
    <row r="1367" ht="24.75" customHeight="1">
      <c r="A1367" s="21" t="s">
        <v>1330</v>
      </c>
      <c r="B1367" s="13">
        <f>IFERROR(__xludf.DUMMYFUNCTION("GOOGLEFINANCE(A1367,""PRICE"")"),8.2)</f>
        <v>8.2</v>
      </c>
      <c r="C1367" s="14">
        <f>IFERROR(__xludf.DUMMYFUNCTION("GOOGLEFINANCE(A1367,""PRICEOPEN"")"),8.24)</f>
        <v>8.24</v>
      </c>
      <c r="D1367" s="14">
        <f>IFERROR(__xludf.DUMMYFUNCTION("GOOGLEFINANCE(A1367,""HIGH"")"),8.25)</f>
        <v>8.25</v>
      </c>
      <c r="E1367" s="14">
        <f>IFERROR(__xludf.DUMMYFUNCTION("GOOGLEFINANCE(A1367,""LOW"")"),8.14)</f>
        <v>8.14</v>
      </c>
      <c r="F1367" s="15" t="str">
        <f t="shared" si="8"/>
        <v/>
      </c>
      <c r="G1367" s="16">
        <f>IFERROR(__xludf.DUMMYFUNCTION("GOOGLEFINANCE(A1367,""CLOSEYEST"")"),8.22)</f>
        <v>8.22</v>
      </c>
      <c r="H1367" s="17" t="str">
        <f t="shared" si="14"/>
        <v/>
      </c>
      <c r="I1367" s="18">
        <f t="shared" si="9"/>
        <v>8.203333333</v>
      </c>
      <c r="J1367" s="19">
        <f t="shared" si="10"/>
        <v>8.266666667</v>
      </c>
      <c r="K1367" s="19"/>
      <c r="L1367" s="19">
        <f t="shared" si="11"/>
        <v>8.156666667</v>
      </c>
      <c r="M1367" s="19">
        <f t="shared" si="12"/>
        <v>8.313333333</v>
      </c>
      <c r="N1367" s="19">
        <f t="shared" si="13"/>
        <v>8.093333333</v>
      </c>
    </row>
    <row r="1368" ht="24.75" customHeight="1">
      <c r="A1368" s="21" t="s">
        <v>1331</v>
      </c>
      <c r="B1368" s="13">
        <f>IFERROR(__xludf.DUMMYFUNCTION("GOOGLEFINANCE(A1368,""PRICE"")"),182.99)</f>
        <v>182.99</v>
      </c>
      <c r="C1368" s="14">
        <f>IFERROR(__xludf.DUMMYFUNCTION("GOOGLEFINANCE(A1368,""PRICEOPEN"")"),182.0)</f>
        <v>182</v>
      </c>
      <c r="D1368" s="14">
        <f>IFERROR(__xludf.DUMMYFUNCTION("GOOGLEFINANCE(A1368,""HIGH"")"),182.99)</f>
        <v>182.99</v>
      </c>
      <c r="E1368" s="14">
        <f>IFERROR(__xludf.DUMMYFUNCTION("GOOGLEFINANCE(A1368,""LOW"")"),175.15)</f>
        <v>175.15</v>
      </c>
      <c r="F1368" s="15" t="str">
        <f t="shared" si="8"/>
        <v/>
      </c>
      <c r="G1368" s="16">
        <f>IFERROR(__xludf.DUMMYFUNCTION("GOOGLEFINANCE(A1368,""CLOSEYEST"")"),179.0)</f>
        <v>179</v>
      </c>
      <c r="H1368" s="17" t="str">
        <f t="shared" si="14"/>
        <v>GAP UP</v>
      </c>
      <c r="I1368" s="18">
        <f t="shared" si="9"/>
        <v>179.0466667</v>
      </c>
      <c r="J1368" s="19">
        <f t="shared" si="10"/>
        <v>182.9433333</v>
      </c>
      <c r="K1368" s="19"/>
      <c r="L1368" s="19">
        <f t="shared" si="11"/>
        <v>175.1033333</v>
      </c>
      <c r="M1368" s="19">
        <f t="shared" si="12"/>
        <v>186.8866667</v>
      </c>
      <c r="N1368" s="19">
        <f t="shared" si="13"/>
        <v>171.2066667</v>
      </c>
    </row>
    <row r="1369" ht="24.75" customHeight="1">
      <c r="A1369" s="21" t="s">
        <v>1332</v>
      </c>
      <c r="B1369" s="13">
        <f>IFERROR(__xludf.DUMMYFUNCTION("GOOGLEFINANCE(A1369,""PRICE"")"),135.0)</f>
        <v>135</v>
      </c>
      <c r="C1369" s="14">
        <f>IFERROR(__xludf.DUMMYFUNCTION("GOOGLEFINANCE(A1369,""PRICEOPEN"")"),131.81)</f>
        <v>131.81</v>
      </c>
      <c r="D1369" s="14">
        <f>IFERROR(__xludf.DUMMYFUNCTION("GOOGLEFINANCE(A1369,""HIGH"")"),138.34)</f>
        <v>138.34</v>
      </c>
      <c r="E1369" s="14">
        <f>IFERROR(__xludf.DUMMYFUNCTION("GOOGLEFINANCE(A1369,""LOW"")"),130.0)</f>
        <v>130</v>
      </c>
      <c r="F1369" s="15" t="str">
        <f t="shared" si="8"/>
        <v/>
      </c>
      <c r="G1369" s="16">
        <f>IFERROR(__xludf.DUMMYFUNCTION("GOOGLEFINANCE(A1369,""CLOSEYEST"")"),131.76)</f>
        <v>131.76</v>
      </c>
      <c r="H1369" s="17" t="str">
        <f t="shared" si="14"/>
        <v/>
      </c>
      <c r="I1369" s="18">
        <f t="shared" si="9"/>
        <v>133.3666667</v>
      </c>
      <c r="J1369" s="19">
        <f t="shared" si="10"/>
        <v>136.7333333</v>
      </c>
      <c r="K1369" s="19"/>
      <c r="L1369" s="19">
        <f t="shared" si="11"/>
        <v>128.3933333</v>
      </c>
      <c r="M1369" s="19">
        <f t="shared" si="12"/>
        <v>141.7066667</v>
      </c>
      <c r="N1369" s="19">
        <f t="shared" si="13"/>
        <v>125.0266667</v>
      </c>
    </row>
    <row r="1370" ht="24.75" customHeight="1">
      <c r="A1370" s="21" t="s">
        <v>1333</v>
      </c>
      <c r="B1370" s="13">
        <f>IFERROR(__xludf.DUMMYFUNCTION("GOOGLEFINANCE(A1370,""PRICE"")"),139.42)</f>
        <v>139.42</v>
      </c>
      <c r="C1370" s="14">
        <f>IFERROR(__xludf.DUMMYFUNCTION("GOOGLEFINANCE(A1370,""PRICEOPEN"")"),138.61)</f>
        <v>138.61</v>
      </c>
      <c r="D1370" s="14">
        <f>IFERROR(__xludf.DUMMYFUNCTION("GOOGLEFINANCE(A1370,""HIGH"")"),139.42)</f>
        <v>139.42</v>
      </c>
      <c r="E1370" s="14">
        <f>IFERROR(__xludf.DUMMYFUNCTION("GOOGLEFINANCE(A1370,""LOW"")"),136.42)</f>
        <v>136.42</v>
      </c>
      <c r="F1370" s="15" t="str">
        <f t="shared" si="8"/>
        <v/>
      </c>
      <c r="G1370" s="16">
        <f>IFERROR(__xludf.DUMMYFUNCTION("GOOGLEFINANCE(A1370,""CLOSEYEST"")"),139.42)</f>
        <v>139.42</v>
      </c>
      <c r="H1370" s="17" t="str">
        <f t="shared" si="14"/>
        <v/>
      </c>
      <c r="I1370" s="18">
        <f t="shared" si="9"/>
        <v>138.42</v>
      </c>
      <c r="J1370" s="19">
        <f t="shared" si="10"/>
        <v>140.42</v>
      </c>
      <c r="K1370" s="19"/>
      <c r="L1370" s="19">
        <f t="shared" si="11"/>
        <v>137.42</v>
      </c>
      <c r="M1370" s="19">
        <f t="shared" si="12"/>
        <v>141.42</v>
      </c>
      <c r="N1370" s="19">
        <f t="shared" si="13"/>
        <v>135.42</v>
      </c>
    </row>
    <row r="1371" ht="24.75" customHeight="1">
      <c r="A1371" s="21" t="s">
        <v>1334</v>
      </c>
      <c r="B1371" s="13">
        <f>IFERROR(__xludf.DUMMYFUNCTION("GOOGLEFINANCE(A1371,""PRICE"")"),28.29)</f>
        <v>28.29</v>
      </c>
      <c r="C1371" s="14">
        <f>IFERROR(__xludf.DUMMYFUNCTION("GOOGLEFINANCE(A1371,""PRICEOPEN"")"),26.95)</f>
        <v>26.95</v>
      </c>
      <c r="D1371" s="14">
        <f>IFERROR(__xludf.DUMMYFUNCTION("GOOGLEFINANCE(A1371,""HIGH"")"),28.29)</f>
        <v>28.29</v>
      </c>
      <c r="E1371" s="14">
        <f>IFERROR(__xludf.DUMMYFUNCTION("GOOGLEFINANCE(A1371,""LOW"")"),26.95)</f>
        <v>26.95</v>
      </c>
      <c r="F1371" s="15" t="str">
        <f t="shared" si="8"/>
        <v>BUY</v>
      </c>
      <c r="G1371" s="16">
        <f>IFERROR(__xludf.DUMMYFUNCTION("GOOGLEFINANCE(A1371,""CLOSEYEST"")"),26.95)</f>
        <v>26.95</v>
      </c>
      <c r="H1371" s="17" t="str">
        <f t="shared" si="14"/>
        <v/>
      </c>
      <c r="I1371" s="18">
        <f t="shared" si="9"/>
        <v>27.39666667</v>
      </c>
      <c r="J1371" s="19">
        <f t="shared" si="10"/>
        <v>27.84333333</v>
      </c>
      <c r="K1371" s="19"/>
      <c r="L1371" s="19">
        <f t="shared" si="11"/>
        <v>26.50333333</v>
      </c>
      <c r="M1371" s="19">
        <f t="shared" si="12"/>
        <v>28.73666667</v>
      </c>
      <c r="N1371" s="19">
        <f t="shared" si="13"/>
        <v>26.05666667</v>
      </c>
    </row>
    <row r="1372" ht="24.75" customHeight="1">
      <c r="A1372" s="21" t="s">
        <v>1335</v>
      </c>
      <c r="B1372" s="13">
        <f>IFERROR(__xludf.DUMMYFUNCTION("GOOGLEFINANCE(A1372,""PRICE"")"),0.57)</f>
        <v>0.57</v>
      </c>
      <c r="C1372" s="14">
        <f>IFERROR(__xludf.DUMMYFUNCTION("GOOGLEFINANCE(A1372,""PRICEOPEN"")"),0.55)</f>
        <v>0.55</v>
      </c>
      <c r="D1372" s="14">
        <f>IFERROR(__xludf.DUMMYFUNCTION("GOOGLEFINANCE(A1372,""HIGH"")"),0.57)</f>
        <v>0.57</v>
      </c>
      <c r="E1372" s="14">
        <f>IFERROR(__xludf.DUMMYFUNCTION("GOOGLEFINANCE(A1372,""LOW"")"),0.55)</f>
        <v>0.55</v>
      </c>
      <c r="F1372" s="15" t="str">
        <f t="shared" si="8"/>
        <v>BUY</v>
      </c>
      <c r="G1372" s="16">
        <f>IFERROR(__xludf.DUMMYFUNCTION("GOOGLEFINANCE(A1372,""CLOSEYEST"")"),0.55)</f>
        <v>0.55</v>
      </c>
      <c r="H1372" s="17" t="str">
        <f t="shared" si="14"/>
        <v/>
      </c>
      <c r="I1372" s="18">
        <f t="shared" si="9"/>
        <v>0.5566666667</v>
      </c>
      <c r="J1372" s="19">
        <f t="shared" si="10"/>
        <v>0.5633333333</v>
      </c>
      <c r="K1372" s="19"/>
      <c r="L1372" s="19">
        <f t="shared" si="11"/>
        <v>0.5433333333</v>
      </c>
      <c r="M1372" s="19">
        <f t="shared" si="12"/>
        <v>0.5766666667</v>
      </c>
      <c r="N1372" s="19">
        <f t="shared" si="13"/>
        <v>0.5366666667</v>
      </c>
    </row>
    <row r="1373" ht="24.75" customHeight="1">
      <c r="A1373" s="21" t="s">
        <v>1336</v>
      </c>
      <c r="B1373" s="13">
        <f>IFERROR(__xludf.DUMMYFUNCTION("GOOGLEFINANCE(A1373,""PRICE"")"),252.5)</f>
        <v>252.5</v>
      </c>
      <c r="C1373" s="14">
        <f>IFERROR(__xludf.DUMMYFUNCTION("GOOGLEFINANCE(A1373,""PRICEOPEN"")"),253.0)</f>
        <v>253</v>
      </c>
      <c r="D1373" s="14">
        <f>IFERROR(__xludf.DUMMYFUNCTION("GOOGLEFINANCE(A1373,""HIGH"")"),257.0)</f>
        <v>257</v>
      </c>
      <c r="E1373" s="14">
        <f>IFERROR(__xludf.DUMMYFUNCTION("GOOGLEFINANCE(A1373,""LOW"")"),249.0)</f>
        <v>249</v>
      </c>
      <c r="F1373" s="15" t="str">
        <f t="shared" si="8"/>
        <v/>
      </c>
      <c r="G1373" s="16">
        <f>IFERROR(__xludf.DUMMYFUNCTION("GOOGLEFINANCE(A1373,""CLOSEYEST"")"),249.45)</f>
        <v>249.45</v>
      </c>
      <c r="H1373" s="17" t="str">
        <f t="shared" si="14"/>
        <v>GAP UP</v>
      </c>
      <c r="I1373" s="18">
        <f t="shared" si="9"/>
        <v>251.8166667</v>
      </c>
      <c r="J1373" s="19">
        <f t="shared" si="10"/>
        <v>254.6333333</v>
      </c>
      <c r="K1373" s="19"/>
      <c r="L1373" s="19">
        <f t="shared" si="11"/>
        <v>246.6333333</v>
      </c>
      <c r="M1373" s="19">
        <f t="shared" si="12"/>
        <v>259.8166667</v>
      </c>
      <c r="N1373" s="19">
        <f t="shared" si="13"/>
        <v>243.8166667</v>
      </c>
    </row>
    <row r="1374" ht="24.75" customHeight="1">
      <c r="A1374" s="21" t="s">
        <v>1337</v>
      </c>
      <c r="B1374" s="13">
        <f>IFERROR(__xludf.DUMMYFUNCTION("GOOGLEFINANCE(A1374,""PRICE"")"),57.98)</f>
        <v>57.98</v>
      </c>
      <c r="C1374" s="14">
        <f>IFERROR(__xludf.DUMMYFUNCTION("GOOGLEFINANCE(A1374,""PRICEOPEN"")"),58.2)</f>
        <v>58.2</v>
      </c>
      <c r="D1374" s="14">
        <f>IFERROR(__xludf.DUMMYFUNCTION("GOOGLEFINANCE(A1374,""HIGH"")"),58.22)</f>
        <v>58.22</v>
      </c>
      <c r="E1374" s="14">
        <f>IFERROR(__xludf.DUMMYFUNCTION("GOOGLEFINANCE(A1374,""LOW"")"),56.36)</f>
        <v>56.36</v>
      </c>
      <c r="F1374" s="15" t="str">
        <f t="shared" si="8"/>
        <v/>
      </c>
      <c r="G1374" s="16">
        <f>IFERROR(__xludf.DUMMYFUNCTION("GOOGLEFINANCE(A1374,""CLOSEYEST"")"),57.3)</f>
        <v>57.3</v>
      </c>
      <c r="H1374" s="17" t="str">
        <f t="shared" si="14"/>
        <v>GAP UP</v>
      </c>
      <c r="I1374" s="18">
        <f t="shared" si="9"/>
        <v>57.29333333</v>
      </c>
      <c r="J1374" s="19">
        <f t="shared" si="10"/>
        <v>58.22666667</v>
      </c>
      <c r="K1374" s="19"/>
      <c r="L1374" s="19">
        <f t="shared" si="11"/>
        <v>56.36666667</v>
      </c>
      <c r="M1374" s="19">
        <f t="shared" si="12"/>
        <v>59.15333333</v>
      </c>
      <c r="N1374" s="19">
        <f t="shared" si="13"/>
        <v>55.43333333</v>
      </c>
    </row>
    <row r="1375" ht="24.75" customHeight="1">
      <c r="A1375" s="21" t="s">
        <v>1338</v>
      </c>
      <c r="B1375" s="13">
        <f>IFERROR(__xludf.DUMMYFUNCTION("GOOGLEFINANCE(A1375,""PRICE"")"),41.74)</f>
        <v>41.74</v>
      </c>
      <c r="C1375" s="14">
        <f>IFERROR(__xludf.DUMMYFUNCTION("GOOGLEFINANCE(A1375,""PRICEOPEN"")"),41.55)</f>
        <v>41.55</v>
      </c>
      <c r="D1375" s="14">
        <f>IFERROR(__xludf.DUMMYFUNCTION("GOOGLEFINANCE(A1375,""HIGH"")"),42.76)</f>
        <v>42.76</v>
      </c>
      <c r="E1375" s="14">
        <f>IFERROR(__xludf.DUMMYFUNCTION("GOOGLEFINANCE(A1375,""LOW"")"),41.1)</f>
        <v>41.1</v>
      </c>
      <c r="F1375" s="15" t="str">
        <f t="shared" si="8"/>
        <v/>
      </c>
      <c r="G1375" s="16">
        <f>IFERROR(__xludf.DUMMYFUNCTION("GOOGLEFINANCE(A1375,""CLOSEYEST"")"),41.55)</f>
        <v>41.55</v>
      </c>
      <c r="H1375" s="17" t="str">
        <f t="shared" si="14"/>
        <v/>
      </c>
      <c r="I1375" s="18">
        <f t="shared" si="9"/>
        <v>41.80333333</v>
      </c>
      <c r="J1375" s="19">
        <f t="shared" si="10"/>
        <v>42.50666667</v>
      </c>
      <c r="K1375" s="19"/>
      <c r="L1375" s="19">
        <f t="shared" si="11"/>
        <v>40.84666667</v>
      </c>
      <c r="M1375" s="19">
        <f t="shared" si="12"/>
        <v>43.46333333</v>
      </c>
      <c r="N1375" s="19">
        <f t="shared" si="13"/>
        <v>40.14333333</v>
      </c>
    </row>
    <row r="1376" ht="24.75" customHeight="1">
      <c r="A1376" s="21" t="s">
        <v>1339</v>
      </c>
      <c r="B1376" s="13">
        <f>IFERROR(__xludf.DUMMYFUNCTION("GOOGLEFINANCE(A1376,""PRICE"")"),1.38)</f>
        <v>1.38</v>
      </c>
      <c r="C1376" s="14">
        <f>IFERROR(__xludf.DUMMYFUNCTION("GOOGLEFINANCE(A1376,""PRICEOPEN"")"),1.37)</f>
        <v>1.37</v>
      </c>
      <c r="D1376" s="14">
        <f>IFERROR(__xludf.DUMMYFUNCTION("GOOGLEFINANCE(A1376,""HIGH"")"),1.38)</f>
        <v>1.38</v>
      </c>
      <c r="E1376" s="14">
        <f>IFERROR(__xludf.DUMMYFUNCTION("GOOGLEFINANCE(A1376,""LOW"")"),1.33)</f>
        <v>1.33</v>
      </c>
      <c r="F1376" s="15" t="str">
        <f t="shared" si="8"/>
        <v/>
      </c>
      <c r="G1376" s="16">
        <f>IFERROR(__xludf.DUMMYFUNCTION("GOOGLEFINANCE(A1376,""CLOSEYEST"")"),1.36)</f>
        <v>1.36</v>
      </c>
      <c r="H1376" s="17" t="str">
        <f t="shared" si="14"/>
        <v/>
      </c>
      <c r="I1376" s="18">
        <f t="shared" si="9"/>
        <v>1.356666667</v>
      </c>
      <c r="J1376" s="19">
        <f t="shared" si="10"/>
        <v>1.383333333</v>
      </c>
      <c r="K1376" s="19"/>
      <c r="L1376" s="19">
        <f t="shared" si="11"/>
        <v>1.333333333</v>
      </c>
      <c r="M1376" s="19">
        <f t="shared" si="12"/>
        <v>1.406666667</v>
      </c>
      <c r="N1376" s="19">
        <f t="shared" si="13"/>
        <v>1.306666667</v>
      </c>
    </row>
    <row r="1377" ht="24.75" customHeight="1">
      <c r="A1377" s="21" t="s">
        <v>1340</v>
      </c>
      <c r="B1377" s="13">
        <f>IFERROR(__xludf.DUMMYFUNCTION("GOOGLEFINANCE(A1377,""PRICE"")"),4.0)</f>
        <v>4</v>
      </c>
      <c r="C1377" s="14">
        <f>IFERROR(__xludf.DUMMYFUNCTION("GOOGLEFINANCE(A1377,""PRICEOPEN"")"),4.13)</f>
        <v>4.13</v>
      </c>
      <c r="D1377" s="14">
        <f>IFERROR(__xludf.DUMMYFUNCTION("GOOGLEFINANCE(A1377,""HIGH"")"),4.13)</f>
        <v>4.13</v>
      </c>
      <c r="E1377" s="14">
        <f>IFERROR(__xludf.DUMMYFUNCTION("GOOGLEFINANCE(A1377,""LOW"")"),4.0)</f>
        <v>4</v>
      </c>
      <c r="F1377" s="15" t="str">
        <f t="shared" si="8"/>
        <v>SELL</v>
      </c>
      <c r="G1377" s="16">
        <f>IFERROR(__xludf.DUMMYFUNCTION("GOOGLEFINANCE(A1377,""CLOSEYEST"")"),4.13)</f>
        <v>4.13</v>
      </c>
      <c r="H1377" s="17" t="str">
        <f t="shared" si="14"/>
        <v/>
      </c>
      <c r="I1377" s="18">
        <f t="shared" si="9"/>
        <v>4.086666667</v>
      </c>
      <c r="J1377" s="19">
        <f t="shared" si="10"/>
        <v>4.173333333</v>
      </c>
      <c r="K1377" s="19"/>
      <c r="L1377" s="19">
        <f t="shared" si="11"/>
        <v>4.043333333</v>
      </c>
      <c r="M1377" s="19">
        <f t="shared" si="12"/>
        <v>4.216666667</v>
      </c>
      <c r="N1377" s="19">
        <f t="shared" si="13"/>
        <v>3.956666667</v>
      </c>
    </row>
    <row r="1378" ht="24.75" customHeight="1">
      <c r="A1378" s="21" t="s">
        <v>1341</v>
      </c>
      <c r="B1378" s="13">
        <f>IFERROR(__xludf.DUMMYFUNCTION("GOOGLEFINANCE(A1378,""PRICE"")"),10.38)</f>
        <v>10.38</v>
      </c>
      <c r="C1378" s="14">
        <f>IFERROR(__xludf.DUMMYFUNCTION("GOOGLEFINANCE(A1378,""PRICEOPEN"")"),10.6)</f>
        <v>10.6</v>
      </c>
      <c r="D1378" s="14">
        <f>IFERROR(__xludf.DUMMYFUNCTION("GOOGLEFINANCE(A1378,""HIGH"")"),10.6)</f>
        <v>10.6</v>
      </c>
      <c r="E1378" s="14">
        <f>IFERROR(__xludf.DUMMYFUNCTION("GOOGLEFINANCE(A1378,""LOW"")"),10.3)</f>
        <v>10.3</v>
      </c>
      <c r="F1378" s="15" t="str">
        <f t="shared" si="8"/>
        <v>SELL</v>
      </c>
      <c r="G1378" s="16">
        <f>IFERROR(__xludf.DUMMYFUNCTION("GOOGLEFINANCE(A1378,""CLOSEYEST"")"),10.4)</f>
        <v>10.4</v>
      </c>
      <c r="H1378" s="17" t="str">
        <f t="shared" si="14"/>
        <v>GAP UP</v>
      </c>
      <c r="I1378" s="18">
        <f t="shared" si="9"/>
        <v>10.43333333</v>
      </c>
      <c r="J1378" s="19">
        <f t="shared" si="10"/>
        <v>10.56666667</v>
      </c>
      <c r="K1378" s="19"/>
      <c r="L1378" s="19">
        <f t="shared" si="11"/>
        <v>10.26666667</v>
      </c>
      <c r="M1378" s="19">
        <f t="shared" si="12"/>
        <v>10.73333333</v>
      </c>
      <c r="N1378" s="19">
        <f t="shared" si="13"/>
        <v>10.13333333</v>
      </c>
    </row>
    <row r="1379" ht="24.75" customHeight="1">
      <c r="A1379" s="21" t="s">
        <v>1342</v>
      </c>
      <c r="B1379" s="13">
        <f>IFERROR(__xludf.DUMMYFUNCTION("GOOGLEFINANCE(A1379,""PRICE"")"),613.5)</f>
        <v>613.5</v>
      </c>
      <c r="C1379" s="14">
        <f>IFERROR(__xludf.DUMMYFUNCTION("GOOGLEFINANCE(A1379,""PRICEOPEN"")"),620.75)</f>
        <v>620.75</v>
      </c>
      <c r="D1379" s="14">
        <f>IFERROR(__xludf.DUMMYFUNCTION("GOOGLEFINANCE(A1379,""HIGH"")"),626.75)</f>
        <v>626.75</v>
      </c>
      <c r="E1379" s="14">
        <f>IFERROR(__xludf.DUMMYFUNCTION("GOOGLEFINANCE(A1379,""LOW"")"),611.0)</f>
        <v>611</v>
      </c>
      <c r="F1379" s="15" t="str">
        <f t="shared" si="8"/>
        <v/>
      </c>
      <c r="G1379" s="16">
        <f>IFERROR(__xludf.DUMMYFUNCTION("GOOGLEFINANCE(A1379,""CLOSEYEST"")"),622.25)</f>
        <v>622.25</v>
      </c>
      <c r="H1379" s="17" t="str">
        <f t="shared" si="14"/>
        <v/>
      </c>
      <c r="I1379" s="18">
        <f t="shared" si="9"/>
        <v>620</v>
      </c>
      <c r="J1379" s="19">
        <f t="shared" si="10"/>
        <v>629</v>
      </c>
      <c r="K1379" s="19"/>
      <c r="L1379" s="19">
        <f t="shared" si="11"/>
        <v>613.25</v>
      </c>
      <c r="M1379" s="19">
        <f t="shared" si="12"/>
        <v>635.75</v>
      </c>
      <c r="N1379" s="19">
        <f t="shared" si="13"/>
        <v>604.25</v>
      </c>
    </row>
    <row r="1380" ht="24.75" customHeight="1">
      <c r="A1380" s="21" t="s">
        <v>1343</v>
      </c>
      <c r="B1380" s="13">
        <f>IFERROR(__xludf.DUMMYFUNCTION("GOOGLEFINANCE(A1380,""PRICE"")"),76.0)</f>
        <v>76</v>
      </c>
      <c r="C1380" s="14">
        <f>IFERROR(__xludf.DUMMYFUNCTION("GOOGLEFINANCE(A1380,""PRICEOPEN"")"),75.4)</f>
        <v>75.4</v>
      </c>
      <c r="D1380" s="14">
        <f>IFERROR(__xludf.DUMMYFUNCTION("GOOGLEFINANCE(A1380,""HIGH"")"),76.35)</f>
        <v>76.35</v>
      </c>
      <c r="E1380" s="14">
        <f>IFERROR(__xludf.DUMMYFUNCTION("GOOGLEFINANCE(A1380,""LOW"")"),73.62)</f>
        <v>73.62</v>
      </c>
      <c r="F1380" s="15" t="str">
        <f t="shared" si="8"/>
        <v/>
      </c>
      <c r="G1380" s="16">
        <f>IFERROR(__xludf.DUMMYFUNCTION("GOOGLEFINANCE(A1380,""CLOSEYEST"")"),74.28)</f>
        <v>74.28</v>
      </c>
      <c r="H1380" s="17" t="str">
        <f t="shared" si="14"/>
        <v>GAP UP</v>
      </c>
      <c r="I1380" s="18">
        <f t="shared" si="9"/>
        <v>74.75</v>
      </c>
      <c r="J1380" s="19">
        <f t="shared" si="10"/>
        <v>75.88</v>
      </c>
      <c r="K1380" s="19"/>
      <c r="L1380" s="19">
        <f t="shared" si="11"/>
        <v>73.15</v>
      </c>
      <c r="M1380" s="19">
        <f t="shared" si="12"/>
        <v>77.48</v>
      </c>
      <c r="N1380" s="19">
        <f t="shared" si="13"/>
        <v>72.02</v>
      </c>
    </row>
    <row r="1381" ht="24.75" customHeight="1">
      <c r="A1381" s="21" t="s">
        <v>1344</v>
      </c>
      <c r="B1381" s="13" t="str">
        <f>IFERROR(__xludf.DUMMYFUNCTION("GOOGLEFINANCE(A1381,""PRICE"")"),"#N/A")</f>
        <v>#N/A</v>
      </c>
      <c r="C1381" s="14" t="str">
        <f>IFERROR(__xludf.DUMMYFUNCTION("GOOGLEFINANCE(A1381,""PRICEOPEN"")"),"#N/A")</f>
        <v>#N/A</v>
      </c>
      <c r="D1381" s="14" t="str">
        <f>IFERROR(__xludf.DUMMYFUNCTION("GOOGLEFINANCE(A1381,""HIGH"")"),"#N/A")</f>
        <v>#N/A</v>
      </c>
      <c r="E1381" s="14" t="str">
        <f>IFERROR(__xludf.DUMMYFUNCTION("GOOGLEFINANCE(A1381,""LOW"")"),"#N/A")</f>
        <v>#N/A</v>
      </c>
      <c r="F1381" s="15" t="str">
        <f t="shared" si="8"/>
        <v>#N/A</v>
      </c>
      <c r="G1381" s="16" t="str">
        <f>IFERROR(__xludf.DUMMYFUNCTION("GOOGLEFINANCE(A1381,""CLOSEYEST"")"),"#N/A")</f>
        <v>#N/A</v>
      </c>
      <c r="H1381" s="17" t="str">
        <f t="shared" si="14"/>
        <v>#N/A</v>
      </c>
      <c r="I1381" s="18" t="str">
        <f t="shared" si="9"/>
        <v>#N/A</v>
      </c>
      <c r="J1381" s="19" t="str">
        <f t="shared" si="10"/>
        <v>#N/A</v>
      </c>
      <c r="K1381" s="19"/>
      <c r="L1381" s="19" t="str">
        <f t="shared" si="11"/>
        <v>#N/A</v>
      </c>
      <c r="M1381" s="19" t="str">
        <f t="shared" si="12"/>
        <v>#N/A</v>
      </c>
      <c r="N1381" s="19" t="str">
        <f t="shared" si="13"/>
        <v>#N/A</v>
      </c>
    </row>
    <row r="1382" ht="24.75" customHeight="1">
      <c r="A1382" s="21" t="s">
        <v>1345</v>
      </c>
      <c r="B1382" s="13">
        <f>IFERROR(__xludf.DUMMYFUNCTION("GOOGLEFINANCE(A1382,""PRICE"")"),55.1)</f>
        <v>55.1</v>
      </c>
      <c r="C1382" s="14">
        <f>IFERROR(__xludf.DUMMYFUNCTION("GOOGLEFINANCE(A1382,""PRICEOPEN"")"),55.49)</f>
        <v>55.49</v>
      </c>
      <c r="D1382" s="14">
        <f>IFERROR(__xludf.DUMMYFUNCTION("GOOGLEFINANCE(A1382,""HIGH"")"),56.45)</f>
        <v>56.45</v>
      </c>
      <c r="E1382" s="14">
        <f>IFERROR(__xludf.DUMMYFUNCTION("GOOGLEFINANCE(A1382,""LOW"")"),54.62)</f>
        <v>54.62</v>
      </c>
      <c r="F1382" s="15" t="str">
        <f t="shared" si="8"/>
        <v/>
      </c>
      <c r="G1382" s="16">
        <f>IFERROR(__xludf.DUMMYFUNCTION("GOOGLEFINANCE(A1382,""CLOSEYEST"")"),55.49)</f>
        <v>55.49</v>
      </c>
      <c r="H1382" s="17" t="str">
        <f t="shared" si="14"/>
        <v/>
      </c>
      <c r="I1382" s="18">
        <f t="shared" si="9"/>
        <v>55.52</v>
      </c>
      <c r="J1382" s="19">
        <f t="shared" si="10"/>
        <v>56.42</v>
      </c>
      <c r="K1382" s="19"/>
      <c r="L1382" s="19">
        <f t="shared" si="11"/>
        <v>54.59</v>
      </c>
      <c r="M1382" s="19">
        <f t="shared" si="12"/>
        <v>57.35</v>
      </c>
      <c r="N1382" s="19">
        <f t="shared" si="13"/>
        <v>53.69</v>
      </c>
    </row>
    <row r="1383" ht="24.75" customHeight="1">
      <c r="A1383" s="21" t="s">
        <v>1346</v>
      </c>
      <c r="B1383" s="13">
        <f>IFERROR(__xludf.DUMMYFUNCTION("GOOGLEFINANCE(A1383,""PRICE"")"),9.59)</f>
        <v>9.59</v>
      </c>
      <c r="C1383" s="14">
        <f>IFERROR(__xludf.DUMMYFUNCTION("GOOGLEFINANCE(A1383,""PRICEOPEN"")"),9.5)</f>
        <v>9.5</v>
      </c>
      <c r="D1383" s="14">
        <f>IFERROR(__xludf.DUMMYFUNCTION("GOOGLEFINANCE(A1383,""HIGH"")"),9.68)</f>
        <v>9.68</v>
      </c>
      <c r="E1383" s="14">
        <f>IFERROR(__xludf.DUMMYFUNCTION("GOOGLEFINANCE(A1383,""LOW"")"),9.13)</f>
        <v>9.13</v>
      </c>
      <c r="F1383" s="15" t="str">
        <f t="shared" si="8"/>
        <v/>
      </c>
      <c r="G1383" s="16">
        <f>IFERROR(__xludf.DUMMYFUNCTION("GOOGLEFINANCE(A1383,""CLOSEYEST"")"),9.57)</f>
        <v>9.57</v>
      </c>
      <c r="H1383" s="17" t="str">
        <f t="shared" si="14"/>
        <v/>
      </c>
      <c r="I1383" s="18">
        <f t="shared" si="9"/>
        <v>9.46</v>
      </c>
      <c r="J1383" s="19">
        <f t="shared" si="10"/>
        <v>9.79</v>
      </c>
      <c r="K1383" s="19"/>
      <c r="L1383" s="19">
        <f t="shared" si="11"/>
        <v>9.24</v>
      </c>
      <c r="M1383" s="19">
        <f t="shared" si="12"/>
        <v>10.01</v>
      </c>
      <c r="N1383" s="19">
        <f t="shared" si="13"/>
        <v>8.91</v>
      </c>
    </row>
    <row r="1384" ht="24.75" customHeight="1">
      <c r="A1384" s="21" t="s">
        <v>1347</v>
      </c>
      <c r="B1384" s="13" t="str">
        <f>IFERROR(__xludf.DUMMYFUNCTION("GOOGLEFINANCE(A1384,""PRICE"")"),"#N/A")</f>
        <v>#N/A</v>
      </c>
      <c r="C1384" s="14" t="str">
        <f>IFERROR(__xludf.DUMMYFUNCTION("GOOGLEFINANCE(A1384,""PRICEOPEN"")"),"#N/A")</f>
        <v>#N/A</v>
      </c>
      <c r="D1384" s="14" t="str">
        <f>IFERROR(__xludf.DUMMYFUNCTION("GOOGLEFINANCE(A1384,""HIGH"")"),"#N/A")</f>
        <v>#N/A</v>
      </c>
      <c r="E1384" s="14" t="str">
        <f>IFERROR(__xludf.DUMMYFUNCTION("GOOGLEFINANCE(A1384,""LOW"")"),"#N/A")</f>
        <v>#N/A</v>
      </c>
      <c r="F1384" s="15" t="str">
        <f t="shared" si="8"/>
        <v>#N/A</v>
      </c>
      <c r="G1384" s="16" t="str">
        <f>IFERROR(__xludf.DUMMYFUNCTION("GOOGLEFINANCE(A1384,""CLOSEYEST"")"),"#N/A")</f>
        <v>#N/A</v>
      </c>
      <c r="H1384" s="17" t="str">
        <f t="shared" si="14"/>
        <v>#N/A</v>
      </c>
      <c r="I1384" s="18" t="str">
        <f t="shared" si="9"/>
        <v>#N/A</v>
      </c>
      <c r="J1384" s="19" t="str">
        <f t="shared" si="10"/>
        <v>#N/A</v>
      </c>
      <c r="K1384" s="19"/>
      <c r="L1384" s="19" t="str">
        <f t="shared" si="11"/>
        <v>#N/A</v>
      </c>
      <c r="M1384" s="19" t="str">
        <f t="shared" si="12"/>
        <v>#N/A</v>
      </c>
      <c r="N1384" s="19" t="str">
        <f t="shared" si="13"/>
        <v>#N/A</v>
      </c>
    </row>
    <row r="1385" ht="24.75" customHeight="1">
      <c r="A1385" s="21" t="s">
        <v>1348</v>
      </c>
      <c r="B1385" s="13">
        <f>IFERROR(__xludf.DUMMYFUNCTION("GOOGLEFINANCE(A1385,""PRICE"")"),283.7)</f>
        <v>283.7</v>
      </c>
      <c r="C1385" s="14">
        <f>IFERROR(__xludf.DUMMYFUNCTION("GOOGLEFINANCE(A1385,""PRICEOPEN"")"),285.35)</f>
        <v>285.35</v>
      </c>
      <c r="D1385" s="14">
        <f>IFERROR(__xludf.DUMMYFUNCTION("GOOGLEFINANCE(A1385,""HIGH"")"),286.9)</f>
        <v>286.9</v>
      </c>
      <c r="E1385" s="14">
        <f>IFERROR(__xludf.DUMMYFUNCTION("GOOGLEFINANCE(A1385,""LOW"")"),281.35)</f>
        <v>281.35</v>
      </c>
      <c r="F1385" s="15" t="str">
        <f t="shared" si="8"/>
        <v/>
      </c>
      <c r="G1385" s="16">
        <f>IFERROR(__xludf.DUMMYFUNCTION("GOOGLEFINANCE(A1385,""CLOSEYEST"")"),282.85)</f>
        <v>282.85</v>
      </c>
      <c r="H1385" s="17" t="str">
        <f t="shared" si="14"/>
        <v/>
      </c>
      <c r="I1385" s="18">
        <f t="shared" si="9"/>
        <v>283.7</v>
      </c>
      <c r="J1385" s="19">
        <f t="shared" si="10"/>
        <v>286.05</v>
      </c>
      <c r="K1385" s="19"/>
      <c r="L1385" s="19">
        <f t="shared" si="11"/>
        <v>280.5</v>
      </c>
      <c r="M1385" s="19">
        <f t="shared" si="12"/>
        <v>289.25</v>
      </c>
      <c r="N1385" s="19">
        <f t="shared" si="13"/>
        <v>278.15</v>
      </c>
    </row>
    <row r="1386" ht="24.75" customHeight="1">
      <c r="A1386" s="21" t="s">
        <v>1349</v>
      </c>
      <c r="B1386" s="13">
        <f>IFERROR(__xludf.DUMMYFUNCTION("GOOGLEFINANCE(A1386,""PRICE"")"),850.0)</f>
        <v>850</v>
      </c>
      <c r="C1386" s="14">
        <f>IFERROR(__xludf.DUMMYFUNCTION("GOOGLEFINANCE(A1386,""PRICEOPEN"")"),846.85)</f>
        <v>846.85</v>
      </c>
      <c r="D1386" s="14">
        <f>IFERROR(__xludf.DUMMYFUNCTION("GOOGLEFINANCE(A1386,""HIGH"")"),852.8)</f>
        <v>852.8</v>
      </c>
      <c r="E1386" s="14">
        <f>IFERROR(__xludf.DUMMYFUNCTION("GOOGLEFINANCE(A1386,""LOW"")"),836.1)</f>
        <v>836.1</v>
      </c>
      <c r="F1386" s="15" t="str">
        <f t="shared" si="8"/>
        <v/>
      </c>
      <c r="G1386" s="16">
        <f>IFERROR(__xludf.DUMMYFUNCTION("GOOGLEFINANCE(A1386,""CLOSEYEST"")"),846.85)</f>
        <v>846.85</v>
      </c>
      <c r="H1386" s="17" t="str">
        <f t="shared" si="14"/>
        <v/>
      </c>
      <c r="I1386" s="18">
        <f t="shared" si="9"/>
        <v>845.25</v>
      </c>
      <c r="J1386" s="19">
        <f t="shared" si="10"/>
        <v>854.4</v>
      </c>
      <c r="K1386" s="19"/>
      <c r="L1386" s="19">
        <f t="shared" si="11"/>
        <v>837.7</v>
      </c>
      <c r="M1386" s="19">
        <f t="shared" si="12"/>
        <v>861.95</v>
      </c>
      <c r="N1386" s="19">
        <f t="shared" si="13"/>
        <v>828.55</v>
      </c>
    </row>
    <row r="1387" ht="24.75" customHeight="1">
      <c r="A1387" s="21" t="s">
        <v>1350</v>
      </c>
      <c r="B1387" s="13">
        <f>IFERROR(__xludf.DUMMYFUNCTION("GOOGLEFINANCE(A1387,""PRICE"")"),252.0)</f>
        <v>252</v>
      </c>
      <c r="C1387" s="14">
        <f>IFERROR(__xludf.DUMMYFUNCTION("GOOGLEFINANCE(A1387,""PRICEOPEN"")"),255.0)</f>
        <v>255</v>
      </c>
      <c r="D1387" s="14">
        <f>IFERROR(__xludf.DUMMYFUNCTION("GOOGLEFINANCE(A1387,""HIGH"")"),257.48)</f>
        <v>257.48</v>
      </c>
      <c r="E1387" s="14">
        <f>IFERROR(__xludf.DUMMYFUNCTION("GOOGLEFINANCE(A1387,""LOW"")"),247.0)</f>
        <v>247</v>
      </c>
      <c r="F1387" s="15" t="str">
        <f t="shared" si="8"/>
        <v/>
      </c>
      <c r="G1387" s="16">
        <f>IFERROR(__xludf.DUMMYFUNCTION("GOOGLEFINANCE(A1387,""CLOSEYEST"")"),250.63)</f>
        <v>250.63</v>
      </c>
      <c r="H1387" s="17" t="str">
        <f t="shared" si="14"/>
        <v>GAP UP</v>
      </c>
      <c r="I1387" s="18">
        <f t="shared" si="9"/>
        <v>251.7033333</v>
      </c>
      <c r="J1387" s="19">
        <f t="shared" si="10"/>
        <v>256.4066667</v>
      </c>
      <c r="K1387" s="19"/>
      <c r="L1387" s="19">
        <f t="shared" si="11"/>
        <v>245.9266667</v>
      </c>
      <c r="M1387" s="19">
        <f t="shared" si="12"/>
        <v>262.1833333</v>
      </c>
      <c r="N1387" s="19">
        <f t="shared" si="13"/>
        <v>241.2233333</v>
      </c>
    </row>
    <row r="1388" ht="24.75" customHeight="1">
      <c r="A1388" s="21" t="s">
        <v>1351</v>
      </c>
      <c r="B1388" s="13">
        <f>IFERROR(__xludf.DUMMYFUNCTION("GOOGLEFINANCE(A1388,""PRICE"")"),605.0)</f>
        <v>605</v>
      </c>
      <c r="C1388" s="14">
        <f>IFERROR(__xludf.DUMMYFUNCTION("GOOGLEFINANCE(A1388,""PRICEOPEN"")"),574.35)</f>
        <v>574.35</v>
      </c>
      <c r="D1388" s="14">
        <f>IFERROR(__xludf.DUMMYFUNCTION("GOOGLEFINANCE(A1388,""HIGH"")"),613.0)</f>
        <v>613</v>
      </c>
      <c r="E1388" s="14">
        <f>IFERROR(__xludf.DUMMYFUNCTION("GOOGLEFINANCE(A1388,""LOW"")"),571.6)</f>
        <v>571.6</v>
      </c>
      <c r="F1388" s="15" t="str">
        <f t="shared" si="8"/>
        <v/>
      </c>
      <c r="G1388" s="16">
        <f>IFERROR(__xludf.DUMMYFUNCTION("GOOGLEFINANCE(A1388,""CLOSEYEST"")"),572.25)</f>
        <v>572.25</v>
      </c>
      <c r="H1388" s="17" t="str">
        <f t="shared" si="14"/>
        <v/>
      </c>
      <c r="I1388" s="18">
        <f t="shared" si="9"/>
        <v>585.6166667</v>
      </c>
      <c r="J1388" s="19">
        <f t="shared" si="10"/>
        <v>599.6333333</v>
      </c>
      <c r="K1388" s="19"/>
      <c r="L1388" s="19">
        <f t="shared" si="11"/>
        <v>558.2333333</v>
      </c>
      <c r="M1388" s="19">
        <f t="shared" si="12"/>
        <v>627.0166667</v>
      </c>
      <c r="N1388" s="19">
        <f t="shared" si="13"/>
        <v>544.2166667</v>
      </c>
    </row>
    <row r="1389" ht="24.75" customHeight="1">
      <c r="A1389" s="21" t="s">
        <v>1352</v>
      </c>
      <c r="B1389" s="13">
        <f>IFERROR(__xludf.DUMMYFUNCTION("GOOGLEFINANCE(A1389,""PRICE"")"),1045.1)</f>
        <v>1045.1</v>
      </c>
      <c r="C1389" s="14">
        <f>IFERROR(__xludf.DUMMYFUNCTION("GOOGLEFINANCE(A1389,""PRICEOPEN"")"),1047.0)</f>
        <v>1047</v>
      </c>
      <c r="D1389" s="14">
        <f>IFERROR(__xludf.DUMMYFUNCTION("GOOGLEFINANCE(A1389,""HIGH"")"),1062.0)</f>
        <v>1062</v>
      </c>
      <c r="E1389" s="14">
        <f>IFERROR(__xludf.DUMMYFUNCTION("GOOGLEFINANCE(A1389,""LOW"")"),1021.0)</f>
        <v>1021</v>
      </c>
      <c r="F1389" s="15" t="str">
        <f t="shared" si="8"/>
        <v/>
      </c>
      <c r="G1389" s="16">
        <f>IFERROR(__xludf.DUMMYFUNCTION("GOOGLEFINANCE(A1389,""CLOSEYEST"")"),1043.0)</f>
        <v>1043</v>
      </c>
      <c r="H1389" s="17" t="str">
        <f t="shared" si="14"/>
        <v/>
      </c>
      <c r="I1389" s="18">
        <f t="shared" si="9"/>
        <v>1042</v>
      </c>
      <c r="J1389" s="19">
        <f t="shared" si="10"/>
        <v>1063</v>
      </c>
      <c r="K1389" s="19"/>
      <c r="L1389" s="19">
        <f t="shared" si="11"/>
        <v>1022</v>
      </c>
      <c r="M1389" s="19">
        <f t="shared" si="12"/>
        <v>1083</v>
      </c>
      <c r="N1389" s="19">
        <f t="shared" si="13"/>
        <v>1001</v>
      </c>
    </row>
    <row r="1390" ht="24.75" customHeight="1">
      <c r="A1390" s="21" t="s">
        <v>1353</v>
      </c>
      <c r="B1390" s="13" t="str">
        <f>IFERROR(__xludf.DUMMYFUNCTION("GOOGLEFINANCE(A1390,""PRICE"")"),"#N/A")</f>
        <v>#N/A</v>
      </c>
      <c r="C1390" s="14" t="str">
        <f>IFERROR(__xludf.DUMMYFUNCTION("GOOGLEFINANCE(A1390,""PRICEOPEN"")"),"#N/A")</f>
        <v>#N/A</v>
      </c>
      <c r="D1390" s="14" t="str">
        <f>IFERROR(__xludf.DUMMYFUNCTION("GOOGLEFINANCE(A1390,""HIGH"")"),"#N/A")</f>
        <v>#N/A</v>
      </c>
      <c r="E1390" s="14" t="str">
        <f>IFERROR(__xludf.DUMMYFUNCTION("GOOGLEFINANCE(A1390,""LOW"")"),"#N/A")</f>
        <v>#N/A</v>
      </c>
      <c r="F1390" s="15" t="str">
        <f t="shared" si="8"/>
        <v>#N/A</v>
      </c>
      <c r="G1390" s="16" t="str">
        <f>IFERROR(__xludf.DUMMYFUNCTION("GOOGLEFINANCE(A1390,""CLOSEYEST"")"),"#N/A")</f>
        <v>#N/A</v>
      </c>
      <c r="H1390" s="17" t="str">
        <f t="shared" si="14"/>
        <v>#N/A</v>
      </c>
      <c r="I1390" s="18" t="str">
        <f t="shared" si="9"/>
        <v>#N/A</v>
      </c>
      <c r="J1390" s="19" t="str">
        <f t="shared" si="10"/>
        <v>#N/A</v>
      </c>
      <c r="K1390" s="19"/>
      <c r="L1390" s="19" t="str">
        <f t="shared" si="11"/>
        <v>#N/A</v>
      </c>
      <c r="M1390" s="19" t="str">
        <f t="shared" si="12"/>
        <v>#N/A</v>
      </c>
      <c r="N1390" s="19" t="str">
        <f t="shared" si="13"/>
        <v>#N/A</v>
      </c>
    </row>
    <row r="1391" ht="24.75" customHeight="1">
      <c r="A1391" s="21" t="s">
        <v>1354</v>
      </c>
      <c r="B1391" s="13" t="str">
        <f>IFERROR(__xludf.DUMMYFUNCTION("GOOGLEFINANCE(A1391,""PRICE"")"),"#N/A")</f>
        <v>#N/A</v>
      </c>
      <c r="C1391" s="14" t="str">
        <f>IFERROR(__xludf.DUMMYFUNCTION("GOOGLEFINANCE(A1391,""PRICEOPEN"")"),"#N/A")</f>
        <v>#N/A</v>
      </c>
      <c r="D1391" s="14" t="str">
        <f>IFERROR(__xludf.DUMMYFUNCTION("GOOGLEFINANCE(A1391,""HIGH"")"),"#N/A")</f>
        <v>#N/A</v>
      </c>
      <c r="E1391" s="14" t="str">
        <f>IFERROR(__xludf.DUMMYFUNCTION("GOOGLEFINANCE(A1391,""LOW"")"),"#N/A")</f>
        <v>#N/A</v>
      </c>
      <c r="F1391" s="15" t="str">
        <f t="shared" si="8"/>
        <v>#N/A</v>
      </c>
      <c r="G1391" s="16" t="str">
        <f>IFERROR(__xludf.DUMMYFUNCTION("GOOGLEFINANCE(A1391,""CLOSEYEST"")"),"#N/A")</f>
        <v>#N/A</v>
      </c>
      <c r="H1391" s="17" t="str">
        <f t="shared" si="14"/>
        <v>#N/A</v>
      </c>
      <c r="I1391" s="18" t="str">
        <f t="shared" si="9"/>
        <v>#N/A</v>
      </c>
      <c r="J1391" s="19" t="str">
        <f t="shared" si="10"/>
        <v>#N/A</v>
      </c>
      <c r="K1391" s="19"/>
      <c r="L1391" s="19" t="str">
        <f t="shared" si="11"/>
        <v>#N/A</v>
      </c>
      <c r="M1391" s="19" t="str">
        <f t="shared" si="12"/>
        <v>#N/A</v>
      </c>
      <c r="N1391" s="19" t="str">
        <f t="shared" si="13"/>
        <v>#N/A</v>
      </c>
    </row>
    <row r="1392" ht="24.75" customHeight="1">
      <c r="A1392" s="21" t="s">
        <v>1355</v>
      </c>
      <c r="B1392" s="13">
        <f>IFERROR(__xludf.DUMMYFUNCTION("GOOGLEFINANCE(A1392,""PRICE"")"),181.5)</f>
        <v>181.5</v>
      </c>
      <c r="C1392" s="14">
        <f>IFERROR(__xludf.DUMMYFUNCTION("GOOGLEFINANCE(A1392,""PRICEOPEN"")"),174.01)</f>
        <v>174.01</v>
      </c>
      <c r="D1392" s="14">
        <f>IFERROR(__xludf.DUMMYFUNCTION("GOOGLEFINANCE(A1392,""HIGH"")"),183.5)</f>
        <v>183.5</v>
      </c>
      <c r="E1392" s="14">
        <f>IFERROR(__xludf.DUMMYFUNCTION("GOOGLEFINANCE(A1392,""LOW"")"),174.01)</f>
        <v>174.01</v>
      </c>
      <c r="F1392" s="15" t="str">
        <f t="shared" si="8"/>
        <v>BUY</v>
      </c>
      <c r="G1392" s="16">
        <f>IFERROR(__xludf.DUMMYFUNCTION("GOOGLEFINANCE(A1392,""CLOSEYEST"")"),175.86)</f>
        <v>175.86</v>
      </c>
      <c r="H1392" s="17" t="str">
        <f t="shared" si="14"/>
        <v>GAP DOWN</v>
      </c>
      <c r="I1392" s="18">
        <f t="shared" si="9"/>
        <v>177.79</v>
      </c>
      <c r="J1392" s="19">
        <f t="shared" si="10"/>
        <v>181.57</v>
      </c>
      <c r="K1392" s="19"/>
      <c r="L1392" s="19">
        <f t="shared" si="11"/>
        <v>172.08</v>
      </c>
      <c r="M1392" s="19">
        <f t="shared" si="12"/>
        <v>187.28</v>
      </c>
      <c r="N1392" s="19">
        <f t="shared" si="13"/>
        <v>168.3</v>
      </c>
    </row>
    <row r="1393" ht="24.75" customHeight="1">
      <c r="A1393" s="21" t="s">
        <v>1356</v>
      </c>
      <c r="B1393" s="13" t="str">
        <f>IFERROR(__xludf.DUMMYFUNCTION("GOOGLEFINANCE(A1393,""PRICE"")"),"#N/A")</f>
        <v>#N/A</v>
      </c>
      <c r="C1393" s="14" t="str">
        <f>IFERROR(__xludf.DUMMYFUNCTION("GOOGLEFINANCE(A1393,""PRICEOPEN"")"),"#N/A")</f>
        <v>#N/A</v>
      </c>
      <c r="D1393" s="14" t="str">
        <f>IFERROR(__xludf.DUMMYFUNCTION("GOOGLEFINANCE(A1393,""HIGH"")"),"#N/A")</f>
        <v>#N/A</v>
      </c>
      <c r="E1393" s="14" t="str">
        <f>IFERROR(__xludf.DUMMYFUNCTION("GOOGLEFINANCE(A1393,""LOW"")"),"#N/A")</f>
        <v>#N/A</v>
      </c>
      <c r="F1393" s="15" t="str">
        <f t="shared" si="8"/>
        <v>#N/A</v>
      </c>
      <c r="G1393" s="16" t="str">
        <f>IFERROR(__xludf.DUMMYFUNCTION("GOOGLEFINANCE(A1393,""CLOSEYEST"")"),"#N/A")</f>
        <v>#N/A</v>
      </c>
      <c r="H1393" s="17" t="str">
        <f t="shared" si="14"/>
        <v>#N/A</v>
      </c>
      <c r="I1393" s="18" t="str">
        <f t="shared" si="9"/>
        <v>#N/A</v>
      </c>
      <c r="J1393" s="19" t="str">
        <f t="shared" si="10"/>
        <v>#N/A</v>
      </c>
      <c r="K1393" s="19"/>
      <c r="L1393" s="19" t="str">
        <f t="shared" si="11"/>
        <v>#N/A</v>
      </c>
      <c r="M1393" s="19" t="str">
        <f t="shared" si="12"/>
        <v>#N/A</v>
      </c>
      <c r="N1393" s="19" t="str">
        <f t="shared" si="13"/>
        <v>#N/A</v>
      </c>
    </row>
    <row r="1394" ht="24.75" customHeight="1">
      <c r="A1394" s="21" t="s">
        <v>1357</v>
      </c>
      <c r="B1394" s="13">
        <f>IFERROR(__xludf.DUMMYFUNCTION("GOOGLEFINANCE(A1394,""PRICE"")"),362.0)</f>
        <v>362</v>
      </c>
      <c r="C1394" s="14">
        <f>IFERROR(__xludf.DUMMYFUNCTION("GOOGLEFINANCE(A1394,""PRICEOPEN"")"),369.9)</f>
        <v>369.9</v>
      </c>
      <c r="D1394" s="14">
        <f>IFERROR(__xludf.DUMMYFUNCTION("GOOGLEFINANCE(A1394,""HIGH"")"),369.95)</f>
        <v>369.95</v>
      </c>
      <c r="E1394" s="14">
        <f>IFERROR(__xludf.DUMMYFUNCTION("GOOGLEFINANCE(A1394,""LOW"")"),357.15)</f>
        <v>357.15</v>
      </c>
      <c r="F1394" s="15" t="str">
        <f t="shared" si="8"/>
        <v/>
      </c>
      <c r="G1394" s="16">
        <f>IFERROR(__xludf.DUMMYFUNCTION("GOOGLEFINANCE(A1394,""CLOSEYEST"")"),366.8)</f>
        <v>366.8</v>
      </c>
      <c r="H1394" s="17" t="str">
        <f t="shared" si="14"/>
        <v/>
      </c>
      <c r="I1394" s="18">
        <f t="shared" si="9"/>
        <v>364.6333333</v>
      </c>
      <c r="J1394" s="19">
        <f t="shared" si="10"/>
        <v>372.1166667</v>
      </c>
      <c r="K1394" s="19"/>
      <c r="L1394" s="19">
        <f t="shared" si="11"/>
        <v>359.3166667</v>
      </c>
      <c r="M1394" s="19">
        <f t="shared" si="12"/>
        <v>377.4333333</v>
      </c>
      <c r="N1394" s="19">
        <f t="shared" si="13"/>
        <v>351.8333333</v>
      </c>
    </row>
    <row r="1395" ht="24.75" customHeight="1">
      <c r="A1395" s="21" t="s">
        <v>1358</v>
      </c>
      <c r="B1395" s="13">
        <f>IFERROR(__xludf.DUMMYFUNCTION("GOOGLEFINANCE(A1395,""PRICE"")"),45.27)</f>
        <v>45.27</v>
      </c>
      <c r="C1395" s="14">
        <f>IFERROR(__xludf.DUMMYFUNCTION("GOOGLEFINANCE(A1395,""PRICEOPEN"")"),45.27)</f>
        <v>45.27</v>
      </c>
      <c r="D1395" s="14">
        <f>IFERROR(__xludf.DUMMYFUNCTION("GOOGLEFINANCE(A1395,""HIGH"")"),45.27)</f>
        <v>45.27</v>
      </c>
      <c r="E1395" s="14">
        <f>IFERROR(__xludf.DUMMYFUNCTION("GOOGLEFINANCE(A1395,""LOW"")"),45.27)</f>
        <v>45.27</v>
      </c>
      <c r="F1395" s="15" t="str">
        <f t="shared" si="8"/>
        <v>SELL</v>
      </c>
      <c r="G1395" s="16">
        <f>IFERROR(__xludf.DUMMYFUNCTION("GOOGLEFINANCE(A1395,""CLOSEYEST"")"),43.12)</f>
        <v>43.12</v>
      </c>
      <c r="H1395" s="17" t="str">
        <f t="shared" si="14"/>
        <v>GAP UP</v>
      </c>
      <c r="I1395" s="18">
        <f t="shared" si="9"/>
        <v>44.55333333</v>
      </c>
      <c r="J1395" s="19">
        <f t="shared" si="10"/>
        <v>43.83666667</v>
      </c>
      <c r="K1395" s="19"/>
      <c r="L1395" s="19">
        <f t="shared" si="11"/>
        <v>43.83666667</v>
      </c>
      <c r="M1395" s="19">
        <f t="shared" si="12"/>
        <v>44.55333333</v>
      </c>
      <c r="N1395" s="19">
        <f t="shared" si="13"/>
        <v>44.55333333</v>
      </c>
    </row>
    <row r="1396" ht="24.75" customHeight="1">
      <c r="A1396" s="21" t="s">
        <v>1359</v>
      </c>
      <c r="B1396" s="13">
        <f>IFERROR(__xludf.DUMMYFUNCTION("GOOGLEFINANCE(A1396,""PRICE"")"),17.51)</f>
        <v>17.51</v>
      </c>
      <c r="C1396" s="14">
        <f>IFERROR(__xludf.DUMMYFUNCTION("GOOGLEFINANCE(A1396,""PRICEOPEN"")"),16.66)</f>
        <v>16.66</v>
      </c>
      <c r="D1396" s="14">
        <f>IFERROR(__xludf.DUMMYFUNCTION("GOOGLEFINANCE(A1396,""HIGH"")"),17.51)</f>
        <v>17.51</v>
      </c>
      <c r="E1396" s="14">
        <f>IFERROR(__xludf.DUMMYFUNCTION("GOOGLEFINANCE(A1396,""LOW"")"),16.66)</f>
        <v>16.66</v>
      </c>
      <c r="F1396" s="15" t="str">
        <f t="shared" si="8"/>
        <v>BUY</v>
      </c>
      <c r="G1396" s="16">
        <f>IFERROR(__xludf.DUMMYFUNCTION("GOOGLEFINANCE(A1396,""CLOSEYEST"")"),16.68)</f>
        <v>16.68</v>
      </c>
      <c r="H1396" s="17" t="str">
        <f t="shared" si="14"/>
        <v/>
      </c>
      <c r="I1396" s="18">
        <f t="shared" si="9"/>
        <v>16.95</v>
      </c>
      <c r="J1396" s="19">
        <f t="shared" si="10"/>
        <v>17.24</v>
      </c>
      <c r="K1396" s="19"/>
      <c r="L1396" s="19">
        <f t="shared" si="11"/>
        <v>16.39</v>
      </c>
      <c r="M1396" s="19">
        <f t="shared" si="12"/>
        <v>17.8</v>
      </c>
      <c r="N1396" s="19">
        <f t="shared" si="13"/>
        <v>16.1</v>
      </c>
    </row>
    <row r="1397" ht="24.75" customHeight="1">
      <c r="A1397" s="21" t="s">
        <v>1360</v>
      </c>
      <c r="B1397" s="13">
        <f>IFERROR(__xludf.DUMMYFUNCTION("GOOGLEFINANCE(A1397,""PRICE"")"),287.0)</f>
        <v>287</v>
      </c>
      <c r="C1397" s="14">
        <f>IFERROR(__xludf.DUMMYFUNCTION("GOOGLEFINANCE(A1397,""PRICEOPEN"")"),291.15)</f>
        <v>291.15</v>
      </c>
      <c r="D1397" s="14">
        <f>IFERROR(__xludf.DUMMYFUNCTION("GOOGLEFINANCE(A1397,""HIGH"")"),293.95)</f>
        <v>293.95</v>
      </c>
      <c r="E1397" s="14">
        <f>IFERROR(__xludf.DUMMYFUNCTION("GOOGLEFINANCE(A1397,""LOW"")"),281.5)</f>
        <v>281.5</v>
      </c>
      <c r="F1397" s="15" t="str">
        <f t="shared" si="8"/>
        <v/>
      </c>
      <c r="G1397" s="16">
        <f>IFERROR(__xludf.DUMMYFUNCTION("GOOGLEFINANCE(A1397,""CLOSEYEST"")"),291.7)</f>
        <v>291.7</v>
      </c>
      <c r="H1397" s="17" t="str">
        <f t="shared" si="14"/>
        <v/>
      </c>
      <c r="I1397" s="18">
        <f t="shared" si="9"/>
        <v>289.05</v>
      </c>
      <c r="J1397" s="19">
        <f t="shared" si="10"/>
        <v>296.6</v>
      </c>
      <c r="K1397" s="19"/>
      <c r="L1397" s="19">
        <f t="shared" si="11"/>
        <v>284.15</v>
      </c>
      <c r="M1397" s="19">
        <f t="shared" si="12"/>
        <v>301.5</v>
      </c>
      <c r="N1397" s="19">
        <f t="shared" si="13"/>
        <v>276.6</v>
      </c>
    </row>
    <row r="1398" ht="24.75" customHeight="1">
      <c r="A1398" s="21" t="s">
        <v>1361</v>
      </c>
      <c r="B1398" s="13">
        <f>IFERROR(__xludf.DUMMYFUNCTION("GOOGLEFINANCE(A1398,""PRICE"")"),17.52)</f>
        <v>17.52</v>
      </c>
      <c r="C1398" s="14">
        <f>IFERROR(__xludf.DUMMYFUNCTION("GOOGLEFINANCE(A1398,""PRICEOPEN"")"),17.52)</f>
        <v>17.52</v>
      </c>
      <c r="D1398" s="14">
        <f>IFERROR(__xludf.DUMMYFUNCTION("GOOGLEFINANCE(A1398,""HIGH"")"),17.52)</f>
        <v>17.52</v>
      </c>
      <c r="E1398" s="14">
        <f>IFERROR(__xludf.DUMMYFUNCTION("GOOGLEFINANCE(A1398,""LOW"")"),17.52)</f>
        <v>17.52</v>
      </c>
      <c r="F1398" s="15" t="str">
        <f t="shared" si="8"/>
        <v>SELL</v>
      </c>
      <c r="G1398" s="16">
        <f>IFERROR(__xludf.DUMMYFUNCTION("GOOGLEFINANCE(A1398,""CLOSEYEST"")"),17.18)</f>
        <v>17.18</v>
      </c>
      <c r="H1398" s="17" t="str">
        <f t="shared" si="14"/>
        <v>GAP UP</v>
      </c>
      <c r="I1398" s="18">
        <f t="shared" si="9"/>
        <v>17.40666667</v>
      </c>
      <c r="J1398" s="19">
        <f t="shared" si="10"/>
        <v>17.29333333</v>
      </c>
      <c r="K1398" s="19"/>
      <c r="L1398" s="19">
        <f t="shared" si="11"/>
        <v>17.29333333</v>
      </c>
      <c r="M1398" s="19">
        <f t="shared" si="12"/>
        <v>17.40666667</v>
      </c>
      <c r="N1398" s="19">
        <f t="shared" si="13"/>
        <v>17.40666667</v>
      </c>
    </row>
    <row r="1399" ht="24.75" customHeight="1">
      <c r="A1399" s="21" t="s">
        <v>1362</v>
      </c>
      <c r="B1399" s="13">
        <f>IFERROR(__xludf.DUMMYFUNCTION("GOOGLEFINANCE(A1399,""PRICE"")"),534.15)</f>
        <v>534.15</v>
      </c>
      <c r="C1399" s="14">
        <f>IFERROR(__xludf.DUMMYFUNCTION("GOOGLEFINANCE(A1399,""PRICEOPEN"")"),525.2)</f>
        <v>525.2</v>
      </c>
      <c r="D1399" s="14">
        <f>IFERROR(__xludf.DUMMYFUNCTION("GOOGLEFINANCE(A1399,""HIGH"")"),540.8)</f>
        <v>540.8</v>
      </c>
      <c r="E1399" s="14">
        <f>IFERROR(__xludf.DUMMYFUNCTION("GOOGLEFINANCE(A1399,""LOW"")"),523.7)</f>
        <v>523.7</v>
      </c>
      <c r="F1399" s="15" t="str">
        <f t="shared" si="8"/>
        <v/>
      </c>
      <c r="G1399" s="16">
        <f>IFERROR(__xludf.DUMMYFUNCTION("GOOGLEFINANCE(A1399,""CLOSEYEST"")"),528.35)</f>
        <v>528.35</v>
      </c>
      <c r="H1399" s="17" t="str">
        <f t="shared" si="14"/>
        <v/>
      </c>
      <c r="I1399" s="18">
        <f t="shared" si="9"/>
        <v>530.95</v>
      </c>
      <c r="J1399" s="19">
        <f t="shared" si="10"/>
        <v>538.2</v>
      </c>
      <c r="K1399" s="19"/>
      <c r="L1399" s="19">
        <f t="shared" si="11"/>
        <v>521.1</v>
      </c>
      <c r="M1399" s="19">
        <f t="shared" si="12"/>
        <v>548.05</v>
      </c>
      <c r="N1399" s="19">
        <f t="shared" si="13"/>
        <v>513.85</v>
      </c>
    </row>
    <row r="1400" ht="24.75" customHeight="1">
      <c r="A1400" s="21" t="s">
        <v>1363</v>
      </c>
      <c r="B1400" s="13">
        <f>IFERROR(__xludf.DUMMYFUNCTION("GOOGLEFINANCE(A1400,""PRICE"")"),123.78)</f>
        <v>123.78</v>
      </c>
      <c r="C1400" s="14">
        <f>IFERROR(__xludf.DUMMYFUNCTION("GOOGLEFINANCE(A1400,""PRICEOPEN"")"),124.99)</f>
        <v>124.99</v>
      </c>
      <c r="D1400" s="14">
        <f>IFERROR(__xludf.DUMMYFUNCTION("GOOGLEFINANCE(A1400,""HIGH"")"),124.99)</f>
        <v>124.99</v>
      </c>
      <c r="E1400" s="14">
        <f>IFERROR(__xludf.DUMMYFUNCTION("GOOGLEFINANCE(A1400,""LOW"")"),121.2)</f>
        <v>121.2</v>
      </c>
      <c r="F1400" s="15" t="str">
        <f t="shared" si="8"/>
        <v>SELL</v>
      </c>
      <c r="G1400" s="16">
        <f>IFERROR(__xludf.DUMMYFUNCTION("GOOGLEFINANCE(A1400,""CLOSEYEST"")"),123.89)</f>
        <v>123.89</v>
      </c>
      <c r="H1400" s="17" t="str">
        <f t="shared" si="14"/>
        <v/>
      </c>
      <c r="I1400" s="18">
        <f t="shared" si="9"/>
        <v>123.36</v>
      </c>
      <c r="J1400" s="19">
        <f t="shared" si="10"/>
        <v>125.52</v>
      </c>
      <c r="K1400" s="19"/>
      <c r="L1400" s="19">
        <f t="shared" si="11"/>
        <v>121.73</v>
      </c>
      <c r="M1400" s="19">
        <f t="shared" si="12"/>
        <v>127.15</v>
      </c>
      <c r="N1400" s="19">
        <f t="shared" si="13"/>
        <v>119.57</v>
      </c>
    </row>
    <row r="1401" ht="24.75" customHeight="1">
      <c r="A1401" s="21" t="s">
        <v>1364</v>
      </c>
      <c r="B1401" s="13">
        <f>IFERROR(__xludf.DUMMYFUNCTION("GOOGLEFINANCE(A1401,""PRICE"")"),121.43)</f>
        <v>121.43</v>
      </c>
      <c r="C1401" s="14">
        <f>IFERROR(__xludf.DUMMYFUNCTION("GOOGLEFINANCE(A1401,""PRICEOPEN"")"),121.95)</f>
        <v>121.95</v>
      </c>
      <c r="D1401" s="14">
        <f>IFERROR(__xludf.DUMMYFUNCTION("GOOGLEFINANCE(A1401,""HIGH"")"),122.05)</f>
        <v>122.05</v>
      </c>
      <c r="E1401" s="14">
        <f>IFERROR(__xludf.DUMMYFUNCTION("GOOGLEFINANCE(A1401,""LOW"")"),121.43)</f>
        <v>121.43</v>
      </c>
      <c r="F1401" s="15" t="str">
        <f t="shared" si="8"/>
        <v/>
      </c>
      <c r="G1401" s="16">
        <f>IFERROR(__xludf.DUMMYFUNCTION("GOOGLEFINANCE(A1401,""CLOSEYEST"")"),121.89)</f>
        <v>121.89</v>
      </c>
      <c r="H1401" s="17" t="str">
        <f t="shared" si="14"/>
        <v/>
      </c>
      <c r="I1401" s="18">
        <f t="shared" si="9"/>
        <v>121.79</v>
      </c>
      <c r="J1401" s="19">
        <f t="shared" si="10"/>
        <v>122.15</v>
      </c>
      <c r="K1401" s="19"/>
      <c r="L1401" s="19">
        <f t="shared" si="11"/>
        <v>121.53</v>
      </c>
      <c r="M1401" s="19">
        <f t="shared" si="12"/>
        <v>122.41</v>
      </c>
      <c r="N1401" s="19">
        <f t="shared" si="13"/>
        <v>121.17</v>
      </c>
    </row>
    <row r="1402" ht="24.75" customHeight="1">
      <c r="A1402" s="21" t="s">
        <v>1365</v>
      </c>
      <c r="B1402" s="13">
        <f>IFERROR(__xludf.DUMMYFUNCTION("GOOGLEFINANCE(A1402,""PRICE"")"),1018.9)</f>
        <v>1018.9</v>
      </c>
      <c r="C1402" s="14">
        <f>IFERROR(__xludf.DUMMYFUNCTION("GOOGLEFINANCE(A1402,""PRICEOPEN"")"),1045.95)</f>
        <v>1045.95</v>
      </c>
      <c r="D1402" s="14">
        <f>IFERROR(__xludf.DUMMYFUNCTION("GOOGLEFINANCE(A1402,""HIGH"")"),1069.0)</f>
        <v>1069</v>
      </c>
      <c r="E1402" s="14">
        <f>IFERROR(__xludf.DUMMYFUNCTION("GOOGLEFINANCE(A1402,""LOW"")"),1011.25)</f>
        <v>1011.25</v>
      </c>
      <c r="F1402" s="15" t="str">
        <f t="shared" si="8"/>
        <v/>
      </c>
      <c r="G1402" s="16">
        <f>IFERROR(__xludf.DUMMYFUNCTION("GOOGLEFINANCE(A1402,""CLOSEYEST"")"),1011.25)</f>
        <v>1011.25</v>
      </c>
      <c r="H1402" s="17" t="str">
        <f t="shared" si="14"/>
        <v>GAP UP</v>
      </c>
      <c r="I1402" s="18">
        <f t="shared" si="9"/>
        <v>1030.5</v>
      </c>
      <c r="J1402" s="19">
        <f t="shared" si="10"/>
        <v>1049.75</v>
      </c>
      <c r="K1402" s="19"/>
      <c r="L1402" s="19">
        <f t="shared" si="11"/>
        <v>992</v>
      </c>
      <c r="M1402" s="19">
        <f t="shared" si="12"/>
        <v>1088.25</v>
      </c>
      <c r="N1402" s="19">
        <f t="shared" si="13"/>
        <v>972.75</v>
      </c>
    </row>
    <row r="1403" ht="24.75" customHeight="1">
      <c r="A1403" s="21" t="s">
        <v>1366</v>
      </c>
      <c r="B1403" s="13">
        <f>IFERROR(__xludf.DUMMYFUNCTION("GOOGLEFINANCE(A1403,""PRICE"")"),115.53)</f>
        <v>115.53</v>
      </c>
      <c r="C1403" s="14">
        <f>IFERROR(__xludf.DUMMYFUNCTION("GOOGLEFINANCE(A1403,""PRICEOPEN"")"),114.85)</f>
        <v>114.85</v>
      </c>
      <c r="D1403" s="14">
        <f>IFERROR(__xludf.DUMMYFUNCTION("GOOGLEFINANCE(A1403,""HIGH"")"),116.0)</f>
        <v>116</v>
      </c>
      <c r="E1403" s="14">
        <f>IFERROR(__xludf.DUMMYFUNCTION("GOOGLEFINANCE(A1403,""LOW"")"),113.55)</f>
        <v>113.55</v>
      </c>
      <c r="F1403" s="15" t="str">
        <f t="shared" si="8"/>
        <v/>
      </c>
      <c r="G1403" s="16">
        <f>IFERROR(__xludf.DUMMYFUNCTION("GOOGLEFINANCE(A1403,""CLOSEYEST"")"),113.39)</f>
        <v>113.39</v>
      </c>
      <c r="H1403" s="17" t="str">
        <f t="shared" si="14"/>
        <v>GAP UP</v>
      </c>
      <c r="I1403" s="18">
        <f t="shared" si="9"/>
        <v>114.3133333</v>
      </c>
      <c r="J1403" s="19">
        <f t="shared" si="10"/>
        <v>115.0766667</v>
      </c>
      <c r="K1403" s="19"/>
      <c r="L1403" s="19">
        <f t="shared" si="11"/>
        <v>112.6266667</v>
      </c>
      <c r="M1403" s="19">
        <f t="shared" si="12"/>
        <v>116.7633333</v>
      </c>
      <c r="N1403" s="19">
        <f t="shared" si="13"/>
        <v>111.8633333</v>
      </c>
    </row>
    <row r="1404" ht="24.75" customHeight="1">
      <c r="A1404" s="21" t="s">
        <v>1367</v>
      </c>
      <c r="B1404" s="13">
        <f>IFERROR(__xludf.DUMMYFUNCTION("GOOGLEFINANCE(A1404,""PRICE"")"),286.0)</f>
        <v>286</v>
      </c>
      <c r="C1404" s="14">
        <f>IFERROR(__xludf.DUMMYFUNCTION("GOOGLEFINANCE(A1404,""PRICEOPEN"")"),288.65)</f>
        <v>288.65</v>
      </c>
      <c r="D1404" s="14">
        <f>IFERROR(__xludf.DUMMYFUNCTION("GOOGLEFINANCE(A1404,""HIGH"")"),288.65)</f>
        <v>288.65</v>
      </c>
      <c r="E1404" s="14">
        <f>IFERROR(__xludf.DUMMYFUNCTION("GOOGLEFINANCE(A1404,""LOW"")"),284.1)</f>
        <v>284.1</v>
      </c>
      <c r="F1404" s="15" t="str">
        <f t="shared" si="8"/>
        <v>SELL</v>
      </c>
      <c r="G1404" s="16">
        <f>IFERROR(__xludf.DUMMYFUNCTION("GOOGLEFINANCE(A1404,""CLOSEYEST"")"),287.65)</f>
        <v>287.65</v>
      </c>
      <c r="H1404" s="17" t="str">
        <f t="shared" si="14"/>
        <v/>
      </c>
      <c r="I1404" s="18">
        <f t="shared" si="9"/>
        <v>286.8</v>
      </c>
      <c r="J1404" s="19">
        <f t="shared" si="10"/>
        <v>289.5</v>
      </c>
      <c r="K1404" s="19"/>
      <c r="L1404" s="19">
        <f t="shared" si="11"/>
        <v>284.95</v>
      </c>
      <c r="M1404" s="19">
        <f t="shared" si="12"/>
        <v>291.35</v>
      </c>
      <c r="N1404" s="19">
        <f t="shared" si="13"/>
        <v>282.25</v>
      </c>
    </row>
    <row r="1405" ht="24.75" customHeight="1">
      <c r="A1405" s="21" t="s">
        <v>1368</v>
      </c>
      <c r="B1405" s="13">
        <f>IFERROR(__xludf.DUMMYFUNCTION("GOOGLEFINANCE(A1405,""PRICE"")"),13.0)</f>
        <v>13</v>
      </c>
      <c r="C1405" s="14">
        <f>IFERROR(__xludf.DUMMYFUNCTION("GOOGLEFINANCE(A1405,""PRICEOPEN"")"),12.79)</f>
        <v>12.79</v>
      </c>
      <c r="D1405" s="14">
        <f>IFERROR(__xludf.DUMMYFUNCTION("GOOGLEFINANCE(A1405,""HIGH"")"),13.13)</f>
        <v>13.13</v>
      </c>
      <c r="E1405" s="14">
        <f>IFERROR(__xludf.DUMMYFUNCTION("GOOGLEFINANCE(A1405,""LOW"")"),12.45)</f>
        <v>12.45</v>
      </c>
      <c r="F1405" s="15" t="str">
        <f t="shared" si="8"/>
        <v/>
      </c>
      <c r="G1405" s="16">
        <f>IFERROR(__xludf.DUMMYFUNCTION("GOOGLEFINANCE(A1405,""CLOSEYEST"")"),12.51)</f>
        <v>12.51</v>
      </c>
      <c r="H1405" s="17" t="str">
        <f t="shared" si="14"/>
        <v>GAP UP</v>
      </c>
      <c r="I1405" s="18">
        <f t="shared" si="9"/>
        <v>12.69666667</v>
      </c>
      <c r="J1405" s="19">
        <f t="shared" si="10"/>
        <v>12.94333333</v>
      </c>
      <c r="K1405" s="19"/>
      <c r="L1405" s="19">
        <f t="shared" si="11"/>
        <v>12.26333333</v>
      </c>
      <c r="M1405" s="19">
        <f t="shared" si="12"/>
        <v>13.37666667</v>
      </c>
      <c r="N1405" s="19">
        <f t="shared" si="13"/>
        <v>12.01666667</v>
      </c>
    </row>
    <row r="1406" ht="24.75" customHeight="1">
      <c r="A1406" s="21" t="s">
        <v>1369</v>
      </c>
      <c r="B1406" s="13" t="str">
        <f>IFERROR(__xludf.DUMMYFUNCTION("GOOGLEFINANCE(A1406,""PRICE"")"),"#N/A")</f>
        <v>#N/A</v>
      </c>
      <c r="C1406" s="14" t="str">
        <f>IFERROR(__xludf.DUMMYFUNCTION("GOOGLEFINANCE(A1406,""PRICEOPEN"")"),"#N/A")</f>
        <v>#N/A</v>
      </c>
      <c r="D1406" s="14" t="str">
        <f>IFERROR(__xludf.DUMMYFUNCTION("GOOGLEFINANCE(A1406,""HIGH"")"),"#N/A")</f>
        <v>#N/A</v>
      </c>
      <c r="E1406" s="14" t="str">
        <f>IFERROR(__xludf.DUMMYFUNCTION("GOOGLEFINANCE(A1406,""LOW"")"),"#N/A")</f>
        <v>#N/A</v>
      </c>
      <c r="F1406" s="15" t="str">
        <f t="shared" si="8"/>
        <v>#N/A</v>
      </c>
      <c r="G1406" s="16" t="str">
        <f>IFERROR(__xludf.DUMMYFUNCTION("GOOGLEFINANCE(A1406,""CLOSEYEST"")"),"#N/A")</f>
        <v>#N/A</v>
      </c>
      <c r="H1406" s="17" t="str">
        <f t="shared" si="14"/>
        <v>#N/A</v>
      </c>
      <c r="I1406" s="18" t="str">
        <f t="shared" si="9"/>
        <v>#N/A</v>
      </c>
      <c r="J1406" s="19" t="str">
        <f t="shared" si="10"/>
        <v>#N/A</v>
      </c>
      <c r="K1406" s="19"/>
      <c r="L1406" s="19" t="str">
        <f t="shared" si="11"/>
        <v>#N/A</v>
      </c>
      <c r="M1406" s="19" t="str">
        <f t="shared" si="12"/>
        <v>#N/A</v>
      </c>
      <c r="N1406" s="19" t="str">
        <f t="shared" si="13"/>
        <v>#N/A</v>
      </c>
    </row>
    <row r="1407" ht="24.75" customHeight="1">
      <c r="A1407" s="21" t="s">
        <v>1370</v>
      </c>
      <c r="B1407" s="13" t="str">
        <f>IFERROR(__xludf.DUMMYFUNCTION("GOOGLEFINANCE(A1407,""PRICE"")"),"#N/A")</f>
        <v>#N/A</v>
      </c>
      <c r="C1407" s="14" t="str">
        <f>IFERROR(__xludf.DUMMYFUNCTION("GOOGLEFINANCE(A1407,""PRICEOPEN"")"),"#N/A")</f>
        <v>#N/A</v>
      </c>
      <c r="D1407" s="14" t="str">
        <f>IFERROR(__xludf.DUMMYFUNCTION("GOOGLEFINANCE(A1407,""HIGH"")"),"#N/A")</f>
        <v>#N/A</v>
      </c>
      <c r="E1407" s="14" t="str">
        <f>IFERROR(__xludf.DUMMYFUNCTION("GOOGLEFINANCE(A1407,""LOW"")"),"#N/A")</f>
        <v>#N/A</v>
      </c>
      <c r="F1407" s="15" t="str">
        <f t="shared" si="8"/>
        <v>#N/A</v>
      </c>
      <c r="G1407" s="16" t="str">
        <f>IFERROR(__xludf.DUMMYFUNCTION("GOOGLEFINANCE(A1407,""CLOSEYEST"")"),"#N/A")</f>
        <v>#N/A</v>
      </c>
      <c r="H1407" s="17" t="str">
        <f t="shared" si="14"/>
        <v>#N/A</v>
      </c>
      <c r="I1407" s="18" t="str">
        <f t="shared" si="9"/>
        <v>#N/A</v>
      </c>
      <c r="J1407" s="19" t="str">
        <f t="shared" si="10"/>
        <v>#N/A</v>
      </c>
      <c r="K1407" s="19"/>
      <c r="L1407" s="19" t="str">
        <f t="shared" si="11"/>
        <v>#N/A</v>
      </c>
      <c r="M1407" s="19" t="str">
        <f t="shared" si="12"/>
        <v>#N/A</v>
      </c>
      <c r="N1407" s="19" t="str">
        <f t="shared" si="13"/>
        <v>#N/A</v>
      </c>
    </row>
    <row r="1408" ht="24.75" customHeight="1">
      <c r="A1408" s="21" t="s">
        <v>1371</v>
      </c>
      <c r="B1408" s="13">
        <f>IFERROR(__xludf.DUMMYFUNCTION("GOOGLEFINANCE(A1408,""PRICE"")"),17.4)</f>
        <v>17.4</v>
      </c>
      <c r="C1408" s="14">
        <f>IFERROR(__xludf.DUMMYFUNCTION("GOOGLEFINANCE(A1408,""PRICEOPEN"")"),16.92)</f>
        <v>16.92</v>
      </c>
      <c r="D1408" s="14">
        <f>IFERROR(__xludf.DUMMYFUNCTION("GOOGLEFINANCE(A1408,""HIGH"")"),17.4)</f>
        <v>17.4</v>
      </c>
      <c r="E1408" s="14">
        <f>IFERROR(__xludf.DUMMYFUNCTION("GOOGLEFINANCE(A1408,""LOW"")"),16.89)</f>
        <v>16.89</v>
      </c>
      <c r="F1408" s="15" t="str">
        <f t="shared" si="8"/>
        <v/>
      </c>
      <c r="G1408" s="16">
        <f>IFERROR(__xludf.DUMMYFUNCTION("GOOGLEFINANCE(A1408,""CLOSEYEST"")"),16.58)</f>
        <v>16.58</v>
      </c>
      <c r="H1408" s="17" t="str">
        <f t="shared" si="14"/>
        <v>GAP UP</v>
      </c>
      <c r="I1408" s="18">
        <f t="shared" si="9"/>
        <v>16.95666667</v>
      </c>
      <c r="J1408" s="19">
        <f t="shared" si="10"/>
        <v>17.02333333</v>
      </c>
      <c r="K1408" s="19"/>
      <c r="L1408" s="19">
        <f t="shared" si="11"/>
        <v>16.51333333</v>
      </c>
      <c r="M1408" s="19">
        <f t="shared" si="12"/>
        <v>17.46666667</v>
      </c>
      <c r="N1408" s="19">
        <f t="shared" si="13"/>
        <v>16.44666667</v>
      </c>
    </row>
    <row r="1409" ht="24.75" customHeight="1">
      <c r="A1409" s="21" t="s">
        <v>1372</v>
      </c>
      <c r="B1409" s="13">
        <f>IFERROR(__xludf.DUMMYFUNCTION("GOOGLEFINANCE(A1409,""PRICE"")"),66.94)</f>
        <v>66.94</v>
      </c>
      <c r="C1409" s="14">
        <f>IFERROR(__xludf.DUMMYFUNCTION("GOOGLEFINANCE(A1409,""PRICEOPEN"")"),65.0)</f>
        <v>65</v>
      </c>
      <c r="D1409" s="14">
        <f>IFERROR(__xludf.DUMMYFUNCTION("GOOGLEFINANCE(A1409,""HIGH"")"),66.94)</f>
        <v>66.94</v>
      </c>
      <c r="E1409" s="14">
        <f>IFERROR(__xludf.DUMMYFUNCTION("GOOGLEFINANCE(A1409,""LOW"")"),64.0)</f>
        <v>64</v>
      </c>
      <c r="F1409" s="15" t="str">
        <f t="shared" si="8"/>
        <v/>
      </c>
      <c r="G1409" s="16">
        <f>IFERROR(__xludf.DUMMYFUNCTION("GOOGLEFINANCE(A1409,""CLOSEYEST"")"),65.08)</f>
        <v>65.08</v>
      </c>
      <c r="H1409" s="17" t="str">
        <f t="shared" si="14"/>
        <v/>
      </c>
      <c r="I1409" s="18">
        <f t="shared" si="9"/>
        <v>65.34</v>
      </c>
      <c r="J1409" s="19">
        <f t="shared" si="10"/>
        <v>66.68</v>
      </c>
      <c r="K1409" s="19"/>
      <c r="L1409" s="19">
        <f t="shared" si="11"/>
        <v>63.74</v>
      </c>
      <c r="M1409" s="19">
        <f t="shared" si="12"/>
        <v>68.28</v>
      </c>
      <c r="N1409" s="19">
        <f t="shared" si="13"/>
        <v>62.4</v>
      </c>
    </row>
    <row r="1410" ht="24.75" customHeight="1">
      <c r="A1410" s="21" t="s">
        <v>1373</v>
      </c>
      <c r="B1410" s="13">
        <f>IFERROR(__xludf.DUMMYFUNCTION("GOOGLEFINANCE(A1410,""PRICE"")"),115.5)</f>
        <v>115.5</v>
      </c>
      <c r="C1410" s="14">
        <f>IFERROR(__xludf.DUMMYFUNCTION("GOOGLEFINANCE(A1410,""PRICEOPEN"")"),113.9)</f>
        <v>113.9</v>
      </c>
      <c r="D1410" s="14">
        <f>IFERROR(__xludf.DUMMYFUNCTION("GOOGLEFINANCE(A1410,""HIGH"")"),116.0)</f>
        <v>116</v>
      </c>
      <c r="E1410" s="14">
        <f>IFERROR(__xludf.DUMMYFUNCTION("GOOGLEFINANCE(A1410,""LOW"")"),112.21)</f>
        <v>112.21</v>
      </c>
      <c r="F1410" s="15" t="str">
        <f t="shared" si="8"/>
        <v/>
      </c>
      <c r="G1410" s="16">
        <f>IFERROR(__xludf.DUMMYFUNCTION("GOOGLEFINANCE(A1410,""CLOSEYEST"")"),113.9)</f>
        <v>113.9</v>
      </c>
      <c r="H1410" s="17" t="str">
        <f t="shared" si="14"/>
        <v/>
      </c>
      <c r="I1410" s="18">
        <f t="shared" si="9"/>
        <v>114.0366667</v>
      </c>
      <c r="J1410" s="19">
        <f t="shared" si="10"/>
        <v>115.8633333</v>
      </c>
      <c r="K1410" s="19"/>
      <c r="L1410" s="19">
        <f t="shared" si="11"/>
        <v>112.0733333</v>
      </c>
      <c r="M1410" s="19">
        <f t="shared" si="12"/>
        <v>117.8266667</v>
      </c>
      <c r="N1410" s="19">
        <f t="shared" si="13"/>
        <v>110.2466667</v>
      </c>
    </row>
    <row r="1411" ht="24.75" customHeight="1">
      <c r="A1411" s="21" t="s">
        <v>1374</v>
      </c>
      <c r="B1411" s="13">
        <f>IFERROR(__xludf.DUMMYFUNCTION("GOOGLEFINANCE(A1411,""PRICE"")"),8.3)</f>
        <v>8.3</v>
      </c>
      <c r="C1411" s="14">
        <f>IFERROR(__xludf.DUMMYFUNCTION("GOOGLEFINANCE(A1411,""PRICEOPEN"")"),8.29)</f>
        <v>8.29</v>
      </c>
      <c r="D1411" s="14">
        <f>IFERROR(__xludf.DUMMYFUNCTION("GOOGLEFINANCE(A1411,""HIGH"")"),8.4)</f>
        <v>8.4</v>
      </c>
      <c r="E1411" s="14">
        <f>IFERROR(__xludf.DUMMYFUNCTION("GOOGLEFINANCE(A1411,""LOW"")"),7.92)</f>
        <v>7.92</v>
      </c>
      <c r="F1411" s="15" t="str">
        <f t="shared" si="8"/>
        <v/>
      </c>
      <c r="G1411" s="16">
        <f>IFERROR(__xludf.DUMMYFUNCTION("GOOGLEFINANCE(A1411,""CLOSEYEST"")"),8.2)</f>
        <v>8.2</v>
      </c>
      <c r="H1411" s="17" t="str">
        <f t="shared" si="14"/>
        <v>GAP UP</v>
      </c>
      <c r="I1411" s="18">
        <f t="shared" si="9"/>
        <v>8.173333333</v>
      </c>
      <c r="J1411" s="19">
        <f t="shared" si="10"/>
        <v>8.426666667</v>
      </c>
      <c r="K1411" s="19"/>
      <c r="L1411" s="19">
        <f t="shared" si="11"/>
        <v>7.946666667</v>
      </c>
      <c r="M1411" s="19">
        <f t="shared" si="12"/>
        <v>8.653333333</v>
      </c>
      <c r="N1411" s="19">
        <f t="shared" si="13"/>
        <v>7.693333333</v>
      </c>
    </row>
    <row r="1412" ht="24.75" customHeight="1">
      <c r="A1412" s="21" t="s">
        <v>1375</v>
      </c>
      <c r="B1412" s="13">
        <f>IFERROR(__xludf.DUMMYFUNCTION("GOOGLEFINANCE(A1412,""PRICE"")"),1795.0)</f>
        <v>1795</v>
      </c>
      <c r="C1412" s="14">
        <f>IFERROR(__xludf.DUMMYFUNCTION("GOOGLEFINANCE(A1412,""PRICEOPEN"")"),1740.0)</f>
        <v>1740</v>
      </c>
      <c r="D1412" s="14">
        <f>IFERROR(__xludf.DUMMYFUNCTION("GOOGLEFINANCE(A1412,""HIGH"")"),1809.7)</f>
        <v>1809.7</v>
      </c>
      <c r="E1412" s="14">
        <f>IFERROR(__xludf.DUMMYFUNCTION("GOOGLEFINANCE(A1412,""LOW"")"),1701.5)</f>
        <v>1701.5</v>
      </c>
      <c r="F1412" s="15" t="str">
        <f t="shared" si="8"/>
        <v/>
      </c>
      <c r="G1412" s="16">
        <f>IFERROR(__xludf.DUMMYFUNCTION("GOOGLEFINANCE(A1412,""CLOSEYEST"")"),1723.6)</f>
        <v>1723.6</v>
      </c>
      <c r="H1412" s="17" t="str">
        <f t="shared" si="14"/>
        <v/>
      </c>
      <c r="I1412" s="18">
        <f t="shared" si="9"/>
        <v>1744.933333</v>
      </c>
      <c r="J1412" s="19">
        <f t="shared" si="10"/>
        <v>1788.366667</v>
      </c>
      <c r="K1412" s="19"/>
      <c r="L1412" s="19">
        <f t="shared" si="11"/>
        <v>1680.166667</v>
      </c>
      <c r="M1412" s="19">
        <f t="shared" si="12"/>
        <v>1853.133333</v>
      </c>
      <c r="N1412" s="19">
        <f t="shared" si="13"/>
        <v>1636.733333</v>
      </c>
    </row>
    <row r="1413" ht="24.75" customHeight="1">
      <c r="A1413" s="21" t="s">
        <v>1376</v>
      </c>
      <c r="B1413" s="13" t="str">
        <f>IFERROR(__xludf.DUMMYFUNCTION("GOOGLEFINANCE(A1413,""PRICE"")"),"#N/A")</f>
        <v>#N/A</v>
      </c>
      <c r="C1413" s="14" t="str">
        <f>IFERROR(__xludf.DUMMYFUNCTION("GOOGLEFINANCE(A1413,""PRICEOPEN"")"),"#N/A")</f>
        <v>#N/A</v>
      </c>
      <c r="D1413" s="14" t="str">
        <f>IFERROR(__xludf.DUMMYFUNCTION("GOOGLEFINANCE(A1413,""HIGH"")"),"#N/A")</f>
        <v>#N/A</v>
      </c>
      <c r="E1413" s="14" t="str">
        <f>IFERROR(__xludf.DUMMYFUNCTION("GOOGLEFINANCE(A1413,""LOW"")"),"#N/A")</f>
        <v>#N/A</v>
      </c>
      <c r="F1413" s="15" t="str">
        <f t="shared" si="8"/>
        <v>#N/A</v>
      </c>
      <c r="G1413" s="16" t="str">
        <f>IFERROR(__xludf.DUMMYFUNCTION("GOOGLEFINANCE(A1413,""CLOSEYEST"")"),"#N/A")</f>
        <v>#N/A</v>
      </c>
      <c r="H1413" s="17" t="str">
        <f t="shared" si="14"/>
        <v>#N/A</v>
      </c>
      <c r="I1413" s="18" t="str">
        <f t="shared" si="9"/>
        <v>#N/A</v>
      </c>
      <c r="J1413" s="19" t="str">
        <f t="shared" si="10"/>
        <v>#N/A</v>
      </c>
      <c r="K1413" s="19"/>
      <c r="L1413" s="19" t="str">
        <f t="shared" si="11"/>
        <v>#N/A</v>
      </c>
      <c r="M1413" s="19" t="str">
        <f t="shared" si="12"/>
        <v>#N/A</v>
      </c>
      <c r="N1413" s="19" t="str">
        <f t="shared" si="13"/>
        <v>#N/A</v>
      </c>
    </row>
    <row r="1414" ht="24.75" customHeight="1">
      <c r="A1414" s="21" t="s">
        <v>1377</v>
      </c>
      <c r="B1414" s="13">
        <f>IFERROR(__xludf.DUMMYFUNCTION("GOOGLEFINANCE(A1414,""PRICE"")"),3.0)</f>
        <v>3</v>
      </c>
      <c r="C1414" s="14">
        <f>IFERROR(__xludf.DUMMYFUNCTION("GOOGLEFINANCE(A1414,""PRICEOPEN"")"),3.09)</f>
        <v>3.09</v>
      </c>
      <c r="D1414" s="14">
        <f>IFERROR(__xludf.DUMMYFUNCTION("GOOGLEFINANCE(A1414,""HIGH"")"),3.09)</f>
        <v>3.09</v>
      </c>
      <c r="E1414" s="14">
        <f>IFERROR(__xludf.DUMMYFUNCTION("GOOGLEFINANCE(A1414,""LOW"")"),2.91)</f>
        <v>2.91</v>
      </c>
      <c r="F1414" s="15" t="str">
        <f t="shared" si="8"/>
        <v>SELL</v>
      </c>
      <c r="G1414" s="16">
        <f>IFERROR(__xludf.DUMMYFUNCTION("GOOGLEFINANCE(A1414,""CLOSEYEST"")"),3.04)</f>
        <v>3.04</v>
      </c>
      <c r="H1414" s="17" t="str">
        <f t="shared" si="14"/>
        <v>GAP UP</v>
      </c>
      <c r="I1414" s="18">
        <f t="shared" si="9"/>
        <v>3.013333333</v>
      </c>
      <c r="J1414" s="19">
        <f t="shared" si="10"/>
        <v>3.116666667</v>
      </c>
      <c r="K1414" s="19"/>
      <c r="L1414" s="19">
        <f t="shared" si="11"/>
        <v>2.936666667</v>
      </c>
      <c r="M1414" s="19">
        <f t="shared" si="12"/>
        <v>3.193333333</v>
      </c>
      <c r="N1414" s="19">
        <f t="shared" si="13"/>
        <v>2.833333333</v>
      </c>
    </row>
    <row r="1415" ht="24.75" customHeight="1">
      <c r="A1415" s="21" t="s">
        <v>1378</v>
      </c>
      <c r="B1415" s="13" t="str">
        <f>IFERROR(__xludf.DUMMYFUNCTION("GOOGLEFINANCE(A1415,""PRICE"")"),"#N/A")</f>
        <v>#N/A</v>
      </c>
      <c r="C1415" s="14" t="str">
        <f>IFERROR(__xludf.DUMMYFUNCTION("GOOGLEFINANCE(A1415,""PRICEOPEN"")"),"#N/A")</f>
        <v>#N/A</v>
      </c>
      <c r="D1415" s="14" t="str">
        <f>IFERROR(__xludf.DUMMYFUNCTION("GOOGLEFINANCE(A1415,""HIGH"")"),"#N/A")</f>
        <v>#N/A</v>
      </c>
      <c r="E1415" s="14" t="str">
        <f>IFERROR(__xludf.DUMMYFUNCTION("GOOGLEFINANCE(A1415,""LOW"")"),"#N/A")</f>
        <v>#N/A</v>
      </c>
      <c r="F1415" s="15" t="str">
        <f t="shared" si="8"/>
        <v>#N/A</v>
      </c>
      <c r="G1415" s="16" t="str">
        <f>IFERROR(__xludf.DUMMYFUNCTION("GOOGLEFINANCE(A1415,""CLOSEYEST"")"),"#N/A")</f>
        <v>#N/A</v>
      </c>
      <c r="H1415" s="17" t="str">
        <f t="shared" si="14"/>
        <v>#N/A</v>
      </c>
      <c r="I1415" s="18" t="str">
        <f t="shared" si="9"/>
        <v>#N/A</v>
      </c>
      <c r="J1415" s="19" t="str">
        <f t="shared" si="10"/>
        <v>#N/A</v>
      </c>
      <c r="K1415" s="19"/>
      <c r="L1415" s="19" t="str">
        <f t="shared" si="11"/>
        <v>#N/A</v>
      </c>
      <c r="M1415" s="19" t="str">
        <f t="shared" si="12"/>
        <v>#N/A</v>
      </c>
      <c r="N1415" s="19" t="str">
        <f t="shared" si="13"/>
        <v>#N/A</v>
      </c>
    </row>
    <row r="1416" ht="24.75" customHeight="1">
      <c r="A1416" s="21" t="s">
        <v>1379</v>
      </c>
      <c r="B1416" s="13">
        <f>IFERROR(__xludf.DUMMYFUNCTION("GOOGLEFINANCE(A1416,""PRICE"")"),14.9)</f>
        <v>14.9</v>
      </c>
      <c r="C1416" s="14">
        <f>IFERROR(__xludf.DUMMYFUNCTION("GOOGLEFINANCE(A1416,""PRICEOPEN"")"),14.0)</f>
        <v>14</v>
      </c>
      <c r="D1416" s="14">
        <f>IFERROR(__xludf.DUMMYFUNCTION("GOOGLEFINANCE(A1416,""HIGH"")"),15.49)</f>
        <v>15.49</v>
      </c>
      <c r="E1416" s="14">
        <f>IFERROR(__xludf.DUMMYFUNCTION("GOOGLEFINANCE(A1416,""LOW"")"),14.0)</f>
        <v>14</v>
      </c>
      <c r="F1416" s="15" t="str">
        <f t="shared" si="8"/>
        <v>BUY</v>
      </c>
      <c r="G1416" s="16">
        <f>IFERROR(__xludf.DUMMYFUNCTION("GOOGLEFINANCE(A1416,""CLOSEYEST"")"),13.94)</f>
        <v>13.94</v>
      </c>
      <c r="H1416" s="17" t="str">
        <f t="shared" si="14"/>
        <v/>
      </c>
      <c r="I1416" s="18">
        <f t="shared" si="9"/>
        <v>14.47666667</v>
      </c>
      <c r="J1416" s="19">
        <f t="shared" si="10"/>
        <v>14.95333333</v>
      </c>
      <c r="K1416" s="19"/>
      <c r="L1416" s="19">
        <f t="shared" si="11"/>
        <v>13.46333333</v>
      </c>
      <c r="M1416" s="19">
        <f t="shared" si="12"/>
        <v>15.96666667</v>
      </c>
      <c r="N1416" s="19">
        <f t="shared" si="13"/>
        <v>12.98666667</v>
      </c>
    </row>
    <row r="1417" ht="24.75" customHeight="1">
      <c r="A1417" s="21" t="s">
        <v>1380</v>
      </c>
      <c r="B1417" s="13">
        <f>IFERROR(__xludf.DUMMYFUNCTION("GOOGLEFINANCE(A1417,""PRICE"")"),78.6)</f>
        <v>78.6</v>
      </c>
      <c r="C1417" s="14">
        <f>IFERROR(__xludf.DUMMYFUNCTION("GOOGLEFINANCE(A1417,""PRICEOPEN"")"),77.0)</f>
        <v>77</v>
      </c>
      <c r="D1417" s="14">
        <f>IFERROR(__xludf.DUMMYFUNCTION("GOOGLEFINANCE(A1417,""HIGH"")"),78.8)</f>
        <v>78.8</v>
      </c>
      <c r="E1417" s="14">
        <f>IFERROR(__xludf.DUMMYFUNCTION("GOOGLEFINANCE(A1417,""LOW"")"),76.6)</f>
        <v>76.6</v>
      </c>
      <c r="F1417" s="15" t="str">
        <f t="shared" si="8"/>
        <v/>
      </c>
      <c r="G1417" s="16">
        <f>IFERROR(__xludf.DUMMYFUNCTION("GOOGLEFINANCE(A1417,""CLOSEYEST"")"),77.4)</f>
        <v>77.4</v>
      </c>
      <c r="H1417" s="17" t="str">
        <f t="shared" si="14"/>
        <v/>
      </c>
      <c r="I1417" s="18">
        <f t="shared" si="9"/>
        <v>77.6</v>
      </c>
      <c r="J1417" s="19">
        <f t="shared" si="10"/>
        <v>78.6</v>
      </c>
      <c r="K1417" s="19"/>
      <c r="L1417" s="19">
        <f t="shared" si="11"/>
        <v>76.4</v>
      </c>
      <c r="M1417" s="19">
        <f t="shared" si="12"/>
        <v>79.8</v>
      </c>
      <c r="N1417" s="19">
        <f t="shared" si="13"/>
        <v>75.4</v>
      </c>
    </row>
    <row r="1418" ht="24.75" customHeight="1">
      <c r="A1418" s="21" t="s">
        <v>1381</v>
      </c>
      <c r="B1418" s="13">
        <f>IFERROR(__xludf.DUMMYFUNCTION("GOOGLEFINANCE(A1418,""PRICE"")"),50.17)</f>
        <v>50.17</v>
      </c>
      <c r="C1418" s="14">
        <f>IFERROR(__xludf.DUMMYFUNCTION("GOOGLEFINANCE(A1418,""PRICEOPEN"")"),46.2)</f>
        <v>46.2</v>
      </c>
      <c r="D1418" s="14">
        <f>IFERROR(__xludf.DUMMYFUNCTION("GOOGLEFINANCE(A1418,""HIGH"")"),50.17)</f>
        <v>50.17</v>
      </c>
      <c r="E1418" s="14">
        <f>IFERROR(__xludf.DUMMYFUNCTION("GOOGLEFINANCE(A1418,""LOW"")"),46.2)</f>
        <v>46.2</v>
      </c>
      <c r="F1418" s="15" t="str">
        <f t="shared" si="8"/>
        <v>BUY</v>
      </c>
      <c r="G1418" s="16">
        <f>IFERROR(__xludf.DUMMYFUNCTION("GOOGLEFINANCE(A1418,""CLOSEYEST"")"),47.79)</f>
        <v>47.79</v>
      </c>
      <c r="H1418" s="17" t="str">
        <f t="shared" si="14"/>
        <v>GAP DOWN</v>
      </c>
      <c r="I1418" s="18">
        <f t="shared" si="9"/>
        <v>48.05333333</v>
      </c>
      <c r="J1418" s="19">
        <f t="shared" si="10"/>
        <v>49.90666667</v>
      </c>
      <c r="K1418" s="19"/>
      <c r="L1418" s="19">
        <f t="shared" si="11"/>
        <v>45.93666667</v>
      </c>
      <c r="M1418" s="19">
        <f t="shared" si="12"/>
        <v>52.02333333</v>
      </c>
      <c r="N1418" s="19">
        <f t="shared" si="13"/>
        <v>44.08333333</v>
      </c>
    </row>
    <row r="1419" ht="24.75" customHeight="1">
      <c r="A1419" s="21" t="s">
        <v>1382</v>
      </c>
      <c r="B1419" s="13">
        <f>IFERROR(__xludf.DUMMYFUNCTION("GOOGLEFINANCE(A1419,""PRICE"")"),0.05)</f>
        <v>0.05</v>
      </c>
      <c r="C1419" s="14">
        <f>IFERROR(__xludf.DUMMYFUNCTION("GOOGLEFINANCE(A1419,""PRICEOPEN"")"),0.05)</f>
        <v>0.05</v>
      </c>
      <c r="D1419" s="14">
        <f>IFERROR(__xludf.DUMMYFUNCTION("GOOGLEFINANCE(A1419,""HIGH"")"),0.05)</f>
        <v>0.05</v>
      </c>
      <c r="E1419" s="14">
        <f>IFERROR(__xludf.DUMMYFUNCTION("GOOGLEFINANCE(A1419,""LOW"")"),0.05)</f>
        <v>0.05</v>
      </c>
      <c r="F1419" s="15" t="str">
        <f t="shared" si="8"/>
        <v>SELL</v>
      </c>
      <c r="G1419" s="16">
        <f>IFERROR(__xludf.DUMMYFUNCTION("GOOGLEFINANCE(A1419,""CLOSEYEST"")"),0.04)</f>
        <v>0.04</v>
      </c>
      <c r="H1419" s="17" t="str">
        <f t="shared" si="14"/>
        <v>GAP UP</v>
      </c>
      <c r="I1419" s="18">
        <f t="shared" si="9"/>
        <v>0.04666666667</v>
      </c>
      <c r="J1419" s="19">
        <f t="shared" si="10"/>
        <v>0.04333333333</v>
      </c>
      <c r="K1419" s="19"/>
      <c r="L1419" s="19">
        <f t="shared" si="11"/>
        <v>0.04333333333</v>
      </c>
      <c r="M1419" s="19">
        <f t="shared" si="12"/>
        <v>0.04666666667</v>
      </c>
      <c r="N1419" s="19">
        <f t="shared" si="13"/>
        <v>0.04666666667</v>
      </c>
    </row>
    <row r="1420" ht="24.75" customHeight="1">
      <c r="A1420" s="21" t="s">
        <v>1383</v>
      </c>
      <c r="B1420" s="13">
        <f>IFERROR(__xludf.DUMMYFUNCTION("GOOGLEFINANCE(A1420,""PRICE"")"),1170.6)</f>
        <v>1170.6</v>
      </c>
      <c r="C1420" s="14">
        <f>IFERROR(__xludf.DUMMYFUNCTION("GOOGLEFINANCE(A1420,""PRICEOPEN"")"),1177.3)</f>
        <v>1177.3</v>
      </c>
      <c r="D1420" s="14">
        <f>IFERROR(__xludf.DUMMYFUNCTION("GOOGLEFINANCE(A1420,""HIGH"")"),1210.9)</f>
        <v>1210.9</v>
      </c>
      <c r="E1420" s="14">
        <f>IFERROR(__xludf.DUMMYFUNCTION("GOOGLEFINANCE(A1420,""LOW"")"),1154.2)</f>
        <v>1154.2</v>
      </c>
      <c r="F1420" s="15" t="str">
        <f t="shared" si="8"/>
        <v/>
      </c>
      <c r="G1420" s="16">
        <f>IFERROR(__xludf.DUMMYFUNCTION("GOOGLEFINANCE(A1420,""CLOSEYEST"")"),1177.3)</f>
        <v>1177.3</v>
      </c>
      <c r="H1420" s="17" t="str">
        <f t="shared" si="14"/>
        <v/>
      </c>
      <c r="I1420" s="18">
        <f t="shared" si="9"/>
        <v>1180.8</v>
      </c>
      <c r="J1420" s="19">
        <f t="shared" si="10"/>
        <v>1207.4</v>
      </c>
      <c r="K1420" s="19"/>
      <c r="L1420" s="19">
        <f t="shared" si="11"/>
        <v>1150.7</v>
      </c>
      <c r="M1420" s="19">
        <f t="shared" si="12"/>
        <v>1237.5</v>
      </c>
      <c r="N1420" s="19">
        <f t="shared" si="13"/>
        <v>1124.1</v>
      </c>
    </row>
    <row r="1421" ht="24.75" customHeight="1">
      <c r="A1421" s="21" t="s">
        <v>1384</v>
      </c>
      <c r="B1421" s="13">
        <f>IFERROR(__xludf.DUMMYFUNCTION("GOOGLEFINANCE(A1421,""PRICE"")"),48.35)</f>
        <v>48.35</v>
      </c>
      <c r="C1421" s="14">
        <f>IFERROR(__xludf.DUMMYFUNCTION("GOOGLEFINANCE(A1421,""PRICEOPEN"")"),46.3)</f>
        <v>46.3</v>
      </c>
      <c r="D1421" s="14">
        <f>IFERROR(__xludf.DUMMYFUNCTION("GOOGLEFINANCE(A1421,""HIGH"")"),48.51)</f>
        <v>48.51</v>
      </c>
      <c r="E1421" s="14">
        <f>IFERROR(__xludf.DUMMYFUNCTION("GOOGLEFINANCE(A1421,""LOW"")"),46.3)</f>
        <v>46.3</v>
      </c>
      <c r="F1421" s="15" t="str">
        <f t="shared" si="8"/>
        <v>BUY</v>
      </c>
      <c r="G1421" s="16">
        <f>IFERROR(__xludf.DUMMYFUNCTION("GOOGLEFINANCE(A1421,""CLOSEYEST"")"),46.2)</f>
        <v>46.2</v>
      </c>
      <c r="H1421" s="17" t="str">
        <f t="shared" si="14"/>
        <v/>
      </c>
      <c r="I1421" s="18">
        <f t="shared" si="9"/>
        <v>47.00333333</v>
      </c>
      <c r="J1421" s="19">
        <f t="shared" si="10"/>
        <v>47.70666667</v>
      </c>
      <c r="K1421" s="19"/>
      <c r="L1421" s="19">
        <f t="shared" si="11"/>
        <v>45.49666667</v>
      </c>
      <c r="M1421" s="19">
        <f t="shared" si="12"/>
        <v>49.21333333</v>
      </c>
      <c r="N1421" s="19">
        <f t="shared" si="13"/>
        <v>44.79333333</v>
      </c>
    </row>
    <row r="1422" ht="24.75" customHeight="1">
      <c r="A1422" s="21" t="s">
        <v>1385</v>
      </c>
      <c r="B1422" s="13">
        <f>IFERROR(__xludf.DUMMYFUNCTION("GOOGLEFINANCE(A1422,""PRICE"")"),26.74)</f>
        <v>26.74</v>
      </c>
      <c r="C1422" s="14" t="str">
        <f>IFERROR(__xludf.DUMMYFUNCTION("GOOGLEFINANCE(A1422,""PRICEOPEN"")"),"#N/A")</f>
        <v>#N/A</v>
      </c>
      <c r="D1422" s="14" t="str">
        <f>IFERROR(__xludf.DUMMYFUNCTION("GOOGLEFINANCE(A1422,""HIGH"")"),"#N/A")</f>
        <v>#N/A</v>
      </c>
      <c r="E1422" s="14" t="str">
        <f>IFERROR(__xludf.DUMMYFUNCTION("GOOGLEFINANCE(A1422,""LOW"")"),"#N/A")</f>
        <v>#N/A</v>
      </c>
      <c r="F1422" s="15" t="str">
        <f t="shared" si="8"/>
        <v>#N/A</v>
      </c>
      <c r="G1422" s="16">
        <f>IFERROR(__xludf.DUMMYFUNCTION("GOOGLEFINANCE(A1422,""CLOSEYEST"")"),27.15)</f>
        <v>27.15</v>
      </c>
      <c r="H1422" s="17" t="str">
        <f t="shared" si="14"/>
        <v>#N/A</v>
      </c>
      <c r="I1422" s="18" t="str">
        <f t="shared" si="9"/>
        <v>#N/A</v>
      </c>
      <c r="J1422" s="19" t="str">
        <f t="shared" si="10"/>
        <v>#N/A</v>
      </c>
      <c r="K1422" s="19"/>
      <c r="L1422" s="19" t="str">
        <f t="shared" si="11"/>
        <v>#N/A</v>
      </c>
      <c r="M1422" s="19" t="str">
        <f t="shared" si="12"/>
        <v>#N/A</v>
      </c>
      <c r="N1422" s="19" t="str">
        <f t="shared" si="13"/>
        <v>#N/A</v>
      </c>
    </row>
    <row r="1423" ht="24.75" customHeight="1">
      <c r="A1423" s="21" t="s">
        <v>1386</v>
      </c>
      <c r="B1423" s="13">
        <f>IFERROR(__xludf.DUMMYFUNCTION("GOOGLEFINANCE(A1423,""PRICE"")"),468.0)</f>
        <v>468</v>
      </c>
      <c r="C1423" s="14">
        <f>IFERROR(__xludf.DUMMYFUNCTION("GOOGLEFINANCE(A1423,""PRICEOPEN"")"),461.0)</f>
        <v>461</v>
      </c>
      <c r="D1423" s="14">
        <f>IFERROR(__xludf.DUMMYFUNCTION("GOOGLEFINANCE(A1423,""HIGH"")"),469.0)</f>
        <v>469</v>
      </c>
      <c r="E1423" s="14">
        <f>IFERROR(__xludf.DUMMYFUNCTION("GOOGLEFINANCE(A1423,""LOW"")"),461.0)</f>
        <v>461</v>
      </c>
      <c r="F1423" s="15" t="str">
        <f t="shared" si="8"/>
        <v>BUY</v>
      </c>
      <c r="G1423" s="16">
        <f>IFERROR(__xludf.DUMMYFUNCTION("GOOGLEFINANCE(A1423,""CLOSEYEST"")"),460.3)</f>
        <v>460.3</v>
      </c>
      <c r="H1423" s="17" t="str">
        <f t="shared" si="14"/>
        <v/>
      </c>
      <c r="I1423" s="18">
        <f t="shared" si="9"/>
        <v>463.4333333</v>
      </c>
      <c r="J1423" s="19">
        <f t="shared" si="10"/>
        <v>465.8666667</v>
      </c>
      <c r="K1423" s="19"/>
      <c r="L1423" s="19">
        <f t="shared" si="11"/>
        <v>457.8666667</v>
      </c>
      <c r="M1423" s="19">
        <f t="shared" si="12"/>
        <v>471.4333333</v>
      </c>
      <c r="N1423" s="19">
        <f t="shared" si="13"/>
        <v>455.4333333</v>
      </c>
    </row>
    <row r="1424" ht="24.75" customHeight="1">
      <c r="A1424" s="21" t="s">
        <v>1387</v>
      </c>
      <c r="B1424" s="13">
        <f>IFERROR(__xludf.DUMMYFUNCTION("GOOGLEFINANCE(A1424,""PRICE"")"),310.65)</f>
        <v>310.65</v>
      </c>
      <c r="C1424" s="14">
        <f>IFERROR(__xludf.DUMMYFUNCTION("GOOGLEFINANCE(A1424,""PRICEOPEN"")"),304.95)</f>
        <v>304.95</v>
      </c>
      <c r="D1424" s="14">
        <f>IFERROR(__xludf.DUMMYFUNCTION("GOOGLEFINANCE(A1424,""HIGH"")"),313.95)</f>
        <v>313.95</v>
      </c>
      <c r="E1424" s="14">
        <f>IFERROR(__xludf.DUMMYFUNCTION("GOOGLEFINANCE(A1424,""LOW"")"),300.65)</f>
        <v>300.65</v>
      </c>
      <c r="F1424" s="15" t="str">
        <f t="shared" si="8"/>
        <v/>
      </c>
      <c r="G1424" s="16">
        <f>IFERROR(__xludf.DUMMYFUNCTION("GOOGLEFINANCE(A1424,""CLOSEYEST"")"),307.15)</f>
        <v>307.15</v>
      </c>
      <c r="H1424" s="17" t="str">
        <f t="shared" si="14"/>
        <v/>
      </c>
      <c r="I1424" s="18">
        <f t="shared" si="9"/>
        <v>307.25</v>
      </c>
      <c r="J1424" s="19">
        <f t="shared" si="10"/>
        <v>313.85</v>
      </c>
      <c r="K1424" s="19"/>
      <c r="L1424" s="19">
        <f t="shared" si="11"/>
        <v>300.55</v>
      </c>
      <c r="M1424" s="19">
        <f t="shared" si="12"/>
        <v>320.55</v>
      </c>
      <c r="N1424" s="19">
        <f t="shared" si="13"/>
        <v>293.95</v>
      </c>
    </row>
    <row r="1425" ht="24.75" customHeight="1">
      <c r="A1425" s="21" t="s">
        <v>1388</v>
      </c>
      <c r="B1425" s="13">
        <f>IFERROR(__xludf.DUMMYFUNCTION("GOOGLEFINANCE(A1425,""PRICE"")"),34.09)</f>
        <v>34.09</v>
      </c>
      <c r="C1425" s="14">
        <f>IFERROR(__xludf.DUMMYFUNCTION("GOOGLEFINANCE(A1425,""PRICEOPEN"")"),34.19)</f>
        <v>34.19</v>
      </c>
      <c r="D1425" s="14">
        <f>IFERROR(__xludf.DUMMYFUNCTION("GOOGLEFINANCE(A1425,""HIGH"")"),34.51)</f>
        <v>34.51</v>
      </c>
      <c r="E1425" s="14">
        <f>IFERROR(__xludf.DUMMYFUNCTION("GOOGLEFINANCE(A1425,""LOW"")"),33.76)</f>
        <v>33.76</v>
      </c>
      <c r="F1425" s="15" t="str">
        <f t="shared" si="8"/>
        <v/>
      </c>
      <c r="G1425" s="16">
        <f>IFERROR(__xludf.DUMMYFUNCTION("GOOGLEFINANCE(A1425,""CLOSEYEST"")"),33.98)</f>
        <v>33.98</v>
      </c>
      <c r="H1425" s="17" t="str">
        <f t="shared" si="14"/>
        <v/>
      </c>
      <c r="I1425" s="18">
        <f t="shared" si="9"/>
        <v>34.08333333</v>
      </c>
      <c r="J1425" s="19">
        <f t="shared" si="10"/>
        <v>34.40666667</v>
      </c>
      <c r="K1425" s="19"/>
      <c r="L1425" s="19">
        <f t="shared" si="11"/>
        <v>33.65666667</v>
      </c>
      <c r="M1425" s="19">
        <f t="shared" si="12"/>
        <v>34.83333333</v>
      </c>
      <c r="N1425" s="19">
        <f t="shared" si="13"/>
        <v>33.33333333</v>
      </c>
    </row>
    <row r="1426" ht="24.75" customHeight="1">
      <c r="A1426" s="21" t="s">
        <v>1389</v>
      </c>
      <c r="B1426" s="13">
        <f>IFERROR(__xludf.DUMMYFUNCTION("GOOGLEFINANCE(A1426,""PRICE"")"),1347.3)</f>
        <v>1347.3</v>
      </c>
      <c r="C1426" s="14">
        <f>IFERROR(__xludf.DUMMYFUNCTION("GOOGLEFINANCE(A1426,""PRICEOPEN"")"),1364.1)</f>
        <v>1364.1</v>
      </c>
      <c r="D1426" s="14">
        <f>IFERROR(__xludf.DUMMYFUNCTION("GOOGLEFINANCE(A1426,""HIGH"")"),1369.7)</f>
        <v>1369.7</v>
      </c>
      <c r="E1426" s="14">
        <f>IFERROR(__xludf.DUMMYFUNCTION("GOOGLEFINANCE(A1426,""LOW"")"),1344.6)</f>
        <v>1344.6</v>
      </c>
      <c r="F1426" s="15" t="str">
        <f t="shared" si="8"/>
        <v/>
      </c>
      <c r="G1426" s="16">
        <f>IFERROR(__xludf.DUMMYFUNCTION("GOOGLEFINANCE(A1426,""CLOSEYEST"")"),1341.4)</f>
        <v>1341.4</v>
      </c>
      <c r="H1426" s="17" t="str">
        <f t="shared" si="14"/>
        <v>GAP UP</v>
      </c>
      <c r="I1426" s="18">
        <f t="shared" si="9"/>
        <v>1351.9</v>
      </c>
      <c r="J1426" s="19">
        <f t="shared" si="10"/>
        <v>1359.2</v>
      </c>
      <c r="K1426" s="19"/>
      <c r="L1426" s="19">
        <f t="shared" si="11"/>
        <v>1334.1</v>
      </c>
      <c r="M1426" s="19">
        <f t="shared" si="12"/>
        <v>1377</v>
      </c>
      <c r="N1426" s="19">
        <f t="shared" si="13"/>
        <v>1326.8</v>
      </c>
    </row>
    <row r="1427" ht="24.75" customHeight="1">
      <c r="A1427" s="21" t="s">
        <v>1390</v>
      </c>
      <c r="B1427" s="13">
        <f>IFERROR(__xludf.DUMMYFUNCTION("GOOGLEFINANCE(A1427,""PRICE"")"),150.5)</f>
        <v>150.5</v>
      </c>
      <c r="C1427" s="14">
        <f>IFERROR(__xludf.DUMMYFUNCTION("GOOGLEFINANCE(A1427,""PRICEOPEN"")"),146.6)</f>
        <v>146.6</v>
      </c>
      <c r="D1427" s="14">
        <f>IFERROR(__xludf.DUMMYFUNCTION("GOOGLEFINANCE(A1427,""HIGH"")"),150.95)</f>
        <v>150.95</v>
      </c>
      <c r="E1427" s="14">
        <f>IFERROR(__xludf.DUMMYFUNCTION("GOOGLEFINANCE(A1427,""LOW"")"),142.1)</f>
        <v>142.1</v>
      </c>
      <c r="F1427" s="15" t="str">
        <f t="shared" si="8"/>
        <v/>
      </c>
      <c r="G1427" s="16">
        <f>IFERROR(__xludf.DUMMYFUNCTION("GOOGLEFINANCE(A1427,""CLOSEYEST"")"),148.86)</f>
        <v>148.86</v>
      </c>
      <c r="H1427" s="17" t="str">
        <f t="shared" si="14"/>
        <v>GAP DOWN</v>
      </c>
      <c r="I1427" s="18">
        <f t="shared" si="9"/>
        <v>147.3033333</v>
      </c>
      <c r="J1427" s="19">
        <f t="shared" si="10"/>
        <v>152.5066667</v>
      </c>
      <c r="K1427" s="19"/>
      <c r="L1427" s="19">
        <f t="shared" si="11"/>
        <v>143.6566667</v>
      </c>
      <c r="M1427" s="19">
        <f t="shared" si="12"/>
        <v>156.1533333</v>
      </c>
      <c r="N1427" s="19">
        <f t="shared" si="13"/>
        <v>138.4533333</v>
      </c>
    </row>
    <row r="1428" ht="24.75" customHeight="1">
      <c r="A1428" s="21" t="s">
        <v>1391</v>
      </c>
      <c r="B1428" s="13">
        <f>IFERROR(__xludf.DUMMYFUNCTION("GOOGLEFINANCE(A1428,""PRICE"")"),374.0)</f>
        <v>374</v>
      </c>
      <c r="C1428" s="14">
        <f>IFERROR(__xludf.DUMMYFUNCTION("GOOGLEFINANCE(A1428,""PRICEOPEN"")"),377.75)</f>
        <v>377.75</v>
      </c>
      <c r="D1428" s="14">
        <f>IFERROR(__xludf.DUMMYFUNCTION("GOOGLEFINANCE(A1428,""HIGH"")"),379.15)</f>
        <v>379.15</v>
      </c>
      <c r="E1428" s="14">
        <f>IFERROR(__xludf.DUMMYFUNCTION("GOOGLEFINANCE(A1428,""LOW"")"),366.5)</f>
        <v>366.5</v>
      </c>
      <c r="F1428" s="15" t="str">
        <f t="shared" si="8"/>
        <v/>
      </c>
      <c r="G1428" s="16">
        <f>IFERROR(__xludf.DUMMYFUNCTION("GOOGLEFINANCE(A1428,""CLOSEYEST"")"),375.95)</f>
        <v>375.95</v>
      </c>
      <c r="H1428" s="17" t="str">
        <f t="shared" si="14"/>
        <v/>
      </c>
      <c r="I1428" s="18">
        <f t="shared" si="9"/>
        <v>373.8666667</v>
      </c>
      <c r="J1428" s="19">
        <f t="shared" si="10"/>
        <v>381.2333333</v>
      </c>
      <c r="K1428" s="19"/>
      <c r="L1428" s="19">
        <f t="shared" si="11"/>
        <v>368.5833333</v>
      </c>
      <c r="M1428" s="19">
        <f t="shared" si="12"/>
        <v>386.5166667</v>
      </c>
      <c r="N1428" s="19">
        <f t="shared" si="13"/>
        <v>361.2166667</v>
      </c>
    </row>
    <row r="1429" ht="24.75" customHeight="1">
      <c r="A1429" s="21" t="s">
        <v>1392</v>
      </c>
      <c r="B1429" s="13">
        <f>IFERROR(__xludf.DUMMYFUNCTION("GOOGLEFINANCE(A1429,""PRICE"")"),3.6)</f>
        <v>3.6</v>
      </c>
      <c r="C1429" s="14">
        <f>IFERROR(__xludf.DUMMYFUNCTION("GOOGLEFINANCE(A1429,""PRICEOPEN"")"),3.52)</f>
        <v>3.52</v>
      </c>
      <c r="D1429" s="14">
        <f>IFERROR(__xludf.DUMMYFUNCTION("GOOGLEFINANCE(A1429,""HIGH"")"),3.66)</f>
        <v>3.66</v>
      </c>
      <c r="E1429" s="14">
        <f>IFERROR(__xludf.DUMMYFUNCTION("GOOGLEFINANCE(A1429,""LOW"")"),3.51)</f>
        <v>3.51</v>
      </c>
      <c r="F1429" s="15" t="str">
        <f t="shared" si="8"/>
        <v/>
      </c>
      <c r="G1429" s="16">
        <f>IFERROR(__xludf.DUMMYFUNCTION("GOOGLEFINANCE(A1429,""CLOSEYEST"")"),3.56)</f>
        <v>3.56</v>
      </c>
      <c r="H1429" s="17" t="str">
        <f t="shared" si="14"/>
        <v>GAP DOWN</v>
      </c>
      <c r="I1429" s="18">
        <f t="shared" si="9"/>
        <v>3.576666667</v>
      </c>
      <c r="J1429" s="19">
        <f t="shared" si="10"/>
        <v>3.643333333</v>
      </c>
      <c r="K1429" s="19"/>
      <c r="L1429" s="19">
        <f t="shared" si="11"/>
        <v>3.493333333</v>
      </c>
      <c r="M1429" s="19">
        <f t="shared" si="12"/>
        <v>3.726666667</v>
      </c>
      <c r="N1429" s="19">
        <f t="shared" si="13"/>
        <v>3.426666667</v>
      </c>
    </row>
    <row r="1430" ht="24.75" customHeight="1">
      <c r="A1430" s="21" t="s">
        <v>1393</v>
      </c>
      <c r="B1430" s="13">
        <f>IFERROR(__xludf.DUMMYFUNCTION("GOOGLEFINANCE(A1430,""PRICE"")"),73.3)</f>
        <v>73.3</v>
      </c>
      <c r="C1430" s="14">
        <f>IFERROR(__xludf.DUMMYFUNCTION("GOOGLEFINANCE(A1430,""PRICEOPEN"")"),72.4)</f>
        <v>72.4</v>
      </c>
      <c r="D1430" s="14">
        <f>IFERROR(__xludf.DUMMYFUNCTION("GOOGLEFINANCE(A1430,""HIGH"")"),73.9)</f>
        <v>73.9</v>
      </c>
      <c r="E1430" s="14">
        <f>IFERROR(__xludf.DUMMYFUNCTION("GOOGLEFINANCE(A1430,""LOW"")"),70.6)</f>
        <v>70.6</v>
      </c>
      <c r="F1430" s="15" t="str">
        <f t="shared" si="8"/>
        <v/>
      </c>
      <c r="G1430" s="16">
        <f>IFERROR(__xludf.DUMMYFUNCTION("GOOGLEFINANCE(A1430,""CLOSEYEST"")"),71.46)</f>
        <v>71.46</v>
      </c>
      <c r="H1430" s="17" t="str">
        <f t="shared" si="14"/>
        <v>GAP UP</v>
      </c>
      <c r="I1430" s="18">
        <f t="shared" si="9"/>
        <v>71.98666667</v>
      </c>
      <c r="J1430" s="19">
        <f t="shared" si="10"/>
        <v>73.37333333</v>
      </c>
      <c r="K1430" s="19"/>
      <c r="L1430" s="19">
        <f t="shared" si="11"/>
        <v>70.07333333</v>
      </c>
      <c r="M1430" s="19">
        <f t="shared" si="12"/>
        <v>75.28666667</v>
      </c>
      <c r="N1430" s="19">
        <f t="shared" si="13"/>
        <v>68.68666667</v>
      </c>
    </row>
    <row r="1431" ht="24.75" customHeight="1">
      <c r="A1431" s="21" t="s">
        <v>1394</v>
      </c>
      <c r="B1431" s="13">
        <f>IFERROR(__xludf.DUMMYFUNCTION("GOOGLEFINANCE(A1431,""PRICE"")"),4.19)</f>
        <v>4.19</v>
      </c>
      <c r="C1431" s="14">
        <f>IFERROR(__xludf.DUMMYFUNCTION("GOOGLEFINANCE(A1431,""PRICEOPEN"")"),4.26)</f>
        <v>4.26</v>
      </c>
      <c r="D1431" s="14">
        <f>IFERROR(__xludf.DUMMYFUNCTION("GOOGLEFINANCE(A1431,""HIGH"")"),4.29)</f>
        <v>4.29</v>
      </c>
      <c r="E1431" s="14">
        <f>IFERROR(__xludf.DUMMYFUNCTION("GOOGLEFINANCE(A1431,""LOW"")"),4.1)</f>
        <v>4.1</v>
      </c>
      <c r="F1431" s="15" t="str">
        <f t="shared" si="8"/>
        <v/>
      </c>
      <c r="G1431" s="16">
        <f>IFERROR(__xludf.DUMMYFUNCTION("GOOGLEFINANCE(A1431,""CLOSEYEST"")"),4.19)</f>
        <v>4.19</v>
      </c>
      <c r="H1431" s="17" t="str">
        <f t="shared" si="14"/>
        <v>GAP UP</v>
      </c>
      <c r="I1431" s="18">
        <f t="shared" si="9"/>
        <v>4.193333333</v>
      </c>
      <c r="J1431" s="19">
        <f t="shared" si="10"/>
        <v>4.286666667</v>
      </c>
      <c r="K1431" s="19"/>
      <c r="L1431" s="19">
        <f t="shared" si="11"/>
        <v>4.096666667</v>
      </c>
      <c r="M1431" s="19">
        <f t="shared" si="12"/>
        <v>4.383333333</v>
      </c>
      <c r="N1431" s="19">
        <f t="shared" si="13"/>
        <v>4.003333333</v>
      </c>
    </row>
    <row r="1432" ht="24.75" customHeight="1">
      <c r="A1432" s="21" t="s">
        <v>1395</v>
      </c>
      <c r="B1432" s="13">
        <f>IFERROR(__xludf.DUMMYFUNCTION("GOOGLEFINANCE(A1432,""PRICE"")"),4.84)</f>
        <v>4.84</v>
      </c>
      <c r="C1432" s="14">
        <f>IFERROR(__xludf.DUMMYFUNCTION("GOOGLEFINANCE(A1432,""PRICEOPEN"")"),4.71)</f>
        <v>4.71</v>
      </c>
      <c r="D1432" s="14">
        <f>IFERROR(__xludf.DUMMYFUNCTION("GOOGLEFINANCE(A1432,""HIGH"")"),4.89)</f>
        <v>4.89</v>
      </c>
      <c r="E1432" s="14">
        <f>IFERROR(__xludf.DUMMYFUNCTION("GOOGLEFINANCE(A1432,""LOW"")"),4.66)</f>
        <v>4.66</v>
      </c>
      <c r="F1432" s="15" t="str">
        <f t="shared" si="8"/>
        <v/>
      </c>
      <c r="G1432" s="16">
        <f>IFERROR(__xludf.DUMMYFUNCTION("GOOGLEFINANCE(A1432,""CLOSEYEST"")"),4.71)</f>
        <v>4.71</v>
      </c>
      <c r="H1432" s="17" t="str">
        <f t="shared" si="14"/>
        <v/>
      </c>
      <c r="I1432" s="18">
        <f t="shared" si="9"/>
        <v>4.753333333</v>
      </c>
      <c r="J1432" s="19">
        <f t="shared" si="10"/>
        <v>4.846666667</v>
      </c>
      <c r="K1432" s="19"/>
      <c r="L1432" s="19">
        <f t="shared" si="11"/>
        <v>4.616666667</v>
      </c>
      <c r="M1432" s="19">
        <f t="shared" si="12"/>
        <v>4.983333333</v>
      </c>
      <c r="N1432" s="19">
        <f t="shared" si="13"/>
        <v>4.523333333</v>
      </c>
    </row>
    <row r="1433" ht="24.75" customHeight="1">
      <c r="A1433" s="21" t="s">
        <v>1396</v>
      </c>
      <c r="B1433" s="13">
        <f>IFERROR(__xludf.DUMMYFUNCTION("GOOGLEFINANCE(A1433,""PRICE"")"),146.6)</f>
        <v>146.6</v>
      </c>
      <c r="C1433" s="14">
        <f>IFERROR(__xludf.DUMMYFUNCTION("GOOGLEFINANCE(A1433,""PRICEOPEN"")"),145.99)</f>
        <v>145.99</v>
      </c>
      <c r="D1433" s="14">
        <f>IFERROR(__xludf.DUMMYFUNCTION("GOOGLEFINANCE(A1433,""HIGH"")"),151.25)</f>
        <v>151.25</v>
      </c>
      <c r="E1433" s="14">
        <f>IFERROR(__xludf.DUMMYFUNCTION("GOOGLEFINANCE(A1433,""LOW"")"),144.78)</f>
        <v>144.78</v>
      </c>
      <c r="F1433" s="15" t="str">
        <f t="shared" si="8"/>
        <v/>
      </c>
      <c r="G1433" s="16">
        <f>IFERROR(__xludf.DUMMYFUNCTION("GOOGLEFINANCE(A1433,""CLOSEYEST"")"),146.57)</f>
        <v>146.57</v>
      </c>
      <c r="H1433" s="17" t="str">
        <f t="shared" si="14"/>
        <v/>
      </c>
      <c r="I1433" s="18">
        <f t="shared" si="9"/>
        <v>147.5333333</v>
      </c>
      <c r="J1433" s="19">
        <f t="shared" si="10"/>
        <v>150.2866667</v>
      </c>
      <c r="K1433" s="19"/>
      <c r="L1433" s="19">
        <f t="shared" si="11"/>
        <v>143.8166667</v>
      </c>
      <c r="M1433" s="19">
        <f t="shared" si="12"/>
        <v>154.0033333</v>
      </c>
      <c r="N1433" s="19">
        <f t="shared" si="13"/>
        <v>141.0633333</v>
      </c>
    </row>
    <row r="1434" ht="24.75" customHeight="1">
      <c r="A1434" s="21" t="s">
        <v>1397</v>
      </c>
      <c r="B1434" s="13">
        <f>IFERROR(__xludf.DUMMYFUNCTION("GOOGLEFINANCE(A1434,""PRICE"")"),195.5)</f>
        <v>195.5</v>
      </c>
      <c r="C1434" s="14">
        <f>IFERROR(__xludf.DUMMYFUNCTION("GOOGLEFINANCE(A1434,""PRICEOPEN"")"),199.9)</f>
        <v>199.9</v>
      </c>
      <c r="D1434" s="14">
        <f>IFERROR(__xludf.DUMMYFUNCTION("GOOGLEFINANCE(A1434,""HIGH"")"),199.9)</f>
        <v>199.9</v>
      </c>
      <c r="E1434" s="14">
        <f>IFERROR(__xludf.DUMMYFUNCTION("GOOGLEFINANCE(A1434,""LOW"")"),191.91)</f>
        <v>191.91</v>
      </c>
      <c r="F1434" s="15" t="str">
        <f t="shared" si="8"/>
        <v>SELL</v>
      </c>
      <c r="G1434" s="16">
        <f>IFERROR(__xludf.DUMMYFUNCTION("GOOGLEFINANCE(A1434,""CLOSEYEST"")"),195.12)</f>
        <v>195.12</v>
      </c>
      <c r="H1434" s="17" t="str">
        <f t="shared" si="14"/>
        <v>GAP UP</v>
      </c>
      <c r="I1434" s="18">
        <f t="shared" si="9"/>
        <v>195.6433333</v>
      </c>
      <c r="J1434" s="19">
        <f t="shared" si="10"/>
        <v>199.3766667</v>
      </c>
      <c r="K1434" s="19"/>
      <c r="L1434" s="19">
        <f t="shared" si="11"/>
        <v>191.3866667</v>
      </c>
      <c r="M1434" s="19">
        <f t="shared" si="12"/>
        <v>203.6333333</v>
      </c>
      <c r="N1434" s="19">
        <f t="shared" si="13"/>
        <v>187.6533333</v>
      </c>
    </row>
    <row r="1435" ht="24.75" customHeight="1">
      <c r="A1435" s="21" t="s">
        <v>1398</v>
      </c>
      <c r="B1435" s="13">
        <f>IFERROR(__xludf.DUMMYFUNCTION("GOOGLEFINANCE(A1435,""PRICE"")"),33.05)</f>
        <v>33.05</v>
      </c>
      <c r="C1435" s="14">
        <f>IFERROR(__xludf.DUMMYFUNCTION("GOOGLEFINANCE(A1435,""PRICEOPEN"")"),32.19)</f>
        <v>32.19</v>
      </c>
      <c r="D1435" s="14">
        <f>IFERROR(__xludf.DUMMYFUNCTION("GOOGLEFINANCE(A1435,""HIGH"")"),33.7)</f>
        <v>33.7</v>
      </c>
      <c r="E1435" s="14">
        <f>IFERROR(__xludf.DUMMYFUNCTION("GOOGLEFINANCE(A1435,""LOW"")"),32.19)</f>
        <v>32.19</v>
      </c>
      <c r="F1435" s="15" t="str">
        <f t="shared" si="8"/>
        <v>BUY</v>
      </c>
      <c r="G1435" s="16">
        <f>IFERROR(__xludf.DUMMYFUNCTION("GOOGLEFINANCE(A1435,""CLOSEYEST"")"),32.19)</f>
        <v>32.19</v>
      </c>
      <c r="H1435" s="17" t="str">
        <f t="shared" si="14"/>
        <v/>
      </c>
      <c r="I1435" s="18">
        <f t="shared" si="9"/>
        <v>32.69333333</v>
      </c>
      <c r="J1435" s="19">
        <f t="shared" si="10"/>
        <v>33.19666667</v>
      </c>
      <c r="K1435" s="19"/>
      <c r="L1435" s="19">
        <f t="shared" si="11"/>
        <v>31.68666667</v>
      </c>
      <c r="M1435" s="19">
        <f t="shared" si="12"/>
        <v>34.20333333</v>
      </c>
      <c r="N1435" s="19">
        <f t="shared" si="13"/>
        <v>31.18333333</v>
      </c>
    </row>
    <row r="1436" ht="24.75" customHeight="1">
      <c r="A1436" s="21" t="s">
        <v>1399</v>
      </c>
      <c r="B1436" s="13">
        <f>IFERROR(__xludf.DUMMYFUNCTION("GOOGLEFINANCE(A1436,""PRICE"")"),11.79)</f>
        <v>11.79</v>
      </c>
      <c r="C1436" s="14">
        <f>IFERROR(__xludf.DUMMYFUNCTION("GOOGLEFINANCE(A1436,""PRICEOPEN"")"),11.8)</f>
        <v>11.8</v>
      </c>
      <c r="D1436" s="14">
        <f>IFERROR(__xludf.DUMMYFUNCTION("GOOGLEFINANCE(A1436,""HIGH"")"),11.8)</f>
        <v>11.8</v>
      </c>
      <c r="E1436" s="14">
        <f>IFERROR(__xludf.DUMMYFUNCTION("GOOGLEFINANCE(A1436,""LOW"")"),11.7)</f>
        <v>11.7</v>
      </c>
      <c r="F1436" s="15" t="str">
        <f t="shared" si="8"/>
        <v>SELL</v>
      </c>
      <c r="G1436" s="16">
        <f>IFERROR(__xludf.DUMMYFUNCTION("GOOGLEFINANCE(A1436,""CLOSEYEST"")"),11.8)</f>
        <v>11.8</v>
      </c>
      <c r="H1436" s="17" t="str">
        <f t="shared" si="14"/>
        <v/>
      </c>
      <c r="I1436" s="18">
        <f t="shared" si="9"/>
        <v>11.76666667</v>
      </c>
      <c r="J1436" s="19">
        <f t="shared" si="10"/>
        <v>11.83333333</v>
      </c>
      <c r="K1436" s="19"/>
      <c r="L1436" s="19">
        <f t="shared" si="11"/>
        <v>11.73333333</v>
      </c>
      <c r="M1436" s="19">
        <f t="shared" si="12"/>
        <v>11.86666667</v>
      </c>
      <c r="N1436" s="19">
        <f t="shared" si="13"/>
        <v>11.66666667</v>
      </c>
    </row>
    <row r="1437" ht="24.75" customHeight="1">
      <c r="A1437" s="21" t="s">
        <v>1400</v>
      </c>
      <c r="B1437" s="13">
        <f>IFERROR(__xludf.DUMMYFUNCTION("GOOGLEFINANCE(A1437,""PRICE"")"),4.6)</f>
        <v>4.6</v>
      </c>
      <c r="C1437" s="14">
        <f>IFERROR(__xludf.DUMMYFUNCTION("GOOGLEFINANCE(A1437,""PRICEOPEN"")"),4.58)</f>
        <v>4.58</v>
      </c>
      <c r="D1437" s="14">
        <f>IFERROR(__xludf.DUMMYFUNCTION("GOOGLEFINANCE(A1437,""HIGH"")"),4.7)</f>
        <v>4.7</v>
      </c>
      <c r="E1437" s="14">
        <f>IFERROR(__xludf.DUMMYFUNCTION("GOOGLEFINANCE(A1437,""LOW"")"),4.54)</f>
        <v>4.54</v>
      </c>
      <c r="F1437" s="15" t="str">
        <f t="shared" si="8"/>
        <v/>
      </c>
      <c r="G1437" s="16">
        <f>IFERROR(__xludf.DUMMYFUNCTION("GOOGLEFINANCE(A1437,""CLOSEYEST"")"),4.64)</f>
        <v>4.64</v>
      </c>
      <c r="H1437" s="17" t="str">
        <f t="shared" si="14"/>
        <v>GAP DOWN</v>
      </c>
      <c r="I1437" s="18">
        <f t="shared" si="9"/>
        <v>4.626666667</v>
      </c>
      <c r="J1437" s="19">
        <f t="shared" si="10"/>
        <v>4.713333333</v>
      </c>
      <c r="K1437" s="19"/>
      <c r="L1437" s="19">
        <f t="shared" si="11"/>
        <v>4.553333333</v>
      </c>
      <c r="M1437" s="19">
        <f t="shared" si="12"/>
        <v>4.786666667</v>
      </c>
      <c r="N1437" s="19">
        <f t="shared" si="13"/>
        <v>4.466666667</v>
      </c>
    </row>
    <row r="1438" ht="24.75" customHeight="1">
      <c r="A1438" s="21" t="s">
        <v>1401</v>
      </c>
      <c r="B1438" s="13">
        <f>IFERROR(__xludf.DUMMYFUNCTION("GOOGLEFINANCE(A1438,""PRICE"")"),174.98)</f>
        <v>174.98</v>
      </c>
      <c r="C1438" s="14">
        <f>IFERROR(__xludf.DUMMYFUNCTION("GOOGLEFINANCE(A1438,""PRICEOPEN"")"),168.6)</f>
        <v>168.6</v>
      </c>
      <c r="D1438" s="14">
        <f>IFERROR(__xludf.DUMMYFUNCTION("GOOGLEFINANCE(A1438,""HIGH"")"),177.8)</f>
        <v>177.8</v>
      </c>
      <c r="E1438" s="14">
        <f>IFERROR(__xludf.DUMMYFUNCTION("GOOGLEFINANCE(A1438,""LOW"")"),168.31)</f>
        <v>168.31</v>
      </c>
      <c r="F1438" s="15" t="str">
        <f t="shared" si="8"/>
        <v/>
      </c>
      <c r="G1438" s="16">
        <f>IFERROR(__xludf.DUMMYFUNCTION("GOOGLEFINANCE(A1438,""CLOSEYEST"")"),168.95)</f>
        <v>168.95</v>
      </c>
      <c r="H1438" s="17" t="str">
        <f t="shared" si="14"/>
        <v/>
      </c>
      <c r="I1438" s="18">
        <f t="shared" si="9"/>
        <v>171.6866667</v>
      </c>
      <c r="J1438" s="19">
        <f t="shared" si="10"/>
        <v>175.0633333</v>
      </c>
      <c r="K1438" s="19"/>
      <c r="L1438" s="19">
        <f t="shared" si="11"/>
        <v>165.5733333</v>
      </c>
      <c r="M1438" s="19">
        <f t="shared" si="12"/>
        <v>181.1766667</v>
      </c>
      <c r="N1438" s="19">
        <f t="shared" si="13"/>
        <v>162.1966667</v>
      </c>
    </row>
    <row r="1439" ht="24.75" customHeight="1">
      <c r="A1439" s="21" t="s">
        <v>1402</v>
      </c>
      <c r="B1439" s="13">
        <f>IFERROR(__xludf.DUMMYFUNCTION("GOOGLEFINANCE(A1439,""PRICE"")"),15.89)</f>
        <v>15.89</v>
      </c>
      <c r="C1439" s="14">
        <f>IFERROR(__xludf.DUMMYFUNCTION("GOOGLEFINANCE(A1439,""PRICEOPEN"")"),15.7)</f>
        <v>15.7</v>
      </c>
      <c r="D1439" s="14">
        <f>IFERROR(__xludf.DUMMYFUNCTION("GOOGLEFINANCE(A1439,""HIGH"")"),15.91)</f>
        <v>15.91</v>
      </c>
      <c r="E1439" s="14">
        <f>IFERROR(__xludf.DUMMYFUNCTION("GOOGLEFINANCE(A1439,""LOW"")"),15.63)</f>
        <v>15.63</v>
      </c>
      <c r="F1439" s="15" t="str">
        <f t="shared" si="8"/>
        <v/>
      </c>
      <c r="G1439" s="16">
        <f>IFERROR(__xludf.DUMMYFUNCTION("GOOGLEFINANCE(A1439,""CLOSEYEST"")"),15.67)</f>
        <v>15.67</v>
      </c>
      <c r="H1439" s="17" t="str">
        <f t="shared" si="14"/>
        <v/>
      </c>
      <c r="I1439" s="18">
        <f t="shared" si="9"/>
        <v>15.73666667</v>
      </c>
      <c r="J1439" s="19">
        <f t="shared" si="10"/>
        <v>15.84333333</v>
      </c>
      <c r="K1439" s="19"/>
      <c r="L1439" s="19">
        <f t="shared" si="11"/>
        <v>15.56333333</v>
      </c>
      <c r="M1439" s="19">
        <f t="shared" si="12"/>
        <v>16.01666667</v>
      </c>
      <c r="N1439" s="19">
        <f t="shared" si="13"/>
        <v>15.45666667</v>
      </c>
    </row>
    <row r="1440" ht="24.75" customHeight="1">
      <c r="A1440" s="21" t="s">
        <v>1403</v>
      </c>
      <c r="B1440" s="13">
        <f>IFERROR(__xludf.DUMMYFUNCTION("GOOGLEFINANCE(A1440,""PRICE"")"),21.92)</f>
        <v>21.92</v>
      </c>
      <c r="C1440" s="14">
        <f>IFERROR(__xludf.DUMMYFUNCTION("GOOGLEFINANCE(A1440,""PRICEOPEN"")"),21.64)</f>
        <v>21.64</v>
      </c>
      <c r="D1440" s="14">
        <f>IFERROR(__xludf.DUMMYFUNCTION("GOOGLEFINANCE(A1440,""HIGH"")"),21.92)</f>
        <v>21.92</v>
      </c>
      <c r="E1440" s="14">
        <f>IFERROR(__xludf.DUMMYFUNCTION("GOOGLEFINANCE(A1440,""LOW"")"),20.0)</f>
        <v>20</v>
      </c>
      <c r="F1440" s="15" t="str">
        <f t="shared" si="8"/>
        <v/>
      </c>
      <c r="G1440" s="16">
        <f>IFERROR(__xludf.DUMMYFUNCTION("GOOGLEFINANCE(A1440,""CLOSEYEST"")"),21.22)</f>
        <v>21.22</v>
      </c>
      <c r="H1440" s="17" t="str">
        <f t="shared" si="14"/>
        <v>GAP UP</v>
      </c>
      <c r="I1440" s="18">
        <f t="shared" si="9"/>
        <v>21.04666667</v>
      </c>
      <c r="J1440" s="19">
        <f t="shared" si="10"/>
        <v>22.09333333</v>
      </c>
      <c r="K1440" s="19"/>
      <c r="L1440" s="19">
        <f t="shared" si="11"/>
        <v>20.17333333</v>
      </c>
      <c r="M1440" s="19">
        <f t="shared" si="12"/>
        <v>22.96666667</v>
      </c>
      <c r="N1440" s="19">
        <f t="shared" si="13"/>
        <v>19.12666667</v>
      </c>
    </row>
    <row r="1441" ht="24.75" customHeight="1">
      <c r="A1441" s="21" t="s">
        <v>1404</v>
      </c>
      <c r="B1441" s="13">
        <f>IFERROR(__xludf.DUMMYFUNCTION("GOOGLEFINANCE(A1441,""PRICE"")"),36.0)</f>
        <v>36</v>
      </c>
      <c r="C1441" s="14">
        <f>IFERROR(__xludf.DUMMYFUNCTION("GOOGLEFINANCE(A1441,""PRICEOPEN"")"),34.96)</f>
        <v>34.96</v>
      </c>
      <c r="D1441" s="14">
        <f>IFERROR(__xludf.DUMMYFUNCTION("GOOGLEFINANCE(A1441,""HIGH"")"),36.5)</f>
        <v>36.5</v>
      </c>
      <c r="E1441" s="14">
        <f>IFERROR(__xludf.DUMMYFUNCTION("GOOGLEFINANCE(A1441,""LOW"")"),34.25)</f>
        <v>34.25</v>
      </c>
      <c r="F1441" s="15" t="str">
        <f t="shared" si="8"/>
        <v/>
      </c>
      <c r="G1441" s="16">
        <f>IFERROR(__xludf.DUMMYFUNCTION("GOOGLEFINANCE(A1441,""CLOSEYEST"")"),34.96)</f>
        <v>34.96</v>
      </c>
      <c r="H1441" s="17" t="str">
        <f t="shared" si="14"/>
        <v/>
      </c>
      <c r="I1441" s="18">
        <f t="shared" si="9"/>
        <v>35.23666667</v>
      </c>
      <c r="J1441" s="19">
        <f t="shared" si="10"/>
        <v>36.22333333</v>
      </c>
      <c r="K1441" s="19"/>
      <c r="L1441" s="19">
        <f t="shared" si="11"/>
        <v>33.97333333</v>
      </c>
      <c r="M1441" s="19">
        <f t="shared" si="12"/>
        <v>37.48666667</v>
      </c>
      <c r="N1441" s="19">
        <f t="shared" si="13"/>
        <v>32.98666667</v>
      </c>
    </row>
    <row r="1442" ht="24.75" customHeight="1">
      <c r="A1442" s="21" t="s">
        <v>1405</v>
      </c>
      <c r="B1442" s="13">
        <f>IFERROR(__xludf.DUMMYFUNCTION("GOOGLEFINANCE(A1442,""PRICE"")"),1815.0)</f>
        <v>1815</v>
      </c>
      <c r="C1442" s="14">
        <f>IFERROR(__xludf.DUMMYFUNCTION("GOOGLEFINANCE(A1442,""PRICEOPEN"")"),1815.8)</f>
        <v>1815.8</v>
      </c>
      <c r="D1442" s="14">
        <f>IFERROR(__xludf.DUMMYFUNCTION("GOOGLEFINANCE(A1442,""HIGH"")"),1838.9)</f>
        <v>1838.9</v>
      </c>
      <c r="E1442" s="14">
        <f>IFERROR(__xludf.DUMMYFUNCTION("GOOGLEFINANCE(A1442,""LOW"")"),1796.3)</f>
        <v>1796.3</v>
      </c>
      <c r="F1442" s="15" t="str">
        <f t="shared" si="8"/>
        <v/>
      </c>
      <c r="G1442" s="16">
        <f>IFERROR(__xludf.DUMMYFUNCTION("GOOGLEFINANCE(A1442,""CLOSEYEST"")"),1808.7)</f>
        <v>1808.7</v>
      </c>
      <c r="H1442" s="17" t="str">
        <f t="shared" si="14"/>
        <v/>
      </c>
      <c r="I1442" s="18">
        <f t="shared" si="9"/>
        <v>1814.633333</v>
      </c>
      <c r="J1442" s="19">
        <f t="shared" si="10"/>
        <v>1832.966667</v>
      </c>
      <c r="K1442" s="19"/>
      <c r="L1442" s="19">
        <f t="shared" si="11"/>
        <v>1790.366667</v>
      </c>
      <c r="M1442" s="19">
        <f t="shared" si="12"/>
        <v>1857.233333</v>
      </c>
      <c r="N1442" s="19">
        <f t="shared" si="13"/>
        <v>1772.033333</v>
      </c>
    </row>
    <row r="1443" ht="24.75" customHeight="1">
      <c r="A1443" s="21" t="s">
        <v>1406</v>
      </c>
      <c r="B1443" s="13">
        <f>IFERROR(__xludf.DUMMYFUNCTION("GOOGLEFINANCE(A1443,""PRICE"")"),21.9)</f>
        <v>21.9</v>
      </c>
      <c r="C1443" s="14">
        <f>IFERROR(__xludf.DUMMYFUNCTION("GOOGLEFINANCE(A1443,""PRICEOPEN"")"),22.06)</f>
        <v>22.06</v>
      </c>
      <c r="D1443" s="14">
        <f>IFERROR(__xludf.DUMMYFUNCTION("GOOGLEFINANCE(A1443,""HIGH"")"),22.49)</f>
        <v>22.49</v>
      </c>
      <c r="E1443" s="14">
        <f>IFERROR(__xludf.DUMMYFUNCTION("GOOGLEFINANCE(A1443,""LOW"")"),21.5)</f>
        <v>21.5</v>
      </c>
      <c r="F1443" s="15" t="str">
        <f t="shared" si="8"/>
        <v/>
      </c>
      <c r="G1443" s="16">
        <f>IFERROR(__xludf.DUMMYFUNCTION("GOOGLEFINANCE(A1443,""CLOSEYEST"")"),22.01)</f>
        <v>22.01</v>
      </c>
      <c r="H1443" s="17" t="str">
        <f t="shared" si="14"/>
        <v/>
      </c>
      <c r="I1443" s="18">
        <f t="shared" si="9"/>
        <v>22</v>
      </c>
      <c r="J1443" s="19">
        <f t="shared" si="10"/>
        <v>22.5</v>
      </c>
      <c r="K1443" s="19"/>
      <c r="L1443" s="19">
        <f t="shared" si="11"/>
        <v>21.51</v>
      </c>
      <c r="M1443" s="19">
        <f t="shared" si="12"/>
        <v>22.99</v>
      </c>
      <c r="N1443" s="19">
        <f t="shared" si="13"/>
        <v>21.01</v>
      </c>
    </row>
    <row r="1444" ht="24.75" customHeight="1">
      <c r="A1444" s="21" t="s">
        <v>1407</v>
      </c>
      <c r="B1444" s="13">
        <f>IFERROR(__xludf.DUMMYFUNCTION("GOOGLEFINANCE(A1444,""PRICE"")"),36.5)</f>
        <v>36.5</v>
      </c>
      <c r="C1444" s="14">
        <f>IFERROR(__xludf.DUMMYFUNCTION("GOOGLEFINANCE(A1444,""PRICEOPEN"")"),36.5)</f>
        <v>36.5</v>
      </c>
      <c r="D1444" s="14">
        <f>IFERROR(__xludf.DUMMYFUNCTION("GOOGLEFINANCE(A1444,""HIGH"")"),38.39)</f>
        <v>38.39</v>
      </c>
      <c r="E1444" s="14">
        <f>IFERROR(__xludf.DUMMYFUNCTION("GOOGLEFINANCE(A1444,""LOW"")"),36.12)</f>
        <v>36.12</v>
      </c>
      <c r="F1444" s="15" t="str">
        <f t="shared" si="8"/>
        <v/>
      </c>
      <c r="G1444" s="16">
        <f>IFERROR(__xludf.DUMMYFUNCTION("GOOGLEFINANCE(A1444,""CLOSEYEST"")"),36.58)</f>
        <v>36.58</v>
      </c>
      <c r="H1444" s="17" t="str">
        <f t="shared" si="14"/>
        <v/>
      </c>
      <c r="I1444" s="18">
        <f t="shared" si="9"/>
        <v>37.03</v>
      </c>
      <c r="J1444" s="19">
        <f t="shared" si="10"/>
        <v>37.94</v>
      </c>
      <c r="K1444" s="19"/>
      <c r="L1444" s="19">
        <f t="shared" si="11"/>
        <v>35.67</v>
      </c>
      <c r="M1444" s="19">
        <f t="shared" si="12"/>
        <v>39.3</v>
      </c>
      <c r="N1444" s="19">
        <f t="shared" si="13"/>
        <v>34.76</v>
      </c>
    </row>
    <row r="1445" ht="24.75" customHeight="1">
      <c r="A1445" s="21" t="s">
        <v>1408</v>
      </c>
      <c r="B1445" s="13">
        <f>IFERROR(__xludf.DUMMYFUNCTION("GOOGLEFINANCE(A1445,""PRICE"")"),126.93)</f>
        <v>126.93</v>
      </c>
      <c r="C1445" s="14">
        <f>IFERROR(__xludf.DUMMYFUNCTION("GOOGLEFINANCE(A1445,""PRICEOPEN"")"),125.25)</f>
        <v>125.25</v>
      </c>
      <c r="D1445" s="14">
        <f>IFERROR(__xludf.DUMMYFUNCTION("GOOGLEFINANCE(A1445,""HIGH"")"),126.99)</f>
        <v>126.99</v>
      </c>
      <c r="E1445" s="14">
        <f>IFERROR(__xludf.DUMMYFUNCTION("GOOGLEFINANCE(A1445,""LOW"")"),123.85)</f>
        <v>123.85</v>
      </c>
      <c r="F1445" s="15" t="str">
        <f t="shared" si="8"/>
        <v/>
      </c>
      <c r="G1445" s="16">
        <f>IFERROR(__xludf.DUMMYFUNCTION("GOOGLEFINANCE(A1445,""CLOSEYEST"")"),124.7)</f>
        <v>124.7</v>
      </c>
      <c r="H1445" s="17" t="str">
        <f t="shared" si="14"/>
        <v/>
      </c>
      <c r="I1445" s="18">
        <f t="shared" si="9"/>
        <v>125.18</v>
      </c>
      <c r="J1445" s="19">
        <f t="shared" si="10"/>
        <v>126.51</v>
      </c>
      <c r="K1445" s="19"/>
      <c r="L1445" s="19">
        <f t="shared" si="11"/>
        <v>123.37</v>
      </c>
      <c r="M1445" s="19">
        <f t="shared" si="12"/>
        <v>128.32</v>
      </c>
      <c r="N1445" s="19">
        <f t="shared" si="13"/>
        <v>122.04</v>
      </c>
    </row>
    <row r="1446" ht="24.75" customHeight="1">
      <c r="A1446" s="21" t="s">
        <v>1409</v>
      </c>
      <c r="B1446" s="13" t="str">
        <f>IFERROR(__xludf.DUMMYFUNCTION("GOOGLEFINANCE(A1446,""PRICE"")"),"#N/A")</f>
        <v>#N/A</v>
      </c>
      <c r="C1446" s="14" t="str">
        <f>IFERROR(__xludf.DUMMYFUNCTION("GOOGLEFINANCE(A1446,""PRICEOPEN"")"),"#N/A")</f>
        <v>#N/A</v>
      </c>
      <c r="D1446" s="14" t="str">
        <f>IFERROR(__xludf.DUMMYFUNCTION("GOOGLEFINANCE(A1446,""HIGH"")"),"#N/A")</f>
        <v>#N/A</v>
      </c>
      <c r="E1446" s="14" t="str">
        <f>IFERROR(__xludf.DUMMYFUNCTION("GOOGLEFINANCE(A1446,""LOW"")"),"#N/A")</f>
        <v>#N/A</v>
      </c>
      <c r="F1446" s="15" t="str">
        <f t="shared" si="8"/>
        <v>#N/A</v>
      </c>
      <c r="G1446" s="16" t="str">
        <f>IFERROR(__xludf.DUMMYFUNCTION("GOOGLEFINANCE(A1446,""CLOSEYEST"")"),"#N/A")</f>
        <v>#N/A</v>
      </c>
      <c r="H1446" s="17" t="str">
        <f t="shared" si="14"/>
        <v>#N/A</v>
      </c>
      <c r="I1446" s="18" t="str">
        <f t="shared" si="9"/>
        <v>#N/A</v>
      </c>
      <c r="J1446" s="19" t="str">
        <f t="shared" si="10"/>
        <v>#N/A</v>
      </c>
      <c r="K1446" s="19"/>
      <c r="L1446" s="19" t="str">
        <f t="shared" si="11"/>
        <v>#N/A</v>
      </c>
      <c r="M1446" s="19" t="str">
        <f t="shared" si="12"/>
        <v>#N/A</v>
      </c>
      <c r="N1446" s="19" t="str">
        <f t="shared" si="13"/>
        <v>#N/A</v>
      </c>
    </row>
    <row r="1447" ht="24.75" customHeight="1">
      <c r="A1447" s="21" t="s">
        <v>1410</v>
      </c>
      <c r="B1447" s="13">
        <f>IFERROR(__xludf.DUMMYFUNCTION("GOOGLEFINANCE(A1447,""PRICE"")"),7.5)</f>
        <v>7.5</v>
      </c>
      <c r="C1447" s="14">
        <f>IFERROR(__xludf.DUMMYFUNCTION("GOOGLEFINANCE(A1447,""PRICEOPEN"")"),7.67)</f>
        <v>7.67</v>
      </c>
      <c r="D1447" s="14">
        <f>IFERROR(__xludf.DUMMYFUNCTION("GOOGLEFINANCE(A1447,""HIGH"")"),7.67)</f>
        <v>7.67</v>
      </c>
      <c r="E1447" s="14">
        <f>IFERROR(__xludf.DUMMYFUNCTION("GOOGLEFINANCE(A1447,""LOW"")"),7.45)</f>
        <v>7.45</v>
      </c>
      <c r="F1447" s="15" t="str">
        <f t="shared" si="8"/>
        <v>SELL</v>
      </c>
      <c r="G1447" s="16">
        <f>IFERROR(__xludf.DUMMYFUNCTION("GOOGLEFINANCE(A1447,""CLOSEYEST"")"),7.55)</f>
        <v>7.55</v>
      </c>
      <c r="H1447" s="17" t="str">
        <f t="shared" si="14"/>
        <v>GAP UP</v>
      </c>
      <c r="I1447" s="18">
        <f t="shared" si="9"/>
        <v>7.556666667</v>
      </c>
      <c r="J1447" s="19">
        <f t="shared" si="10"/>
        <v>7.663333333</v>
      </c>
      <c r="K1447" s="19"/>
      <c r="L1447" s="19">
        <f t="shared" si="11"/>
        <v>7.443333333</v>
      </c>
      <c r="M1447" s="19">
        <f t="shared" si="12"/>
        <v>7.776666667</v>
      </c>
      <c r="N1447" s="19">
        <f t="shared" si="13"/>
        <v>7.336666667</v>
      </c>
    </row>
    <row r="1448" ht="24.75" customHeight="1">
      <c r="A1448" s="21" t="s">
        <v>1411</v>
      </c>
      <c r="B1448" s="13">
        <f>IFERROR(__xludf.DUMMYFUNCTION("GOOGLEFINANCE(A1448,""PRICE"")"),2154.9)</f>
        <v>2154.9</v>
      </c>
      <c r="C1448" s="14">
        <f>IFERROR(__xludf.DUMMYFUNCTION("GOOGLEFINANCE(A1448,""PRICEOPEN"")"),2229.9)</f>
        <v>2229.9</v>
      </c>
      <c r="D1448" s="14">
        <f>IFERROR(__xludf.DUMMYFUNCTION("GOOGLEFINANCE(A1448,""HIGH"")"),2250.0)</f>
        <v>2250</v>
      </c>
      <c r="E1448" s="14">
        <f>IFERROR(__xludf.DUMMYFUNCTION("GOOGLEFINANCE(A1448,""LOW"")"),2151.9)</f>
        <v>2151.9</v>
      </c>
      <c r="F1448" s="15" t="str">
        <f t="shared" si="8"/>
        <v/>
      </c>
      <c r="G1448" s="16">
        <f>IFERROR(__xludf.DUMMYFUNCTION("GOOGLEFINANCE(A1448,""CLOSEYEST"")"),2199.8)</f>
        <v>2199.8</v>
      </c>
      <c r="H1448" s="17" t="str">
        <f t="shared" si="14"/>
        <v>GAP UP</v>
      </c>
      <c r="I1448" s="18">
        <f t="shared" si="9"/>
        <v>2200.566667</v>
      </c>
      <c r="J1448" s="19">
        <f t="shared" si="10"/>
        <v>2249.233333</v>
      </c>
      <c r="K1448" s="19"/>
      <c r="L1448" s="19">
        <f t="shared" si="11"/>
        <v>2151.133333</v>
      </c>
      <c r="M1448" s="19">
        <f t="shared" si="12"/>
        <v>2298.666667</v>
      </c>
      <c r="N1448" s="19">
        <f t="shared" si="13"/>
        <v>2102.466667</v>
      </c>
    </row>
    <row r="1449" ht="24.75" customHeight="1">
      <c r="A1449" s="21" t="s">
        <v>1412</v>
      </c>
      <c r="B1449" s="13">
        <f>IFERROR(__xludf.DUMMYFUNCTION("GOOGLEFINANCE(A1449,""PRICE"")"),173.25)</f>
        <v>173.25</v>
      </c>
      <c r="C1449" s="14">
        <f>IFERROR(__xludf.DUMMYFUNCTION("GOOGLEFINANCE(A1449,""PRICEOPEN"")"),177.95)</f>
        <v>177.95</v>
      </c>
      <c r="D1449" s="14">
        <f>IFERROR(__xludf.DUMMYFUNCTION("GOOGLEFINANCE(A1449,""HIGH"")"),177.95)</f>
        <v>177.95</v>
      </c>
      <c r="E1449" s="14">
        <f>IFERROR(__xludf.DUMMYFUNCTION("GOOGLEFINANCE(A1449,""LOW"")"),173.0)</f>
        <v>173</v>
      </c>
      <c r="F1449" s="15" t="str">
        <f t="shared" si="8"/>
        <v>SELL</v>
      </c>
      <c r="G1449" s="16">
        <f>IFERROR(__xludf.DUMMYFUNCTION("GOOGLEFINANCE(A1449,""CLOSEYEST"")"),177.24)</f>
        <v>177.24</v>
      </c>
      <c r="H1449" s="17" t="str">
        <f t="shared" si="14"/>
        <v/>
      </c>
      <c r="I1449" s="18">
        <f t="shared" si="9"/>
        <v>176.0633333</v>
      </c>
      <c r="J1449" s="19">
        <f t="shared" si="10"/>
        <v>179.1266667</v>
      </c>
      <c r="K1449" s="19"/>
      <c r="L1449" s="19">
        <f t="shared" si="11"/>
        <v>174.1766667</v>
      </c>
      <c r="M1449" s="19">
        <f t="shared" si="12"/>
        <v>181.0133333</v>
      </c>
      <c r="N1449" s="19">
        <f t="shared" si="13"/>
        <v>171.1133333</v>
      </c>
    </row>
    <row r="1450" ht="24.75" customHeight="1">
      <c r="A1450" s="21" t="s">
        <v>1413</v>
      </c>
      <c r="B1450" s="13">
        <f>IFERROR(__xludf.DUMMYFUNCTION("GOOGLEFINANCE(A1450,""PRICE"")"),147.25)</f>
        <v>147.25</v>
      </c>
      <c r="C1450" s="14">
        <f>IFERROR(__xludf.DUMMYFUNCTION("GOOGLEFINANCE(A1450,""PRICEOPEN"")"),148.9)</f>
        <v>148.9</v>
      </c>
      <c r="D1450" s="14">
        <f>IFERROR(__xludf.DUMMYFUNCTION("GOOGLEFINANCE(A1450,""HIGH"")"),150.95)</f>
        <v>150.95</v>
      </c>
      <c r="E1450" s="14">
        <f>IFERROR(__xludf.DUMMYFUNCTION("GOOGLEFINANCE(A1450,""LOW"")"),147.0)</f>
        <v>147</v>
      </c>
      <c r="F1450" s="15" t="str">
        <f t="shared" si="8"/>
        <v/>
      </c>
      <c r="G1450" s="16">
        <f>IFERROR(__xludf.DUMMYFUNCTION("GOOGLEFINANCE(A1450,""CLOSEYEST"")"),148.82)</f>
        <v>148.82</v>
      </c>
      <c r="H1450" s="17" t="str">
        <f t="shared" si="14"/>
        <v/>
      </c>
      <c r="I1450" s="18">
        <f t="shared" si="9"/>
        <v>148.9233333</v>
      </c>
      <c r="J1450" s="19">
        <f t="shared" si="10"/>
        <v>150.8466667</v>
      </c>
      <c r="K1450" s="19"/>
      <c r="L1450" s="19">
        <f t="shared" si="11"/>
        <v>146.8966667</v>
      </c>
      <c r="M1450" s="19">
        <f t="shared" si="12"/>
        <v>152.8733333</v>
      </c>
      <c r="N1450" s="19">
        <f t="shared" si="13"/>
        <v>144.9733333</v>
      </c>
    </row>
    <row r="1451" ht="24.75" customHeight="1">
      <c r="A1451" s="21" t="s">
        <v>1414</v>
      </c>
      <c r="B1451" s="13">
        <f>IFERROR(__xludf.DUMMYFUNCTION("GOOGLEFINANCE(A1451,""PRICE"")"),43.86)</f>
        <v>43.86</v>
      </c>
      <c r="C1451" s="14">
        <f>IFERROR(__xludf.DUMMYFUNCTION("GOOGLEFINANCE(A1451,""PRICEOPEN"")"),42.8)</f>
        <v>42.8</v>
      </c>
      <c r="D1451" s="14">
        <f>IFERROR(__xludf.DUMMYFUNCTION("GOOGLEFINANCE(A1451,""HIGH"")"),44.6)</f>
        <v>44.6</v>
      </c>
      <c r="E1451" s="14">
        <f>IFERROR(__xludf.DUMMYFUNCTION("GOOGLEFINANCE(A1451,""LOW"")"),42.8)</f>
        <v>42.8</v>
      </c>
      <c r="F1451" s="15" t="str">
        <f t="shared" si="8"/>
        <v>BUY</v>
      </c>
      <c r="G1451" s="16">
        <f>IFERROR(__xludf.DUMMYFUNCTION("GOOGLEFINANCE(A1451,""CLOSEYEST"")"),43.01)</f>
        <v>43.01</v>
      </c>
      <c r="H1451" s="17" t="str">
        <f t="shared" si="14"/>
        <v/>
      </c>
      <c r="I1451" s="18">
        <f t="shared" si="9"/>
        <v>43.47</v>
      </c>
      <c r="J1451" s="19">
        <f t="shared" si="10"/>
        <v>44.14</v>
      </c>
      <c r="K1451" s="19"/>
      <c r="L1451" s="19">
        <f t="shared" si="11"/>
        <v>42.34</v>
      </c>
      <c r="M1451" s="19">
        <f t="shared" si="12"/>
        <v>45.27</v>
      </c>
      <c r="N1451" s="19">
        <f t="shared" si="13"/>
        <v>41.67</v>
      </c>
    </row>
    <row r="1452" ht="24.75" customHeight="1">
      <c r="A1452" s="21" t="s">
        <v>1415</v>
      </c>
      <c r="B1452" s="13">
        <f>IFERROR(__xludf.DUMMYFUNCTION("GOOGLEFINANCE(A1452,""PRICE"")"),126.0)</f>
        <v>126</v>
      </c>
      <c r="C1452" s="14">
        <f>IFERROR(__xludf.DUMMYFUNCTION("GOOGLEFINANCE(A1452,""PRICEOPEN"")"),128.45)</f>
        <v>128.45</v>
      </c>
      <c r="D1452" s="14">
        <f>IFERROR(__xludf.DUMMYFUNCTION("GOOGLEFINANCE(A1452,""HIGH"")"),128.45)</f>
        <v>128.45</v>
      </c>
      <c r="E1452" s="14">
        <f>IFERROR(__xludf.DUMMYFUNCTION("GOOGLEFINANCE(A1452,""LOW"")"),120.0)</f>
        <v>120</v>
      </c>
      <c r="F1452" s="15" t="str">
        <f t="shared" si="8"/>
        <v>SELL</v>
      </c>
      <c r="G1452" s="16">
        <f>IFERROR(__xludf.DUMMYFUNCTION("GOOGLEFINANCE(A1452,""CLOSEYEST"")"),122.72)</f>
        <v>122.72</v>
      </c>
      <c r="H1452" s="17" t="str">
        <f t="shared" si="14"/>
        <v>GAP UP</v>
      </c>
      <c r="I1452" s="18">
        <f t="shared" si="9"/>
        <v>123.7233333</v>
      </c>
      <c r="J1452" s="19">
        <f t="shared" si="10"/>
        <v>127.4466667</v>
      </c>
      <c r="K1452" s="19"/>
      <c r="L1452" s="19">
        <f t="shared" si="11"/>
        <v>118.9966667</v>
      </c>
      <c r="M1452" s="19">
        <f t="shared" si="12"/>
        <v>132.1733333</v>
      </c>
      <c r="N1452" s="19">
        <f t="shared" si="13"/>
        <v>115.2733333</v>
      </c>
    </row>
    <row r="1453" ht="24.75" customHeight="1">
      <c r="A1453" s="21" t="s">
        <v>1416</v>
      </c>
      <c r="B1453" s="13">
        <f>IFERROR(__xludf.DUMMYFUNCTION("GOOGLEFINANCE(A1453,""PRICE"")"),116.11)</f>
        <v>116.11</v>
      </c>
      <c r="C1453" s="14">
        <f>IFERROR(__xludf.DUMMYFUNCTION("GOOGLEFINANCE(A1453,""PRICEOPEN"")"),120.0)</f>
        <v>120</v>
      </c>
      <c r="D1453" s="14">
        <f>IFERROR(__xludf.DUMMYFUNCTION("GOOGLEFINANCE(A1453,""HIGH"")"),120.0)</f>
        <v>120</v>
      </c>
      <c r="E1453" s="14">
        <f>IFERROR(__xludf.DUMMYFUNCTION("GOOGLEFINANCE(A1453,""LOW"")"),114.4)</f>
        <v>114.4</v>
      </c>
      <c r="F1453" s="15" t="str">
        <f t="shared" si="8"/>
        <v>SELL</v>
      </c>
      <c r="G1453" s="16">
        <f>IFERROR(__xludf.DUMMYFUNCTION("GOOGLEFINANCE(A1453,""CLOSEYEST"")"),115.33)</f>
        <v>115.33</v>
      </c>
      <c r="H1453" s="17" t="str">
        <f t="shared" si="14"/>
        <v>GAP UP</v>
      </c>
      <c r="I1453" s="18">
        <f t="shared" si="9"/>
        <v>116.5766667</v>
      </c>
      <c r="J1453" s="19">
        <f t="shared" si="10"/>
        <v>118.7533333</v>
      </c>
      <c r="K1453" s="19"/>
      <c r="L1453" s="19">
        <f t="shared" si="11"/>
        <v>113.1533333</v>
      </c>
      <c r="M1453" s="19">
        <f t="shared" si="12"/>
        <v>122.1766667</v>
      </c>
      <c r="N1453" s="19">
        <f t="shared" si="13"/>
        <v>110.9766667</v>
      </c>
    </row>
    <row r="1454" ht="24.75" customHeight="1">
      <c r="A1454" s="21" t="s">
        <v>1417</v>
      </c>
      <c r="B1454" s="13">
        <f>IFERROR(__xludf.DUMMYFUNCTION("GOOGLEFINANCE(A1454,""PRICE"")"),54.89)</f>
        <v>54.89</v>
      </c>
      <c r="C1454" s="14">
        <f>IFERROR(__xludf.DUMMYFUNCTION("GOOGLEFINANCE(A1454,""PRICEOPEN"")"),52.5)</f>
        <v>52.5</v>
      </c>
      <c r="D1454" s="14">
        <f>IFERROR(__xludf.DUMMYFUNCTION("GOOGLEFINANCE(A1454,""HIGH"")"),56.0)</f>
        <v>56</v>
      </c>
      <c r="E1454" s="14">
        <f>IFERROR(__xludf.DUMMYFUNCTION("GOOGLEFINANCE(A1454,""LOW"")"),52.5)</f>
        <v>52.5</v>
      </c>
      <c r="F1454" s="15" t="str">
        <f t="shared" si="8"/>
        <v>BUY</v>
      </c>
      <c r="G1454" s="16">
        <f>IFERROR(__xludf.DUMMYFUNCTION("GOOGLEFINANCE(A1454,""CLOSEYEST"")"),53.96)</f>
        <v>53.96</v>
      </c>
      <c r="H1454" s="17" t="str">
        <f t="shared" si="14"/>
        <v>GAP DOWN</v>
      </c>
      <c r="I1454" s="18">
        <f t="shared" si="9"/>
        <v>54.15333333</v>
      </c>
      <c r="J1454" s="19">
        <f t="shared" si="10"/>
        <v>55.80666667</v>
      </c>
      <c r="K1454" s="19"/>
      <c r="L1454" s="19">
        <f t="shared" si="11"/>
        <v>52.30666667</v>
      </c>
      <c r="M1454" s="19">
        <f t="shared" si="12"/>
        <v>57.65333333</v>
      </c>
      <c r="N1454" s="19">
        <f t="shared" si="13"/>
        <v>50.65333333</v>
      </c>
    </row>
    <row r="1455" ht="24.75" customHeight="1">
      <c r="A1455" s="21" t="s">
        <v>1418</v>
      </c>
      <c r="B1455" s="13">
        <f>IFERROR(__xludf.DUMMYFUNCTION("GOOGLEFINANCE(A1455,""PRICE"")"),45.8)</f>
        <v>45.8</v>
      </c>
      <c r="C1455" s="14">
        <f>IFERROR(__xludf.DUMMYFUNCTION("GOOGLEFINANCE(A1455,""PRICEOPEN"")"),46.8)</f>
        <v>46.8</v>
      </c>
      <c r="D1455" s="14">
        <f>IFERROR(__xludf.DUMMYFUNCTION("GOOGLEFINANCE(A1455,""HIGH"")"),47.98)</f>
        <v>47.98</v>
      </c>
      <c r="E1455" s="14">
        <f>IFERROR(__xludf.DUMMYFUNCTION("GOOGLEFINANCE(A1455,""LOW"")"),45.2)</f>
        <v>45.2</v>
      </c>
      <c r="F1455" s="15" t="str">
        <f t="shared" si="8"/>
        <v/>
      </c>
      <c r="G1455" s="16">
        <f>IFERROR(__xludf.DUMMYFUNCTION("GOOGLEFINANCE(A1455,""CLOSEYEST"")"),45.52)</f>
        <v>45.52</v>
      </c>
      <c r="H1455" s="17" t="str">
        <f t="shared" si="14"/>
        <v>GAP UP</v>
      </c>
      <c r="I1455" s="18">
        <f t="shared" si="9"/>
        <v>46.23333333</v>
      </c>
      <c r="J1455" s="19">
        <f t="shared" si="10"/>
        <v>47.26666667</v>
      </c>
      <c r="K1455" s="19"/>
      <c r="L1455" s="19">
        <f t="shared" si="11"/>
        <v>44.48666667</v>
      </c>
      <c r="M1455" s="19">
        <f t="shared" si="12"/>
        <v>49.01333333</v>
      </c>
      <c r="N1455" s="19">
        <f t="shared" si="13"/>
        <v>43.45333333</v>
      </c>
    </row>
    <row r="1456" ht="24.75" customHeight="1">
      <c r="A1456" s="21" t="s">
        <v>1419</v>
      </c>
      <c r="B1456" s="13">
        <f>IFERROR(__xludf.DUMMYFUNCTION("GOOGLEFINANCE(A1456,""PRICE"")"),196.43)</f>
        <v>196.43</v>
      </c>
      <c r="C1456" s="14">
        <f>IFERROR(__xludf.DUMMYFUNCTION("GOOGLEFINANCE(A1456,""PRICEOPEN"")"),204.0)</f>
        <v>204</v>
      </c>
      <c r="D1456" s="14">
        <f>IFERROR(__xludf.DUMMYFUNCTION("GOOGLEFINANCE(A1456,""HIGH"")"),204.43)</f>
        <v>204.43</v>
      </c>
      <c r="E1456" s="14">
        <f>IFERROR(__xludf.DUMMYFUNCTION("GOOGLEFINANCE(A1456,""LOW"")"),195.15)</f>
        <v>195.15</v>
      </c>
      <c r="F1456" s="15" t="str">
        <f t="shared" si="8"/>
        <v/>
      </c>
      <c r="G1456" s="16">
        <f>IFERROR(__xludf.DUMMYFUNCTION("GOOGLEFINANCE(A1456,""CLOSEYEST"")"),202.41)</f>
        <v>202.41</v>
      </c>
      <c r="H1456" s="17" t="str">
        <f t="shared" si="14"/>
        <v/>
      </c>
      <c r="I1456" s="18">
        <f t="shared" si="9"/>
        <v>200.6633333</v>
      </c>
      <c r="J1456" s="19">
        <f t="shared" si="10"/>
        <v>206.1766667</v>
      </c>
      <c r="K1456" s="19"/>
      <c r="L1456" s="19">
        <f t="shared" si="11"/>
        <v>196.8966667</v>
      </c>
      <c r="M1456" s="19">
        <f t="shared" si="12"/>
        <v>209.9433333</v>
      </c>
      <c r="N1456" s="19">
        <f t="shared" si="13"/>
        <v>191.3833333</v>
      </c>
    </row>
    <row r="1457" ht="24.75" customHeight="1">
      <c r="A1457" s="21" t="s">
        <v>1420</v>
      </c>
      <c r="B1457" s="13" t="str">
        <f>IFERROR(__xludf.DUMMYFUNCTION("GOOGLEFINANCE(A1457,""PRICE"")"),"#N/A")</f>
        <v>#N/A</v>
      </c>
      <c r="C1457" s="14" t="str">
        <f>IFERROR(__xludf.DUMMYFUNCTION("GOOGLEFINANCE(A1457,""PRICEOPEN"")"),"#N/A")</f>
        <v>#N/A</v>
      </c>
      <c r="D1457" s="14" t="str">
        <f>IFERROR(__xludf.DUMMYFUNCTION("GOOGLEFINANCE(A1457,""HIGH"")"),"#N/A")</f>
        <v>#N/A</v>
      </c>
      <c r="E1457" s="14" t="str">
        <f>IFERROR(__xludf.DUMMYFUNCTION("GOOGLEFINANCE(A1457,""LOW"")"),"#N/A")</f>
        <v>#N/A</v>
      </c>
      <c r="F1457" s="15" t="str">
        <f t="shared" si="8"/>
        <v>#N/A</v>
      </c>
      <c r="G1457" s="16" t="str">
        <f>IFERROR(__xludf.DUMMYFUNCTION("GOOGLEFINANCE(A1457,""CLOSEYEST"")"),"#N/A")</f>
        <v>#N/A</v>
      </c>
      <c r="H1457" s="17" t="str">
        <f t="shared" si="14"/>
        <v>#N/A</v>
      </c>
      <c r="I1457" s="18" t="str">
        <f t="shared" si="9"/>
        <v>#N/A</v>
      </c>
      <c r="J1457" s="19" t="str">
        <f t="shared" si="10"/>
        <v>#N/A</v>
      </c>
      <c r="K1457" s="19"/>
      <c r="L1457" s="19" t="str">
        <f t="shared" si="11"/>
        <v>#N/A</v>
      </c>
      <c r="M1457" s="19" t="str">
        <f t="shared" si="12"/>
        <v>#N/A</v>
      </c>
      <c r="N1457" s="19" t="str">
        <f t="shared" si="13"/>
        <v>#N/A</v>
      </c>
    </row>
    <row r="1458" ht="24.75" customHeight="1">
      <c r="A1458" s="21" t="s">
        <v>1421</v>
      </c>
      <c r="B1458" s="13">
        <f>IFERROR(__xludf.DUMMYFUNCTION("GOOGLEFINANCE(A1458,""PRICE"")"),30.09)</f>
        <v>30.09</v>
      </c>
      <c r="C1458" s="14">
        <f>IFERROR(__xludf.DUMMYFUNCTION("GOOGLEFINANCE(A1458,""PRICEOPEN"")"),30.05)</f>
        <v>30.05</v>
      </c>
      <c r="D1458" s="14">
        <f>IFERROR(__xludf.DUMMYFUNCTION("GOOGLEFINANCE(A1458,""HIGH"")"),30.69)</f>
        <v>30.69</v>
      </c>
      <c r="E1458" s="14">
        <f>IFERROR(__xludf.DUMMYFUNCTION("GOOGLEFINANCE(A1458,""LOW"")"),29.72)</f>
        <v>29.72</v>
      </c>
      <c r="F1458" s="15" t="str">
        <f t="shared" si="8"/>
        <v/>
      </c>
      <c r="G1458" s="16">
        <f>IFERROR(__xludf.DUMMYFUNCTION("GOOGLEFINANCE(A1458,""CLOSEYEST"")"),30.7)</f>
        <v>30.7</v>
      </c>
      <c r="H1458" s="17" t="str">
        <f t="shared" si="14"/>
        <v>GAP DOWN</v>
      </c>
      <c r="I1458" s="18">
        <f t="shared" si="9"/>
        <v>30.37</v>
      </c>
      <c r="J1458" s="19">
        <f t="shared" si="10"/>
        <v>31.02</v>
      </c>
      <c r="K1458" s="19"/>
      <c r="L1458" s="19">
        <f t="shared" si="11"/>
        <v>30.05</v>
      </c>
      <c r="M1458" s="19">
        <f t="shared" si="12"/>
        <v>31.34</v>
      </c>
      <c r="N1458" s="19">
        <f t="shared" si="13"/>
        <v>29.4</v>
      </c>
    </row>
    <row r="1459" ht="24.75" customHeight="1">
      <c r="A1459" s="21" t="s">
        <v>1422</v>
      </c>
      <c r="B1459" s="13" t="str">
        <f>IFERROR(__xludf.DUMMYFUNCTION("GOOGLEFINANCE(A1459,""PRICE"")"),"#N/A")</f>
        <v>#N/A</v>
      </c>
      <c r="C1459" s="14" t="str">
        <f>IFERROR(__xludf.DUMMYFUNCTION("GOOGLEFINANCE(A1459,""PRICEOPEN"")"),"#N/A")</f>
        <v>#N/A</v>
      </c>
      <c r="D1459" s="14" t="str">
        <f>IFERROR(__xludf.DUMMYFUNCTION("GOOGLEFINANCE(A1459,""HIGH"")"),"#N/A")</f>
        <v>#N/A</v>
      </c>
      <c r="E1459" s="14" t="str">
        <f>IFERROR(__xludf.DUMMYFUNCTION("GOOGLEFINANCE(A1459,""LOW"")"),"#N/A")</f>
        <v>#N/A</v>
      </c>
      <c r="F1459" s="15" t="str">
        <f t="shared" si="8"/>
        <v>#N/A</v>
      </c>
      <c r="G1459" s="16" t="str">
        <f>IFERROR(__xludf.DUMMYFUNCTION("GOOGLEFINANCE(A1459,""CLOSEYEST"")"),"#N/A")</f>
        <v>#N/A</v>
      </c>
      <c r="H1459" s="17" t="str">
        <f t="shared" si="14"/>
        <v>#N/A</v>
      </c>
      <c r="I1459" s="18" t="str">
        <f t="shared" si="9"/>
        <v>#N/A</v>
      </c>
      <c r="J1459" s="19" t="str">
        <f t="shared" si="10"/>
        <v>#N/A</v>
      </c>
      <c r="K1459" s="19"/>
      <c r="L1459" s="19" t="str">
        <f t="shared" si="11"/>
        <v>#N/A</v>
      </c>
      <c r="M1459" s="19" t="str">
        <f t="shared" si="12"/>
        <v>#N/A</v>
      </c>
      <c r="N1459" s="19" t="str">
        <f t="shared" si="13"/>
        <v>#N/A</v>
      </c>
    </row>
    <row r="1460" ht="24.75" customHeight="1">
      <c r="A1460" s="21" t="s">
        <v>1423</v>
      </c>
      <c r="B1460" s="13">
        <f>IFERROR(__xludf.DUMMYFUNCTION("GOOGLEFINANCE(A1460,""PRICE"")"),4.11)</f>
        <v>4.11</v>
      </c>
      <c r="C1460" s="14">
        <f>IFERROR(__xludf.DUMMYFUNCTION("GOOGLEFINANCE(A1460,""PRICEOPEN"")"),4.15)</f>
        <v>4.15</v>
      </c>
      <c r="D1460" s="14">
        <f>IFERROR(__xludf.DUMMYFUNCTION("GOOGLEFINANCE(A1460,""HIGH"")"),4.15)</f>
        <v>4.15</v>
      </c>
      <c r="E1460" s="14">
        <f>IFERROR(__xludf.DUMMYFUNCTION("GOOGLEFINANCE(A1460,""LOW"")"),3.77)</f>
        <v>3.77</v>
      </c>
      <c r="F1460" s="15" t="str">
        <f t="shared" si="8"/>
        <v>SELL</v>
      </c>
      <c r="G1460" s="16">
        <f>IFERROR(__xludf.DUMMYFUNCTION("GOOGLEFINANCE(A1460,""CLOSEYEST"")"),3.97)</f>
        <v>3.97</v>
      </c>
      <c r="H1460" s="17" t="str">
        <f t="shared" si="14"/>
        <v>GAP UP</v>
      </c>
      <c r="I1460" s="18">
        <f t="shared" si="9"/>
        <v>3.963333333</v>
      </c>
      <c r="J1460" s="19">
        <f t="shared" si="10"/>
        <v>4.156666667</v>
      </c>
      <c r="K1460" s="19"/>
      <c r="L1460" s="19">
        <f t="shared" si="11"/>
        <v>3.776666667</v>
      </c>
      <c r="M1460" s="19">
        <f t="shared" si="12"/>
        <v>4.343333333</v>
      </c>
      <c r="N1460" s="19">
        <f t="shared" si="13"/>
        <v>3.583333333</v>
      </c>
    </row>
    <row r="1461" ht="24.75" customHeight="1">
      <c r="A1461" s="21" t="s">
        <v>1424</v>
      </c>
      <c r="B1461" s="13">
        <f>IFERROR(__xludf.DUMMYFUNCTION("GOOGLEFINANCE(A1461,""PRICE"")"),102.94)</f>
        <v>102.94</v>
      </c>
      <c r="C1461" s="14">
        <f>IFERROR(__xludf.DUMMYFUNCTION("GOOGLEFINANCE(A1461,""PRICEOPEN"")"),102.39)</f>
        <v>102.39</v>
      </c>
      <c r="D1461" s="14">
        <f>IFERROR(__xludf.DUMMYFUNCTION("GOOGLEFINANCE(A1461,""HIGH"")"),102.94)</f>
        <v>102.94</v>
      </c>
      <c r="E1461" s="14">
        <f>IFERROR(__xludf.DUMMYFUNCTION("GOOGLEFINANCE(A1461,""LOW"")"),100.65)</f>
        <v>100.65</v>
      </c>
      <c r="F1461" s="15" t="str">
        <f t="shared" si="8"/>
        <v/>
      </c>
      <c r="G1461" s="16">
        <f>IFERROR(__xludf.DUMMYFUNCTION("GOOGLEFINANCE(A1461,""CLOSEYEST"")"),102.39)</f>
        <v>102.39</v>
      </c>
      <c r="H1461" s="17" t="str">
        <f t="shared" si="14"/>
        <v/>
      </c>
      <c r="I1461" s="18">
        <f t="shared" si="9"/>
        <v>101.9933333</v>
      </c>
      <c r="J1461" s="19">
        <f t="shared" si="10"/>
        <v>103.3366667</v>
      </c>
      <c r="K1461" s="19"/>
      <c r="L1461" s="19">
        <f t="shared" si="11"/>
        <v>101.0466667</v>
      </c>
      <c r="M1461" s="19">
        <f t="shared" si="12"/>
        <v>104.2833333</v>
      </c>
      <c r="N1461" s="19">
        <f t="shared" si="13"/>
        <v>99.70333333</v>
      </c>
    </row>
    <row r="1462" ht="24.75" customHeight="1">
      <c r="A1462" s="21" t="s">
        <v>1425</v>
      </c>
      <c r="B1462" s="13">
        <f>IFERROR(__xludf.DUMMYFUNCTION("GOOGLEFINANCE(A1462,""PRICE"")"),820.0)</f>
        <v>820</v>
      </c>
      <c r="C1462" s="14">
        <f>IFERROR(__xludf.DUMMYFUNCTION("GOOGLEFINANCE(A1462,""PRICEOPEN"")"),836.0)</f>
        <v>836</v>
      </c>
      <c r="D1462" s="14">
        <f>IFERROR(__xludf.DUMMYFUNCTION("GOOGLEFINANCE(A1462,""HIGH"")"),844.05)</f>
        <v>844.05</v>
      </c>
      <c r="E1462" s="14">
        <f>IFERROR(__xludf.DUMMYFUNCTION("GOOGLEFINANCE(A1462,""LOW"")"),815.0)</f>
        <v>815</v>
      </c>
      <c r="F1462" s="15" t="str">
        <f t="shared" si="8"/>
        <v/>
      </c>
      <c r="G1462" s="16">
        <f>IFERROR(__xludf.DUMMYFUNCTION("GOOGLEFINANCE(A1462,""CLOSEYEST"")"),835.75)</f>
        <v>835.75</v>
      </c>
      <c r="H1462" s="17" t="str">
        <f t="shared" si="14"/>
        <v/>
      </c>
      <c r="I1462" s="18">
        <f t="shared" si="9"/>
        <v>831.6</v>
      </c>
      <c r="J1462" s="19">
        <f t="shared" si="10"/>
        <v>848.2</v>
      </c>
      <c r="K1462" s="19"/>
      <c r="L1462" s="19">
        <f t="shared" si="11"/>
        <v>819.15</v>
      </c>
      <c r="M1462" s="19">
        <f t="shared" si="12"/>
        <v>860.65</v>
      </c>
      <c r="N1462" s="19">
        <f t="shared" si="13"/>
        <v>802.55</v>
      </c>
    </row>
    <row r="1463" ht="24.75" customHeight="1">
      <c r="A1463" s="21" t="s">
        <v>1426</v>
      </c>
      <c r="B1463" s="13">
        <f>IFERROR(__xludf.DUMMYFUNCTION("GOOGLEFINANCE(A1463,""PRICE"")"),151.05)</f>
        <v>151.05</v>
      </c>
      <c r="C1463" s="14">
        <f>IFERROR(__xludf.DUMMYFUNCTION("GOOGLEFINANCE(A1463,""PRICEOPEN"")"),145.0)</f>
        <v>145</v>
      </c>
      <c r="D1463" s="14">
        <f>IFERROR(__xludf.DUMMYFUNCTION("GOOGLEFINANCE(A1463,""HIGH"")"),151.98)</f>
        <v>151.98</v>
      </c>
      <c r="E1463" s="14">
        <f>IFERROR(__xludf.DUMMYFUNCTION("GOOGLEFINANCE(A1463,""LOW"")"),142.9)</f>
        <v>142.9</v>
      </c>
      <c r="F1463" s="15" t="str">
        <f t="shared" si="8"/>
        <v/>
      </c>
      <c r="G1463" s="16">
        <f>IFERROR(__xludf.DUMMYFUNCTION("GOOGLEFINANCE(A1463,""CLOSEYEST"")"),144.3)</f>
        <v>144.3</v>
      </c>
      <c r="H1463" s="17" t="str">
        <f t="shared" si="14"/>
        <v/>
      </c>
      <c r="I1463" s="18">
        <f t="shared" si="9"/>
        <v>146.3933333</v>
      </c>
      <c r="J1463" s="19">
        <f t="shared" si="10"/>
        <v>149.8866667</v>
      </c>
      <c r="K1463" s="19"/>
      <c r="L1463" s="19">
        <f t="shared" si="11"/>
        <v>140.8066667</v>
      </c>
      <c r="M1463" s="19">
        <f t="shared" si="12"/>
        <v>155.4733333</v>
      </c>
      <c r="N1463" s="19">
        <f t="shared" si="13"/>
        <v>137.3133333</v>
      </c>
    </row>
    <row r="1464" ht="24.75" customHeight="1">
      <c r="A1464" s="21" t="s">
        <v>1427</v>
      </c>
      <c r="B1464" s="13">
        <f>IFERROR(__xludf.DUMMYFUNCTION("GOOGLEFINANCE(A1464,""PRICE"")"),249.9)</f>
        <v>249.9</v>
      </c>
      <c r="C1464" s="14">
        <f>IFERROR(__xludf.DUMMYFUNCTION("GOOGLEFINANCE(A1464,""PRICEOPEN"")"),245.0)</f>
        <v>245</v>
      </c>
      <c r="D1464" s="14">
        <f>IFERROR(__xludf.DUMMYFUNCTION("GOOGLEFINANCE(A1464,""HIGH"")"),249.9)</f>
        <v>249.9</v>
      </c>
      <c r="E1464" s="14">
        <f>IFERROR(__xludf.DUMMYFUNCTION("GOOGLEFINANCE(A1464,""LOW"")"),244.18)</f>
        <v>244.18</v>
      </c>
      <c r="F1464" s="15" t="str">
        <f t="shared" si="8"/>
        <v/>
      </c>
      <c r="G1464" s="16">
        <f>IFERROR(__xludf.DUMMYFUNCTION("GOOGLEFINANCE(A1464,""CLOSEYEST"")"),246.67)</f>
        <v>246.67</v>
      </c>
      <c r="H1464" s="17" t="str">
        <f t="shared" si="14"/>
        <v/>
      </c>
      <c r="I1464" s="18">
        <f t="shared" si="9"/>
        <v>246.9166667</v>
      </c>
      <c r="J1464" s="19">
        <f t="shared" si="10"/>
        <v>249.6533333</v>
      </c>
      <c r="K1464" s="19"/>
      <c r="L1464" s="19">
        <f t="shared" si="11"/>
        <v>243.9333333</v>
      </c>
      <c r="M1464" s="19">
        <f t="shared" si="12"/>
        <v>252.6366667</v>
      </c>
      <c r="N1464" s="19">
        <f t="shared" si="13"/>
        <v>241.1966667</v>
      </c>
    </row>
    <row r="1465" ht="24.75" customHeight="1">
      <c r="A1465" s="21" t="s">
        <v>1428</v>
      </c>
      <c r="B1465" s="13" t="str">
        <f>IFERROR(__xludf.DUMMYFUNCTION("GOOGLEFINANCE(A1465,""PRICE"")"),"#N/A")</f>
        <v>#N/A</v>
      </c>
      <c r="C1465" s="14" t="str">
        <f>IFERROR(__xludf.DUMMYFUNCTION("GOOGLEFINANCE(A1465,""PRICEOPEN"")"),"#N/A")</f>
        <v>#N/A</v>
      </c>
      <c r="D1465" s="14" t="str">
        <f>IFERROR(__xludf.DUMMYFUNCTION("GOOGLEFINANCE(A1465,""HIGH"")"),"#N/A")</f>
        <v>#N/A</v>
      </c>
      <c r="E1465" s="14" t="str">
        <f>IFERROR(__xludf.DUMMYFUNCTION("GOOGLEFINANCE(A1465,""LOW"")"),"#N/A")</f>
        <v>#N/A</v>
      </c>
      <c r="F1465" s="15" t="str">
        <f t="shared" si="8"/>
        <v>#N/A</v>
      </c>
      <c r="G1465" s="16" t="str">
        <f>IFERROR(__xludf.DUMMYFUNCTION("GOOGLEFINANCE(A1465,""CLOSEYEST"")"),"#N/A")</f>
        <v>#N/A</v>
      </c>
      <c r="H1465" s="17" t="str">
        <f t="shared" si="14"/>
        <v>#N/A</v>
      </c>
      <c r="I1465" s="18" t="str">
        <f t="shared" si="9"/>
        <v>#N/A</v>
      </c>
      <c r="J1465" s="19" t="str">
        <f t="shared" si="10"/>
        <v>#N/A</v>
      </c>
      <c r="K1465" s="19"/>
      <c r="L1465" s="19" t="str">
        <f t="shared" si="11"/>
        <v>#N/A</v>
      </c>
      <c r="M1465" s="19" t="str">
        <f t="shared" si="12"/>
        <v>#N/A</v>
      </c>
      <c r="N1465" s="19" t="str">
        <f t="shared" si="13"/>
        <v>#N/A</v>
      </c>
    </row>
    <row r="1466" ht="24.75" customHeight="1">
      <c r="A1466" s="21" t="s">
        <v>1429</v>
      </c>
      <c r="B1466" s="13" t="str">
        <f>IFERROR(__xludf.DUMMYFUNCTION("GOOGLEFINANCE(A1466,""PRICE"")"),"#N/A")</f>
        <v>#N/A</v>
      </c>
      <c r="C1466" s="14" t="str">
        <f>IFERROR(__xludf.DUMMYFUNCTION("GOOGLEFINANCE(A1466,""PRICEOPEN"")"),"#N/A")</f>
        <v>#N/A</v>
      </c>
      <c r="D1466" s="14" t="str">
        <f>IFERROR(__xludf.DUMMYFUNCTION("GOOGLEFINANCE(A1466,""HIGH"")"),"#N/A")</f>
        <v>#N/A</v>
      </c>
      <c r="E1466" s="14" t="str">
        <f>IFERROR(__xludf.DUMMYFUNCTION("GOOGLEFINANCE(A1466,""LOW"")"),"#N/A")</f>
        <v>#N/A</v>
      </c>
      <c r="F1466" s="15" t="str">
        <f t="shared" si="8"/>
        <v>#N/A</v>
      </c>
      <c r="G1466" s="16" t="str">
        <f>IFERROR(__xludf.DUMMYFUNCTION("GOOGLEFINANCE(A1466,""CLOSEYEST"")"),"#N/A")</f>
        <v>#N/A</v>
      </c>
      <c r="H1466" s="17" t="str">
        <f t="shared" si="14"/>
        <v>#N/A</v>
      </c>
      <c r="I1466" s="18" t="str">
        <f t="shared" si="9"/>
        <v>#N/A</v>
      </c>
      <c r="J1466" s="19" t="str">
        <f t="shared" si="10"/>
        <v>#N/A</v>
      </c>
      <c r="K1466" s="19"/>
      <c r="L1466" s="19" t="str">
        <f t="shared" si="11"/>
        <v>#N/A</v>
      </c>
      <c r="M1466" s="19" t="str">
        <f t="shared" si="12"/>
        <v>#N/A</v>
      </c>
      <c r="N1466" s="19" t="str">
        <f t="shared" si="13"/>
        <v>#N/A</v>
      </c>
    </row>
    <row r="1467" ht="24.75" customHeight="1">
      <c r="A1467" s="21" t="s">
        <v>1430</v>
      </c>
      <c r="B1467" s="13">
        <f>IFERROR(__xludf.DUMMYFUNCTION("GOOGLEFINANCE(A1467,""PRICE"")"),577.0)</f>
        <v>577</v>
      </c>
      <c r="C1467" s="14">
        <f>IFERROR(__xludf.DUMMYFUNCTION("GOOGLEFINANCE(A1467,""PRICEOPEN"")"),580.0)</f>
        <v>580</v>
      </c>
      <c r="D1467" s="14">
        <f>IFERROR(__xludf.DUMMYFUNCTION("GOOGLEFINANCE(A1467,""HIGH"")"),580.0)</f>
        <v>580</v>
      </c>
      <c r="E1467" s="14">
        <f>IFERROR(__xludf.DUMMYFUNCTION("GOOGLEFINANCE(A1467,""LOW"")"),572.0)</f>
        <v>572</v>
      </c>
      <c r="F1467" s="15" t="str">
        <f t="shared" si="8"/>
        <v>SELL</v>
      </c>
      <c r="G1467" s="16">
        <f>IFERROR(__xludf.DUMMYFUNCTION("GOOGLEFINANCE(A1467,""CLOSEYEST"")"),572.3)</f>
        <v>572.3</v>
      </c>
      <c r="H1467" s="17" t="str">
        <f t="shared" si="14"/>
        <v>GAP UP</v>
      </c>
      <c r="I1467" s="18">
        <f t="shared" si="9"/>
        <v>574.7666667</v>
      </c>
      <c r="J1467" s="19">
        <f t="shared" si="10"/>
        <v>577.5333333</v>
      </c>
      <c r="K1467" s="19"/>
      <c r="L1467" s="19">
        <f t="shared" si="11"/>
        <v>569.5333333</v>
      </c>
      <c r="M1467" s="19">
        <f t="shared" si="12"/>
        <v>582.7666667</v>
      </c>
      <c r="N1467" s="19">
        <f t="shared" si="13"/>
        <v>566.7666667</v>
      </c>
    </row>
    <row r="1468" ht="24.75" customHeight="1">
      <c r="A1468" s="21" t="s">
        <v>1431</v>
      </c>
      <c r="B1468" s="13">
        <f>IFERROR(__xludf.DUMMYFUNCTION("GOOGLEFINANCE(A1468,""PRICE"")"),1090.4)</f>
        <v>1090.4</v>
      </c>
      <c r="C1468" s="14">
        <f>IFERROR(__xludf.DUMMYFUNCTION("GOOGLEFINANCE(A1468,""PRICEOPEN"")"),1068.0)</f>
        <v>1068</v>
      </c>
      <c r="D1468" s="14">
        <f>IFERROR(__xludf.DUMMYFUNCTION("GOOGLEFINANCE(A1468,""HIGH"")"),1090.4)</f>
        <v>1090.4</v>
      </c>
      <c r="E1468" s="14">
        <f>IFERROR(__xludf.DUMMYFUNCTION("GOOGLEFINANCE(A1468,""LOW"")"),1035.0)</f>
        <v>1035</v>
      </c>
      <c r="F1468" s="15" t="str">
        <f t="shared" si="8"/>
        <v/>
      </c>
      <c r="G1468" s="16">
        <f>IFERROR(__xludf.DUMMYFUNCTION("GOOGLEFINANCE(A1468,""CLOSEYEST"")"),1038.5)</f>
        <v>1038.5</v>
      </c>
      <c r="H1468" s="17" t="str">
        <f t="shared" si="14"/>
        <v>GAP UP</v>
      </c>
      <c r="I1468" s="18">
        <f t="shared" si="9"/>
        <v>1054.633333</v>
      </c>
      <c r="J1468" s="19">
        <f t="shared" si="10"/>
        <v>1074.266667</v>
      </c>
      <c r="K1468" s="19"/>
      <c r="L1468" s="19">
        <f t="shared" si="11"/>
        <v>1018.866667</v>
      </c>
      <c r="M1468" s="19">
        <f t="shared" si="12"/>
        <v>1110.033333</v>
      </c>
      <c r="N1468" s="19">
        <f t="shared" si="13"/>
        <v>999.2333333</v>
      </c>
    </row>
    <row r="1469" ht="24.75" customHeight="1">
      <c r="A1469" s="21" t="s">
        <v>1432</v>
      </c>
      <c r="B1469" s="13">
        <f>IFERROR(__xludf.DUMMYFUNCTION("GOOGLEFINANCE(A1469,""PRICE"")"),155.3)</f>
        <v>155.3</v>
      </c>
      <c r="C1469" s="14">
        <f>IFERROR(__xludf.DUMMYFUNCTION("GOOGLEFINANCE(A1469,""PRICEOPEN"")"),158.63)</f>
        <v>158.63</v>
      </c>
      <c r="D1469" s="14">
        <f>IFERROR(__xludf.DUMMYFUNCTION("GOOGLEFINANCE(A1469,""HIGH"")"),158.63)</f>
        <v>158.63</v>
      </c>
      <c r="E1469" s="14">
        <f>IFERROR(__xludf.DUMMYFUNCTION("GOOGLEFINANCE(A1469,""LOW"")"),152.98)</f>
        <v>152.98</v>
      </c>
      <c r="F1469" s="15" t="str">
        <f t="shared" si="8"/>
        <v>SELL</v>
      </c>
      <c r="G1469" s="16">
        <f>IFERROR(__xludf.DUMMYFUNCTION("GOOGLEFINANCE(A1469,""CLOSEYEST"")"),154.76)</f>
        <v>154.76</v>
      </c>
      <c r="H1469" s="17" t="str">
        <f t="shared" si="14"/>
        <v>GAP UP</v>
      </c>
      <c r="I1469" s="18">
        <f t="shared" si="9"/>
        <v>155.4566667</v>
      </c>
      <c r="J1469" s="19">
        <f t="shared" si="10"/>
        <v>157.9333333</v>
      </c>
      <c r="K1469" s="19"/>
      <c r="L1469" s="19">
        <f t="shared" si="11"/>
        <v>152.2833333</v>
      </c>
      <c r="M1469" s="19">
        <f t="shared" si="12"/>
        <v>161.1066667</v>
      </c>
      <c r="N1469" s="19">
        <f t="shared" si="13"/>
        <v>149.8066667</v>
      </c>
    </row>
    <row r="1470" ht="24.75" customHeight="1">
      <c r="A1470" s="21" t="s">
        <v>1433</v>
      </c>
      <c r="B1470" s="13" t="str">
        <f>IFERROR(__xludf.DUMMYFUNCTION("GOOGLEFINANCE(A1470,""PRICE"")"),"#N/A")</f>
        <v>#N/A</v>
      </c>
      <c r="C1470" s="14" t="str">
        <f>IFERROR(__xludf.DUMMYFUNCTION("GOOGLEFINANCE(A1470,""PRICEOPEN"")"),"#N/A")</f>
        <v>#N/A</v>
      </c>
      <c r="D1470" s="14" t="str">
        <f>IFERROR(__xludf.DUMMYFUNCTION("GOOGLEFINANCE(A1470,""HIGH"")"),"#N/A")</f>
        <v>#N/A</v>
      </c>
      <c r="E1470" s="14" t="str">
        <f>IFERROR(__xludf.DUMMYFUNCTION("GOOGLEFINANCE(A1470,""LOW"")"),"#N/A")</f>
        <v>#N/A</v>
      </c>
      <c r="F1470" s="15" t="str">
        <f t="shared" si="8"/>
        <v>#N/A</v>
      </c>
      <c r="G1470" s="16" t="str">
        <f>IFERROR(__xludf.DUMMYFUNCTION("GOOGLEFINANCE(A1470,""CLOSEYEST"")"),"#N/A")</f>
        <v>#N/A</v>
      </c>
      <c r="H1470" s="17" t="str">
        <f t="shared" si="14"/>
        <v>#N/A</v>
      </c>
      <c r="I1470" s="18" t="str">
        <f t="shared" si="9"/>
        <v>#N/A</v>
      </c>
      <c r="J1470" s="19" t="str">
        <f t="shared" si="10"/>
        <v>#N/A</v>
      </c>
      <c r="K1470" s="19"/>
      <c r="L1470" s="19" t="str">
        <f t="shared" si="11"/>
        <v>#N/A</v>
      </c>
      <c r="M1470" s="19" t="str">
        <f t="shared" si="12"/>
        <v>#N/A</v>
      </c>
      <c r="N1470" s="19" t="str">
        <f t="shared" si="13"/>
        <v>#N/A</v>
      </c>
    </row>
    <row r="1471" ht="24.75" customHeight="1">
      <c r="A1471" s="21" t="s">
        <v>1434</v>
      </c>
      <c r="B1471" s="13">
        <f>IFERROR(__xludf.DUMMYFUNCTION("GOOGLEFINANCE(A1471,""PRICE"")"),0.84)</f>
        <v>0.84</v>
      </c>
      <c r="C1471" s="14" t="str">
        <f>IFERROR(__xludf.DUMMYFUNCTION("GOOGLEFINANCE(A1471,""PRICEOPEN"")"),"#N/A")</f>
        <v>#N/A</v>
      </c>
      <c r="D1471" s="14" t="str">
        <f>IFERROR(__xludf.DUMMYFUNCTION("GOOGLEFINANCE(A1471,""HIGH"")"),"#N/A")</f>
        <v>#N/A</v>
      </c>
      <c r="E1471" s="14" t="str">
        <f>IFERROR(__xludf.DUMMYFUNCTION("GOOGLEFINANCE(A1471,""LOW"")"),"#N/A")</f>
        <v>#N/A</v>
      </c>
      <c r="F1471" s="15" t="str">
        <f t="shared" si="8"/>
        <v>#N/A</v>
      </c>
      <c r="G1471" s="16">
        <f>IFERROR(__xludf.DUMMYFUNCTION("GOOGLEFINANCE(A1471,""CLOSEYEST"")"),0.84)</f>
        <v>0.84</v>
      </c>
      <c r="H1471" s="17" t="str">
        <f t="shared" si="14"/>
        <v>#N/A</v>
      </c>
      <c r="I1471" s="18" t="str">
        <f t="shared" si="9"/>
        <v>#N/A</v>
      </c>
      <c r="J1471" s="19" t="str">
        <f t="shared" si="10"/>
        <v>#N/A</v>
      </c>
      <c r="K1471" s="19"/>
      <c r="L1471" s="19" t="str">
        <f t="shared" si="11"/>
        <v>#N/A</v>
      </c>
      <c r="M1471" s="19" t="str">
        <f t="shared" si="12"/>
        <v>#N/A</v>
      </c>
      <c r="N1471" s="19" t="str">
        <f t="shared" si="13"/>
        <v>#N/A</v>
      </c>
    </row>
    <row r="1472" ht="24.75" customHeight="1">
      <c r="A1472" s="21" t="s">
        <v>1435</v>
      </c>
      <c r="B1472" s="13">
        <f>IFERROR(__xludf.DUMMYFUNCTION("GOOGLEFINANCE(A1472,""PRICE"")"),115.7)</f>
        <v>115.7</v>
      </c>
      <c r="C1472" s="14">
        <f>IFERROR(__xludf.DUMMYFUNCTION("GOOGLEFINANCE(A1472,""PRICEOPEN"")"),115.96)</f>
        <v>115.96</v>
      </c>
      <c r="D1472" s="14">
        <f>IFERROR(__xludf.DUMMYFUNCTION("GOOGLEFINANCE(A1472,""HIGH"")"),117.27)</f>
        <v>117.27</v>
      </c>
      <c r="E1472" s="14">
        <f>IFERROR(__xludf.DUMMYFUNCTION("GOOGLEFINANCE(A1472,""LOW"")"),113.99)</f>
        <v>113.99</v>
      </c>
      <c r="F1472" s="15" t="str">
        <f t="shared" si="8"/>
        <v/>
      </c>
      <c r="G1472" s="16">
        <f>IFERROR(__xludf.DUMMYFUNCTION("GOOGLEFINANCE(A1472,""CLOSEYEST"")"),115.15)</f>
        <v>115.15</v>
      </c>
      <c r="H1472" s="17" t="str">
        <f t="shared" si="14"/>
        <v/>
      </c>
      <c r="I1472" s="18">
        <f t="shared" si="9"/>
        <v>115.47</v>
      </c>
      <c r="J1472" s="19">
        <f t="shared" si="10"/>
        <v>116.95</v>
      </c>
      <c r="K1472" s="19"/>
      <c r="L1472" s="19">
        <f t="shared" si="11"/>
        <v>113.67</v>
      </c>
      <c r="M1472" s="19">
        <f t="shared" si="12"/>
        <v>118.75</v>
      </c>
      <c r="N1472" s="19">
        <f t="shared" si="13"/>
        <v>112.19</v>
      </c>
    </row>
    <row r="1473" ht="24.75" customHeight="1">
      <c r="A1473" s="21" t="s">
        <v>1436</v>
      </c>
      <c r="B1473" s="13">
        <f>IFERROR(__xludf.DUMMYFUNCTION("GOOGLEFINANCE(A1473,""PRICE"")"),259.4)</f>
        <v>259.4</v>
      </c>
      <c r="C1473" s="14">
        <f>IFERROR(__xludf.DUMMYFUNCTION("GOOGLEFINANCE(A1473,""PRICEOPEN"")"),262.0)</f>
        <v>262</v>
      </c>
      <c r="D1473" s="14">
        <f>IFERROR(__xludf.DUMMYFUNCTION("GOOGLEFINANCE(A1473,""HIGH"")"),268.0)</f>
        <v>268</v>
      </c>
      <c r="E1473" s="14">
        <f>IFERROR(__xludf.DUMMYFUNCTION("GOOGLEFINANCE(A1473,""LOW"")"),259.05)</f>
        <v>259.05</v>
      </c>
      <c r="F1473" s="15" t="str">
        <f t="shared" si="8"/>
        <v/>
      </c>
      <c r="G1473" s="16">
        <f>IFERROR(__xludf.DUMMYFUNCTION("GOOGLEFINANCE(A1473,""CLOSEYEST"")"),259.85)</f>
        <v>259.85</v>
      </c>
      <c r="H1473" s="17" t="str">
        <f t="shared" si="14"/>
        <v/>
      </c>
      <c r="I1473" s="18">
        <f t="shared" si="9"/>
        <v>262.3</v>
      </c>
      <c r="J1473" s="19">
        <f t="shared" si="10"/>
        <v>265.55</v>
      </c>
      <c r="K1473" s="19"/>
      <c r="L1473" s="19">
        <f t="shared" si="11"/>
        <v>256.6</v>
      </c>
      <c r="M1473" s="19">
        <f t="shared" si="12"/>
        <v>271.25</v>
      </c>
      <c r="N1473" s="19">
        <f t="shared" si="13"/>
        <v>253.35</v>
      </c>
    </row>
    <row r="1474" ht="24.75" customHeight="1">
      <c r="A1474" s="21" t="s">
        <v>1437</v>
      </c>
      <c r="B1474" s="13">
        <f>IFERROR(__xludf.DUMMYFUNCTION("GOOGLEFINANCE(A1474,""PRICE"")"),30.3)</f>
        <v>30.3</v>
      </c>
      <c r="C1474" s="14">
        <f>IFERROR(__xludf.DUMMYFUNCTION("GOOGLEFINANCE(A1474,""PRICEOPEN"")"),30.85)</f>
        <v>30.85</v>
      </c>
      <c r="D1474" s="14">
        <f>IFERROR(__xludf.DUMMYFUNCTION("GOOGLEFINANCE(A1474,""HIGH"")"),32.0)</f>
        <v>32</v>
      </c>
      <c r="E1474" s="14">
        <f>IFERROR(__xludf.DUMMYFUNCTION("GOOGLEFINANCE(A1474,""LOW"")"),29.97)</f>
        <v>29.97</v>
      </c>
      <c r="F1474" s="15" t="str">
        <f t="shared" si="8"/>
        <v/>
      </c>
      <c r="G1474" s="16">
        <f>IFERROR(__xludf.DUMMYFUNCTION("GOOGLEFINANCE(A1474,""CLOSEYEST"")"),31.55)</f>
        <v>31.55</v>
      </c>
      <c r="H1474" s="17" t="str">
        <f t="shared" si="14"/>
        <v>GAP DOWN</v>
      </c>
      <c r="I1474" s="18">
        <f t="shared" si="9"/>
        <v>31.17333333</v>
      </c>
      <c r="J1474" s="19">
        <f t="shared" si="10"/>
        <v>32.37666667</v>
      </c>
      <c r="K1474" s="19"/>
      <c r="L1474" s="19">
        <f t="shared" si="11"/>
        <v>30.34666667</v>
      </c>
      <c r="M1474" s="19">
        <f t="shared" si="12"/>
        <v>33.20333333</v>
      </c>
      <c r="N1474" s="19">
        <f t="shared" si="13"/>
        <v>29.14333333</v>
      </c>
    </row>
    <row r="1475" ht="24.75" customHeight="1">
      <c r="A1475" s="21" t="s">
        <v>1438</v>
      </c>
      <c r="B1475" s="13" t="str">
        <f>IFERROR(__xludf.DUMMYFUNCTION("GOOGLEFINANCE(A1475,""PRICE"")"),"#N/A")</f>
        <v>#N/A</v>
      </c>
      <c r="C1475" s="14" t="str">
        <f>IFERROR(__xludf.DUMMYFUNCTION("GOOGLEFINANCE(A1475,""PRICEOPEN"")"),"#N/A")</f>
        <v>#N/A</v>
      </c>
      <c r="D1475" s="14" t="str">
        <f>IFERROR(__xludf.DUMMYFUNCTION("GOOGLEFINANCE(A1475,""HIGH"")"),"#N/A")</f>
        <v>#N/A</v>
      </c>
      <c r="E1475" s="14" t="str">
        <f>IFERROR(__xludf.DUMMYFUNCTION("GOOGLEFINANCE(A1475,""LOW"")"),"#N/A")</f>
        <v>#N/A</v>
      </c>
      <c r="F1475" s="15" t="str">
        <f t="shared" si="8"/>
        <v>#N/A</v>
      </c>
      <c r="G1475" s="16" t="str">
        <f>IFERROR(__xludf.DUMMYFUNCTION("GOOGLEFINANCE(A1475,""CLOSEYEST"")"),"#N/A")</f>
        <v>#N/A</v>
      </c>
      <c r="H1475" s="17" t="str">
        <f t="shared" si="14"/>
        <v>#N/A</v>
      </c>
      <c r="I1475" s="18" t="str">
        <f t="shared" si="9"/>
        <v>#N/A</v>
      </c>
      <c r="J1475" s="19" t="str">
        <f t="shared" si="10"/>
        <v>#N/A</v>
      </c>
      <c r="K1475" s="19"/>
      <c r="L1475" s="19" t="str">
        <f t="shared" si="11"/>
        <v>#N/A</v>
      </c>
      <c r="M1475" s="19" t="str">
        <f t="shared" si="12"/>
        <v>#N/A</v>
      </c>
      <c r="N1475" s="19" t="str">
        <f t="shared" si="13"/>
        <v>#N/A</v>
      </c>
    </row>
    <row r="1476" ht="24.75" customHeight="1">
      <c r="A1476" s="21" t="s">
        <v>1439</v>
      </c>
      <c r="B1476" s="13">
        <f>IFERROR(__xludf.DUMMYFUNCTION("GOOGLEFINANCE(A1476,""PRICE"")"),133.2)</f>
        <v>133.2</v>
      </c>
      <c r="C1476" s="14">
        <f>IFERROR(__xludf.DUMMYFUNCTION("GOOGLEFINANCE(A1476,""PRICEOPEN"")"),130.8)</f>
        <v>130.8</v>
      </c>
      <c r="D1476" s="14">
        <f>IFERROR(__xludf.DUMMYFUNCTION("GOOGLEFINANCE(A1476,""HIGH"")"),137.2)</f>
        <v>137.2</v>
      </c>
      <c r="E1476" s="14">
        <f>IFERROR(__xludf.DUMMYFUNCTION("GOOGLEFINANCE(A1476,""LOW"")"),126.0)</f>
        <v>126</v>
      </c>
      <c r="F1476" s="15" t="str">
        <f t="shared" si="8"/>
        <v/>
      </c>
      <c r="G1476" s="16">
        <f>IFERROR(__xludf.DUMMYFUNCTION("GOOGLEFINANCE(A1476,""CLOSEYEST"")"),132.41)</f>
        <v>132.41</v>
      </c>
      <c r="H1476" s="17" t="str">
        <f t="shared" si="14"/>
        <v>GAP DOWN</v>
      </c>
      <c r="I1476" s="18">
        <f t="shared" si="9"/>
        <v>131.87</v>
      </c>
      <c r="J1476" s="19">
        <f t="shared" si="10"/>
        <v>137.74</v>
      </c>
      <c r="K1476" s="19"/>
      <c r="L1476" s="19">
        <f t="shared" si="11"/>
        <v>126.54</v>
      </c>
      <c r="M1476" s="19">
        <f t="shared" si="12"/>
        <v>143.07</v>
      </c>
      <c r="N1476" s="19">
        <f t="shared" si="13"/>
        <v>120.67</v>
      </c>
    </row>
    <row r="1477" ht="24.75" customHeight="1">
      <c r="A1477" s="21" t="s">
        <v>1440</v>
      </c>
      <c r="B1477" s="13">
        <f>IFERROR(__xludf.DUMMYFUNCTION("GOOGLEFINANCE(A1477,""PRICE"")"),1.93)</f>
        <v>1.93</v>
      </c>
      <c r="C1477" s="14">
        <f>IFERROR(__xludf.DUMMYFUNCTION("GOOGLEFINANCE(A1477,""PRICEOPEN"")"),1.93)</f>
        <v>1.93</v>
      </c>
      <c r="D1477" s="14">
        <f>IFERROR(__xludf.DUMMYFUNCTION("GOOGLEFINANCE(A1477,""HIGH"")"),1.97)</f>
        <v>1.97</v>
      </c>
      <c r="E1477" s="14">
        <f>IFERROR(__xludf.DUMMYFUNCTION("GOOGLEFINANCE(A1477,""LOW"")"),1.91)</f>
        <v>1.91</v>
      </c>
      <c r="F1477" s="15" t="str">
        <f t="shared" si="8"/>
        <v/>
      </c>
      <c r="G1477" s="16">
        <f>IFERROR(__xludf.DUMMYFUNCTION("GOOGLEFINANCE(A1477,""CLOSEYEST"")"),1.93)</f>
        <v>1.93</v>
      </c>
      <c r="H1477" s="17" t="str">
        <f t="shared" si="14"/>
        <v/>
      </c>
      <c r="I1477" s="18">
        <f t="shared" si="9"/>
        <v>1.936666667</v>
      </c>
      <c r="J1477" s="19">
        <f t="shared" si="10"/>
        <v>1.963333333</v>
      </c>
      <c r="K1477" s="19"/>
      <c r="L1477" s="19">
        <f t="shared" si="11"/>
        <v>1.903333333</v>
      </c>
      <c r="M1477" s="19">
        <f t="shared" si="12"/>
        <v>1.996666667</v>
      </c>
      <c r="N1477" s="19">
        <f t="shared" si="13"/>
        <v>1.876666667</v>
      </c>
    </row>
    <row r="1478" ht="24.75" customHeight="1">
      <c r="A1478" s="21" t="s">
        <v>1441</v>
      </c>
      <c r="B1478" s="13">
        <f>IFERROR(__xludf.DUMMYFUNCTION("GOOGLEFINANCE(A1478,""PRICE"")"),1125.8)</f>
        <v>1125.8</v>
      </c>
      <c r="C1478" s="14">
        <f>IFERROR(__xludf.DUMMYFUNCTION("GOOGLEFINANCE(A1478,""PRICEOPEN"")"),1085.0)</f>
        <v>1085</v>
      </c>
      <c r="D1478" s="14">
        <f>IFERROR(__xludf.DUMMYFUNCTION("GOOGLEFINANCE(A1478,""HIGH"")"),1125.8)</f>
        <v>1125.8</v>
      </c>
      <c r="E1478" s="14">
        <f>IFERROR(__xludf.DUMMYFUNCTION("GOOGLEFINANCE(A1478,""LOW"")"),1075.2)</f>
        <v>1075.2</v>
      </c>
      <c r="F1478" s="15" t="str">
        <f t="shared" si="8"/>
        <v/>
      </c>
      <c r="G1478" s="16">
        <f>IFERROR(__xludf.DUMMYFUNCTION("GOOGLEFINANCE(A1478,""CLOSEYEST"")"),1072.2)</f>
        <v>1072.2</v>
      </c>
      <c r="H1478" s="17" t="str">
        <f t="shared" si="14"/>
        <v>GAP UP</v>
      </c>
      <c r="I1478" s="18">
        <f t="shared" si="9"/>
        <v>1091.066667</v>
      </c>
      <c r="J1478" s="19">
        <f t="shared" si="10"/>
        <v>1106.933333</v>
      </c>
      <c r="K1478" s="19"/>
      <c r="L1478" s="19">
        <f t="shared" si="11"/>
        <v>1056.333333</v>
      </c>
      <c r="M1478" s="19">
        <f t="shared" si="12"/>
        <v>1141.666667</v>
      </c>
      <c r="N1478" s="19">
        <f t="shared" si="13"/>
        <v>1040.466667</v>
      </c>
    </row>
    <row r="1479" ht="24.75" customHeight="1">
      <c r="A1479" s="21" t="s">
        <v>1442</v>
      </c>
      <c r="B1479" s="13">
        <f>IFERROR(__xludf.DUMMYFUNCTION("GOOGLEFINANCE(A1479,""PRICE"")"),60.69)</f>
        <v>60.69</v>
      </c>
      <c r="C1479" s="14">
        <f>IFERROR(__xludf.DUMMYFUNCTION("GOOGLEFINANCE(A1479,""PRICEOPEN"")"),60.0)</f>
        <v>60</v>
      </c>
      <c r="D1479" s="14">
        <f>IFERROR(__xludf.DUMMYFUNCTION("GOOGLEFINANCE(A1479,""HIGH"")"),61.68)</f>
        <v>61.68</v>
      </c>
      <c r="E1479" s="14">
        <f>IFERROR(__xludf.DUMMYFUNCTION("GOOGLEFINANCE(A1479,""LOW"")"),59.75)</f>
        <v>59.75</v>
      </c>
      <c r="F1479" s="15" t="str">
        <f t="shared" si="8"/>
        <v/>
      </c>
      <c r="G1479" s="16">
        <f>IFERROR(__xludf.DUMMYFUNCTION("GOOGLEFINANCE(A1479,""CLOSEYEST"")"),60.63)</f>
        <v>60.63</v>
      </c>
      <c r="H1479" s="17" t="str">
        <f t="shared" si="14"/>
        <v>GAP DOWN</v>
      </c>
      <c r="I1479" s="18">
        <f t="shared" si="9"/>
        <v>60.68666667</v>
      </c>
      <c r="J1479" s="19">
        <f t="shared" si="10"/>
        <v>61.62333333</v>
      </c>
      <c r="K1479" s="19"/>
      <c r="L1479" s="19">
        <f t="shared" si="11"/>
        <v>59.69333333</v>
      </c>
      <c r="M1479" s="19">
        <f t="shared" si="12"/>
        <v>62.61666667</v>
      </c>
      <c r="N1479" s="19">
        <f t="shared" si="13"/>
        <v>58.75666667</v>
      </c>
    </row>
    <row r="1480" ht="24.75" customHeight="1">
      <c r="A1480" s="21" t="s">
        <v>1443</v>
      </c>
      <c r="B1480" s="13">
        <f>IFERROR(__xludf.DUMMYFUNCTION("GOOGLEFINANCE(A1480,""PRICE"")"),16.8)</f>
        <v>16.8</v>
      </c>
      <c r="C1480" s="14">
        <f>IFERROR(__xludf.DUMMYFUNCTION("GOOGLEFINANCE(A1480,""PRICEOPEN"")"),16.9)</f>
        <v>16.9</v>
      </c>
      <c r="D1480" s="14">
        <f>IFERROR(__xludf.DUMMYFUNCTION("GOOGLEFINANCE(A1480,""HIGH"")"),16.9)</f>
        <v>16.9</v>
      </c>
      <c r="E1480" s="14">
        <f>IFERROR(__xludf.DUMMYFUNCTION("GOOGLEFINANCE(A1480,""LOW"")"),16.11)</f>
        <v>16.11</v>
      </c>
      <c r="F1480" s="15" t="str">
        <f t="shared" si="8"/>
        <v>SELL</v>
      </c>
      <c r="G1480" s="16">
        <f>IFERROR(__xludf.DUMMYFUNCTION("GOOGLEFINANCE(A1480,""CLOSEYEST"")"),16.1)</f>
        <v>16.1</v>
      </c>
      <c r="H1480" s="17" t="str">
        <f t="shared" si="14"/>
        <v>GAP UP</v>
      </c>
      <c r="I1480" s="18">
        <f t="shared" si="9"/>
        <v>16.37</v>
      </c>
      <c r="J1480" s="19">
        <f t="shared" si="10"/>
        <v>16.63</v>
      </c>
      <c r="K1480" s="19"/>
      <c r="L1480" s="19">
        <f t="shared" si="11"/>
        <v>15.84</v>
      </c>
      <c r="M1480" s="19">
        <f t="shared" si="12"/>
        <v>17.16</v>
      </c>
      <c r="N1480" s="19">
        <f t="shared" si="13"/>
        <v>15.58</v>
      </c>
    </row>
    <row r="1481" ht="24.75" customHeight="1">
      <c r="A1481" s="21" t="s">
        <v>1444</v>
      </c>
      <c r="B1481" s="13">
        <f>IFERROR(__xludf.DUMMYFUNCTION("GOOGLEFINANCE(A1481,""PRICE"")"),84.45)</f>
        <v>84.45</v>
      </c>
      <c r="C1481" s="14">
        <f>IFERROR(__xludf.DUMMYFUNCTION("GOOGLEFINANCE(A1481,""PRICEOPEN"")"),84.89)</f>
        <v>84.89</v>
      </c>
      <c r="D1481" s="14">
        <f>IFERROR(__xludf.DUMMYFUNCTION("GOOGLEFINANCE(A1481,""HIGH"")"),84.89)</f>
        <v>84.89</v>
      </c>
      <c r="E1481" s="14">
        <f>IFERROR(__xludf.DUMMYFUNCTION("GOOGLEFINANCE(A1481,""LOW"")"),83.0)</f>
        <v>83</v>
      </c>
      <c r="F1481" s="15" t="str">
        <f t="shared" si="8"/>
        <v>SELL</v>
      </c>
      <c r="G1481" s="16">
        <f>IFERROR(__xludf.DUMMYFUNCTION("GOOGLEFINANCE(A1481,""CLOSEYEST"")"),83.67)</f>
        <v>83.67</v>
      </c>
      <c r="H1481" s="17" t="str">
        <f t="shared" si="14"/>
        <v>GAP UP</v>
      </c>
      <c r="I1481" s="18">
        <f t="shared" si="9"/>
        <v>83.85333333</v>
      </c>
      <c r="J1481" s="19">
        <f t="shared" si="10"/>
        <v>84.70666667</v>
      </c>
      <c r="K1481" s="19"/>
      <c r="L1481" s="19">
        <f t="shared" si="11"/>
        <v>82.81666667</v>
      </c>
      <c r="M1481" s="19">
        <f t="shared" si="12"/>
        <v>85.74333333</v>
      </c>
      <c r="N1481" s="19">
        <f t="shared" si="13"/>
        <v>81.96333333</v>
      </c>
    </row>
    <row r="1482" ht="24.75" customHeight="1">
      <c r="A1482" s="21" t="s">
        <v>1445</v>
      </c>
      <c r="B1482" s="13">
        <f>IFERROR(__xludf.DUMMYFUNCTION("GOOGLEFINANCE(A1482,""PRICE"")"),88.3)</f>
        <v>88.3</v>
      </c>
      <c r="C1482" s="14">
        <f>IFERROR(__xludf.DUMMYFUNCTION("GOOGLEFINANCE(A1482,""PRICEOPEN"")"),88.05)</f>
        <v>88.05</v>
      </c>
      <c r="D1482" s="14">
        <f>IFERROR(__xludf.DUMMYFUNCTION("GOOGLEFINANCE(A1482,""HIGH"")"),90.67)</f>
        <v>90.67</v>
      </c>
      <c r="E1482" s="14">
        <f>IFERROR(__xludf.DUMMYFUNCTION("GOOGLEFINANCE(A1482,""LOW"")"),87.44)</f>
        <v>87.44</v>
      </c>
      <c r="F1482" s="15" t="str">
        <f t="shared" si="8"/>
        <v/>
      </c>
      <c r="G1482" s="16">
        <f>IFERROR(__xludf.DUMMYFUNCTION("GOOGLEFINANCE(A1482,""CLOSEYEST"")"),88.84)</f>
        <v>88.84</v>
      </c>
      <c r="H1482" s="17" t="str">
        <f t="shared" si="14"/>
        <v/>
      </c>
      <c r="I1482" s="18">
        <f t="shared" si="9"/>
        <v>88.98333333</v>
      </c>
      <c r="J1482" s="19">
        <f t="shared" si="10"/>
        <v>90.52666667</v>
      </c>
      <c r="K1482" s="19"/>
      <c r="L1482" s="19">
        <f t="shared" si="11"/>
        <v>87.29666667</v>
      </c>
      <c r="M1482" s="19">
        <f t="shared" si="12"/>
        <v>92.21333333</v>
      </c>
      <c r="N1482" s="19">
        <f t="shared" si="13"/>
        <v>85.75333333</v>
      </c>
    </row>
    <row r="1483" ht="24.75" customHeight="1">
      <c r="A1483" s="21" t="s">
        <v>1446</v>
      </c>
      <c r="B1483" s="13">
        <f>IFERROR(__xludf.DUMMYFUNCTION("GOOGLEFINANCE(A1483,""PRICE"")"),377.9)</f>
        <v>377.9</v>
      </c>
      <c r="C1483" s="14">
        <f>IFERROR(__xludf.DUMMYFUNCTION("GOOGLEFINANCE(A1483,""PRICEOPEN"")"),349.9)</f>
        <v>349.9</v>
      </c>
      <c r="D1483" s="14">
        <f>IFERROR(__xludf.DUMMYFUNCTION("GOOGLEFINANCE(A1483,""HIGH"")"),404.9)</f>
        <v>404.9</v>
      </c>
      <c r="E1483" s="14">
        <f>IFERROR(__xludf.DUMMYFUNCTION("GOOGLEFINANCE(A1483,""LOW"")"),349.9)</f>
        <v>349.9</v>
      </c>
      <c r="F1483" s="15" t="str">
        <f t="shared" si="8"/>
        <v>BUY</v>
      </c>
      <c r="G1483" s="16">
        <f>IFERROR(__xludf.DUMMYFUNCTION("GOOGLEFINANCE(A1483,""CLOSEYEST"")"),347.45)</f>
        <v>347.45</v>
      </c>
      <c r="H1483" s="17" t="str">
        <f t="shared" si="14"/>
        <v/>
      </c>
      <c r="I1483" s="18">
        <f t="shared" si="9"/>
        <v>367.4166667</v>
      </c>
      <c r="J1483" s="19">
        <f t="shared" si="10"/>
        <v>384.9333333</v>
      </c>
      <c r="K1483" s="19"/>
      <c r="L1483" s="19">
        <f t="shared" si="11"/>
        <v>329.9333333</v>
      </c>
      <c r="M1483" s="19">
        <f t="shared" si="12"/>
        <v>422.4166667</v>
      </c>
      <c r="N1483" s="19">
        <f t="shared" si="13"/>
        <v>312.4166667</v>
      </c>
    </row>
    <row r="1484" ht="24.75" customHeight="1">
      <c r="A1484" s="21" t="s">
        <v>1447</v>
      </c>
      <c r="B1484" s="13">
        <f>IFERROR(__xludf.DUMMYFUNCTION("GOOGLEFINANCE(A1484,""PRICE"")"),5.34)</f>
        <v>5.34</v>
      </c>
      <c r="C1484" s="14">
        <f>IFERROR(__xludf.DUMMYFUNCTION("GOOGLEFINANCE(A1484,""PRICEOPEN"")"),5.18)</f>
        <v>5.18</v>
      </c>
      <c r="D1484" s="14">
        <f>IFERROR(__xludf.DUMMYFUNCTION("GOOGLEFINANCE(A1484,""HIGH"")"),5.4)</f>
        <v>5.4</v>
      </c>
      <c r="E1484" s="14">
        <f>IFERROR(__xludf.DUMMYFUNCTION("GOOGLEFINANCE(A1484,""LOW"")"),5.18)</f>
        <v>5.18</v>
      </c>
      <c r="F1484" s="15" t="str">
        <f t="shared" si="8"/>
        <v>BUY</v>
      </c>
      <c r="G1484" s="16">
        <f>IFERROR(__xludf.DUMMYFUNCTION("GOOGLEFINANCE(A1484,""CLOSEYEST"")"),5.26)</f>
        <v>5.26</v>
      </c>
      <c r="H1484" s="17" t="str">
        <f t="shared" si="14"/>
        <v>GAP DOWN</v>
      </c>
      <c r="I1484" s="18">
        <f t="shared" si="9"/>
        <v>5.28</v>
      </c>
      <c r="J1484" s="19">
        <f t="shared" si="10"/>
        <v>5.38</v>
      </c>
      <c r="K1484" s="19"/>
      <c r="L1484" s="19">
        <f t="shared" si="11"/>
        <v>5.16</v>
      </c>
      <c r="M1484" s="19">
        <f t="shared" si="12"/>
        <v>5.5</v>
      </c>
      <c r="N1484" s="19">
        <f t="shared" si="13"/>
        <v>5.06</v>
      </c>
    </row>
    <row r="1485" ht="24.75" customHeight="1">
      <c r="A1485" s="21" t="s">
        <v>1448</v>
      </c>
      <c r="B1485" s="13">
        <f>IFERROR(__xludf.DUMMYFUNCTION("GOOGLEFINANCE(A1485,""PRICE"")"),25.66)</f>
        <v>25.66</v>
      </c>
      <c r="C1485" s="14">
        <f>IFERROR(__xludf.DUMMYFUNCTION("GOOGLEFINANCE(A1485,""PRICEOPEN"")"),25.39)</f>
        <v>25.39</v>
      </c>
      <c r="D1485" s="14">
        <f>IFERROR(__xludf.DUMMYFUNCTION("GOOGLEFINANCE(A1485,""HIGH"")"),28.38)</f>
        <v>28.38</v>
      </c>
      <c r="E1485" s="14">
        <f>IFERROR(__xludf.DUMMYFUNCTION("GOOGLEFINANCE(A1485,""LOW"")"),25.39)</f>
        <v>25.39</v>
      </c>
      <c r="F1485" s="15" t="str">
        <f t="shared" si="8"/>
        <v>BUY</v>
      </c>
      <c r="G1485" s="16">
        <f>IFERROR(__xludf.DUMMYFUNCTION("GOOGLEFINANCE(A1485,""CLOSEYEST"")"),25.38)</f>
        <v>25.38</v>
      </c>
      <c r="H1485" s="17" t="str">
        <f t="shared" si="14"/>
        <v/>
      </c>
      <c r="I1485" s="18">
        <f t="shared" si="9"/>
        <v>26.38333333</v>
      </c>
      <c r="J1485" s="19">
        <f t="shared" si="10"/>
        <v>27.37666667</v>
      </c>
      <c r="K1485" s="19"/>
      <c r="L1485" s="19">
        <f t="shared" si="11"/>
        <v>24.38666667</v>
      </c>
      <c r="M1485" s="19">
        <f t="shared" si="12"/>
        <v>29.37333333</v>
      </c>
      <c r="N1485" s="19">
        <f t="shared" si="13"/>
        <v>23.39333333</v>
      </c>
    </row>
    <row r="1486" ht="24.75" customHeight="1">
      <c r="A1486" s="21" t="s">
        <v>1449</v>
      </c>
      <c r="B1486" s="13">
        <f>IFERROR(__xludf.DUMMYFUNCTION("GOOGLEFINANCE(A1486,""PRICE"")"),18.95)</f>
        <v>18.95</v>
      </c>
      <c r="C1486" s="14">
        <f>IFERROR(__xludf.DUMMYFUNCTION("GOOGLEFINANCE(A1486,""PRICEOPEN"")"),18.95)</f>
        <v>18.95</v>
      </c>
      <c r="D1486" s="14">
        <f>IFERROR(__xludf.DUMMYFUNCTION("GOOGLEFINANCE(A1486,""HIGH"")"),19.4)</f>
        <v>19.4</v>
      </c>
      <c r="E1486" s="14">
        <f>IFERROR(__xludf.DUMMYFUNCTION("GOOGLEFINANCE(A1486,""LOW"")"),18.9)</f>
        <v>18.9</v>
      </c>
      <c r="F1486" s="15" t="str">
        <f t="shared" si="8"/>
        <v/>
      </c>
      <c r="G1486" s="16">
        <f>IFERROR(__xludf.DUMMYFUNCTION("GOOGLEFINANCE(A1486,""CLOSEYEST"")"),19.23)</f>
        <v>19.23</v>
      </c>
      <c r="H1486" s="17" t="str">
        <f t="shared" si="14"/>
        <v>GAP DOWN</v>
      </c>
      <c r="I1486" s="18">
        <f t="shared" si="9"/>
        <v>19.17666667</v>
      </c>
      <c r="J1486" s="19">
        <f t="shared" si="10"/>
        <v>19.45333333</v>
      </c>
      <c r="K1486" s="19"/>
      <c r="L1486" s="19">
        <f t="shared" si="11"/>
        <v>18.95333333</v>
      </c>
      <c r="M1486" s="19">
        <f t="shared" si="12"/>
        <v>19.67666667</v>
      </c>
      <c r="N1486" s="19">
        <f t="shared" si="13"/>
        <v>18.67666667</v>
      </c>
    </row>
    <row r="1487" ht="24.75" customHeight="1">
      <c r="A1487" s="21" t="s">
        <v>1450</v>
      </c>
      <c r="B1487" s="13">
        <f>IFERROR(__xludf.DUMMYFUNCTION("GOOGLEFINANCE(A1487,""PRICE"")"),17.13)</f>
        <v>17.13</v>
      </c>
      <c r="C1487" s="14">
        <f>IFERROR(__xludf.DUMMYFUNCTION("GOOGLEFINANCE(A1487,""PRICEOPEN"")"),17.39)</f>
        <v>17.39</v>
      </c>
      <c r="D1487" s="14">
        <f>IFERROR(__xludf.DUMMYFUNCTION("GOOGLEFINANCE(A1487,""HIGH"")"),17.4)</f>
        <v>17.4</v>
      </c>
      <c r="E1487" s="14">
        <f>IFERROR(__xludf.DUMMYFUNCTION("GOOGLEFINANCE(A1487,""LOW"")"),16.95)</f>
        <v>16.95</v>
      </c>
      <c r="F1487" s="15" t="str">
        <f t="shared" si="8"/>
        <v/>
      </c>
      <c r="G1487" s="16">
        <f>IFERROR(__xludf.DUMMYFUNCTION("GOOGLEFINANCE(A1487,""CLOSEYEST"")"),17.13)</f>
        <v>17.13</v>
      </c>
      <c r="H1487" s="17" t="str">
        <f t="shared" si="14"/>
        <v>GAP UP</v>
      </c>
      <c r="I1487" s="18">
        <f t="shared" si="9"/>
        <v>17.16</v>
      </c>
      <c r="J1487" s="19">
        <f t="shared" si="10"/>
        <v>17.37</v>
      </c>
      <c r="K1487" s="19"/>
      <c r="L1487" s="19">
        <f t="shared" si="11"/>
        <v>16.92</v>
      </c>
      <c r="M1487" s="19">
        <f t="shared" si="12"/>
        <v>17.61</v>
      </c>
      <c r="N1487" s="19">
        <f t="shared" si="13"/>
        <v>16.71</v>
      </c>
    </row>
    <row r="1488" ht="24.75" customHeight="1">
      <c r="A1488" s="21" t="s">
        <v>1451</v>
      </c>
      <c r="B1488" s="13">
        <f>IFERROR(__xludf.DUMMYFUNCTION("GOOGLEFINANCE(A1488,""PRICE"")"),16.45)</f>
        <v>16.45</v>
      </c>
      <c r="C1488" s="14">
        <f>IFERROR(__xludf.DUMMYFUNCTION("GOOGLEFINANCE(A1488,""PRICEOPEN"")"),16.95)</f>
        <v>16.95</v>
      </c>
      <c r="D1488" s="14">
        <f>IFERROR(__xludf.DUMMYFUNCTION("GOOGLEFINANCE(A1488,""HIGH"")"),16.97)</f>
        <v>16.97</v>
      </c>
      <c r="E1488" s="14">
        <f>IFERROR(__xludf.DUMMYFUNCTION("GOOGLEFINANCE(A1488,""LOW"")"),16.39)</f>
        <v>16.39</v>
      </c>
      <c r="F1488" s="15" t="str">
        <f t="shared" si="8"/>
        <v/>
      </c>
      <c r="G1488" s="16">
        <f>IFERROR(__xludf.DUMMYFUNCTION("GOOGLEFINANCE(A1488,""CLOSEYEST"")"),16.97)</f>
        <v>16.97</v>
      </c>
      <c r="H1488" s="17" t="str">
        <f t="shared" si="14"/>
        <v/>
      </c>
      <c r="I1488" s="18">
        <f t="shared" si="9"/>
        <v>16.77666667</v>
      </c>
      <c r="J1488" s="19">
        <f t="shared" si="10"/>
        <v>17.16333333</v>
      </c>
      <c r="K1488" s="19"/>
      <c r="L1488" s="19">
        <f t="shared" si="11"/>
        <v>16.58333333</v>
      </c>
      <c r="M1488" s="19">
        <f t="shared" si="12"/>
        <v>17.35666667</v>
      </c>
      <c r="N1488" s="19">
        <f t="shared" si="13"/>
        <v>16.19666667</v>
      </c>
    </row>
    <row r="1489" ht="24.75" customHeight="1">
      <c r="A1489" s="21" t="s">
        <v>1452</v>
      </c>
      <c r="B1489" s="13" t="str">
        <f>IFERROR(__xludf.DUMMYFUNCTION("GOOGLEFINANCE(A1489,""PRICE"")"),"#N/A")</f>
        <v>#N/A</v>
      </c>
      <c r="C1489" s="14" t="str">
        <f>IFERROR(__xludf.DUMMYFUNCTION("GOOGLEFINANCE(A1489,""PRICEOPEN"")"),"#N/A")</f>
        <v>#N/A</v>
      </c>
      <c r="D1489" s="14" t="str">
        <f>IFERROR(__xludf.DUMMYFUNCTION("GOOGLEFINANCE(A1489,""HIGH"")"),"#N/A")</f>
        <v>#N/A</v>
      </c>
      <c r="E1489" s="14" t="str">
        <f>IFERROR(__xludf.DUMMYFUNCTION("GOOGLEFINANCE(A1489,""LOW"")"),"#N/A")</f>
        <v>#N/A</v>
      </c>
      <c r="F1489" s="15" t="str">
        <f t="shared" si="8"/>
        <v>#N/A</v>
      </c>
      <c r="G1489" s="16" t="str">
        <f>IFERROR(__xludf.DUMMYFUNCTION("GOOGLEFINANCE(A1489,""CLOSEYEST"")"),"#N/A")</f>
        <v>#N/A</v>
      </c>
      <c r="H1489" s="17" t="str">
        <f t="shared" si="14"/>
        <v>#N/A</v>
      </c>
      <c r="I1489" s="18" t="str">
        <f t="shared" si="9"/>
        <v>#N/A</v>
      </c>
      <c r="J1489" s="19" t="str">
        <f t="shared" si="10"/>
        <v>#N/A</v>
      </c>
      <c r="K1489" s="19"/>
      <c r="L1489" s="19" t="str">
        <f t="shared" si="11"/>
        <v>#N/A</v>
      </c>
      <c r="M1489" s="19" t="str">
        <f t="shared" si="12"/>
        <v>#N/A</v>
      </c>
      <c r="N1489" s="19" t="str">
        <f t="shared" si="13"/>
        <v>#N/A</v>
      </c>
    </row>
    <row r="1490" ht="24.75" customHeight="1">
      <c r="A1490" s="21" t="s">
        <v>1453</v>
      </c>
      <c r="B1490" s="13">
        <f>IFERROR(__xludf.DUMMYFUNCTION("GOOGLEFINANCE(A1490,""PRICE"")"),47.2)</f>
        <v>47.2</v>
      </c>
      <c r="C1490" s="14">
        <f>IFERROR(__xludf.DUMMYFUNCTION("GOOGLEFINANCE(A1490,""PRICEOPEN"")"),45.08)</f>
        <v>45.08</v>
      </c>
      <c r="D1490" s="14">
        <f>IFERROR(__xludf.DUMMYFUNCTION("GOOGLEFINANCE(A1490,""HIGH"")"),48.36)</f>
        <v>48.36</v>
      </c>
      <c r="E1490" s="14">
        <f>IFERROR(__xludf.DUMMYFUNCTION("GOOGLEFINANCE(A1490,""LOW"")"),44.3)</f>
        <v>44.3</v>
      </c>
      <c r="F1490" s="15" t="str">
        <f t="shared" si="8"/>
        <v/>
      </c>
      <c r="G1490" s="16">
        <f>IFERROR(__xludf.DUMMYFUNCTION("GOOGLEFINANCE(A1490,""CLOSEYEST"")"),45.08)</f>
        <v>45.08</v>
      </c>
      <c r="H1490" s="17" t="str">
        <f t="shared" si="14"/>
        <v/>
      </c>
      <c r="I1490" s="18">
        <f t="shared" si="9"/>
        <v>45.91333333</v>
      </c>
      <c r="J1490" s="19">
        <f t="shared" si="10"/>
        <v>47.52666667</v>
      </c>
      <c r="K1490" s="19"/>
      <c r="L1490" s="19">
        <f t="shared" si="11"/>
        <v>43.46666667</v>
      </c>
      <c r="M1490" s="19">
        <f t="shared" si="12"/>
        <v>49.97333333</v>
      </c>
      <c r="N1490" s="19">
        <f t="shared" si="13"/>
        <v>41.85333333</v>
      </c>
    </row>
    <row r="1491" ht="24.75" customHeight="1">
      <c r="A1491" s="21" t="s">
        <v>1454</v>
      </c>
      <c r="B1491" s="13">
        <f>IFERROR(__xludf.DUMMYFUNCTION("GOOGLEFINANCE(A1491,""PRICE"")"),229.0)</f>
        <v>229</v>
      </c>
      <c r="C1491" s="14">
        <f>IFERROR(__xludf.DUMMYFUNCTION("GOOGLEFINANCE(A1491,""PRICEOPEN"")"),223.92)</f>
        <v>223.92</v>
      </c>
      <c r="D1491" s="14">
        <f>IFERROR(__xludf.DUMMYFUNCTION("GOOGLEFINANCE(A1491,""HIGH"")"),229.8)</f>
        <v>229.8</v>
      </c>
      <c r="E1491" s="14">
        <f>IFERROR(__xludf.DUMMYFUNCTION("GOOGLEFINANCE(A1491,""LOW"")"),221.0)</f>
        <v>221</v>
      </c>
      <c r="F1491" s="15" t="str">
        <f t="shared" si="8"/>
        <v/>
      </c>
      <c r="G1491" s="16">
        <f>IFERROR(__xludf.DUMMYFUNCTION("GOOGLEFINANCE(A1491,""CLOSEYEST"")"),222.52)</f>
        <v>222.52</v>
      </c>
      <c r="H1491" s="17" t="str">
        <f t="shared" si="14"/>
        <v/>
      </c>
      <c r="I1491" s="18">
        <f t="shared" si="9"/>
        <v>224.44</v>
      </c>
      <c r="J1491" s="19">
        <f t="shared" si="10"/>
        <v>227.88</v>
      </c>
      <c r="K1491" s="19"/>
      <c r="L1491" s="19">
        <f t="shared" si="11"/>
        <v>219.08</v>
      </c>
      <c r="M1491" s="19">
        <f t="shared" si="12"/>
        <v>233.24</v>
      </c>
      <c r="N1491" s="19">
        <f t="shared" si="13"/>
        <v>215.64</v>
      </c>
    </row>
    <row r="1492" ht="24.75" customHeight="1">
      <c r="A1492" s="21" t="s">
        <v>1455</v>
      </c>
      <c r="B1492" s="13" t="str">
        <f>IFERROR(__xludf.DUMMYFUNCTION("GOOGLEFINANCE(A1492,""PRICE"")"),"#N/A")</f>
        <v>#N/A</v>
      </c>
      <c r="C1492" s="14" t="str">
        <f>IFERROR(__xludf.DUMMYFUNCTION("GOOGLEFINANCE(A1492,""PRICEOPEN"")"),"#N/A")</f>
        <v>#N/A</v>
      </c>
      <c r="D1492" s="14" t="str">
        <f>IFERROR(__xludf.DUMMYFUNCTION("GOOGLEFINANCE(A1492,""HIGH"")"),"#N/A")</f>
        <v>#N/A</v>
      </c>
      <c r="E1492" s="14" t="str">
        <f>IFERROR(__xludf.DUMMYFUNCTION("GOOGLEFINANCE(A1492,""LOW"")"),"#N/A")</f>
        <v>#N/A</v>
      </c>
      <c r="F1492" s="15" t="str">
        <f t="shared" si="8"/>
        <v>#N/A</v>
      </c>
      <c r="G1492" s="16" t="str">
        <f>IFERROR(__xludf.DUMMYFUNCTION("GOOGLEFINANCE(A1492,""CLOSEYEST"")"),"#N/A")</f>
        <v>#N/A</v>
      </c>
      <c r="H1492" s="17" t="str">
        <f t="shared" si="14"/>
        <v>#N/A</v>
      </c>
      <c r="I1492" s="18" t="str">
        <f t="shared" si="9"/>
        <v>#N/A</v>
      </c>
      <c r="J1492" s="19" t="str">
        <f t="shared" si="10"/>
        <v>#N/A</v>
      </c>
      <c r="K1492" s="19"/>
      <c r="L1492" s="19" t="str">
        <f t="shared" si="11"/>
        <v>#N/A</v>
      </c>
      <c r="M1492" s="19" t="str">
        <f t="shared" si="12"/>
        <v>#N/A</v>
      </c>
      <c r="N1492" s="19" t="str">
        <f t="shared" si="13"/>
        <v>#N/A</v>
      </c>
    </row>
    <row r="1493" ht="24.75" customHeight="1">
      <c r="A1493" s="21" t="s">
        <v>1456</v>
      </c>
      <c r="B1493" s="13">
        <f>IFERROR(__xludf.DUMMYFUNCTION("GOOGLEFINANCE(A1493,""PRICE"")"),25.8)</f>
        <v>25.8</v>
      </c>
      <c r="C1493" s="14">
        <f>IFERROR(__xludf.DUMMYFUNCTION("GOOGLEFINANCE(A1493,""PRICEOPEN"")"),24.93)</f>
        <v>24.93</v>
      </c>
      <c r="D1493" s="14">
        <f>IFERROR(__xludf.DUMMYFUNCTION("GOOGLEFINANCE(A1493,""HIGH"")"),26.0)</f>
        <v>26</v>
      </c>
      <c r="E1493" s="14">
        <f>IFERROR(__xludf.DUMMYFUNCTION("GOOGLEFINANCE(A1493,""LOW"")"),24.93)</f>
        <v>24.93</v>
      </c>
      <c r="F1493" s="15" t="str">
        <f t="shared" si="8"/>
        <v>BUY</v>
      </c>
      <c r="G1493" s="16">
        <f>IFERROR(__xludf.DUMMYFUNCTION("GOOGLEFINANCE(A1493,""CLOSEYEST"")"),24.94)</f>
        <v>24.94</v>
      </c>
      <c r="H1493" s="17" t="str">
        <f t="shared" si="14"/>
        <v/>
      </c>
      <c r="I1493" s="18">
        <f t="shared" si="9"/>
        <v>25.29</v>
      </c>
      <c r="J1493" s="19">
        <f t="shared" si="10"/>
        <v>25.65</v>
      </c>
      <c r="K1493" s="19"/>
      <c r="L1493" s="19">
        <f t="shared" si="11"/>
        <v>24.58</v>
      </c>
      <c r="M1493" s="19">
        <f t="shared" si="12"/>
        <v>26.36</v>
      </c>
      <c r="N1493" s="19">
        <f t="shared" si="13"/>
        <v>24.22</v>
      </c>
    </row>
    <row r="1494" ht="24.75" customHeight="1">
      <c r="A1494" s="21" t="s">
        <v>1457</v>
      </c>
      <c r="B1494" s="13">
        <f>IFERROR(__xludf.DUMMYFUNCTION("GOOGLEFINANCE(A1494,""PRICE"")"),91.0)</f>
        <v>91</v>
      </c>
      <c r="C1494" s="14">
        <f>IFERROR(__xludf.DUMMYFUNCTION("GOOGLEFINANCE(A1494,""PRICEOPEN"")"),90.15)</f>
        <v>90.15</v>
      </c>
      <c r="D1494" s="14">
        <f>IFERROR(__xludf.DUMMYFUNCTION("GOOGLEFINANCE(A1494,""HIGH"")"),92.0)</f>
        <v>92</v>
      </c>
      <c r="E1494" s="14">
        <f>IFERROR(__xludf.DUMMYFUNCTION("GOOGLEFINANCE(A1494,""LOW"")"),89.0)</f>
        <v>89</v>
      </c>
      <c r="F1494" s="15" t="str">
        <f t="shared" si="8"/>
        <v/>
      </c>
      <c r="G1494" s="16">
        <f>IFERROR(__xludf.DUMMYFUNCTION("GOOGLEFINANCE(A1494,""CLOSEYEST"")"),91.96)</f>
        <v>91.96</v>
      </c>
      <c r="H1494" s="17" t="str">
        <f t="shared" si="14"/>
        <v>GAP DOWN</v>
      </c>
      <c r="I1494" s="18">
        <f t="shared" si="9"/>
        <v>90.98666667</v>
      </c>
      <c r="J1494" s="19">
        <f t="shared" si="10"/>
        <v>92.97333333</v>
      </c>
      <c r="K1494" s="19"/>
      <c r="L1494" s="19">
        <f t="shared" si="11"/>
        <v>89.97333333</v>
      </c>
      <c r="M1494" s="19">
        <f t="shared" si="12"/>
        <v>93.98666667</v>
      </c>
      <c r="N1494" s="19">
        <f t="shared" si="13"/>
        <v>87.98666667</v>
      </c>
    </row>
    <row r="1495" ht="24.75" customHeight="1">
      <c r="A1495" s="21" t="s">
        <v>1458</v>
      </c>
      <c r="B1495" s="13">
        <f>IFERROR(__xludf.DUMMYFUNCTION("GOOGLEFINANCE(A1495,""PRICE"")"),95.9)</f>
        <v>95.9</v>
      </c>
      <c r="C1495" s="14">
        <f>IFERROR(__xludf.DUMMYFUNCTION("GOOGLEFINANCE(A1495,""PRICEOPEN"")"),94.95)</f>
        <v>94.95</v>
      </c>
      <c r="D1495" s="14">
        <f>IFERROR(__xludf.DUMMYFUNCTION("GOOGLEFINANCE(A1495,""HIGH"")"),96.0)</f>
        <v>96</v>
      </c>
      <c r="E1495" s="14">
        <f>IFERROR(__xludf.DUMMYFUNCTION("GOOGLEFINANCE(A1495,""LOW"")"),92.55)</f>
        <v>92.55</v>
      </c>
      <c r="F1495" s="15" t="str">
        <f t="shared" si="8"/>
        <v/>
      </c>
      <c r="G1495" s="16">
        <f>IFERROR(__xludf.DUMMYFUNCTION("GOOGLEFINANCE(A1495,""CLOSEYEST"")"),94.62)</f>
        <v>94.62</v>
      </c>
      <c r="H1495" s="17" t="str">
        <f t="shared" si="14"/>
        <v/>
      </c>
      <c r="I1495" s="18">
        <f t="shared" si="9"/>
        <v>94.39</v>
      </c>
      <c r="J1495" s="19">
        <f t="shared" si="10"/>
        <v>96.23</v>
      </c>
      <c r="K1495" s="19"/>
      <c r="L1495" s="19">
        <f t="shared" si="11"/>
        <v>92.78</v>
      </c>
      <c r="M1495" s="19">
        <f t="shared" si="12"/>
        <v>97.84</v>
      </c>
      <c r="N1495" s="19">
        <f t="shared" si="13"/>
        <v>90.94</v>
      </c>
    </row>
    <row r="1496" ht="24.75" customHeight="1">
      <c r="A1496" s="21" t="s">
        <v>1459</v>
      </c>
      <c r="B1496" s="13">
        <f>IFERROR(__xludf.DUMMYFUNCTION("GOOGLEFINANCE(A1496,""PRICE"")"),110.92)</f>
        <v>110.92</v>
      </c>
      <c r="C1496" s="14">
        <f>IFERROR(__xludf.DUMMYFUNCTION("GOOGLEFINANCE(A1496,""PRICEOPEN"")"),106.0)</f>
        <v>106</v>
      </c>
      <c r="D1496" s="14">
        <f>IFERROR(__xludf.DUMMYFUNCTION("GOOGLEFINANCE(A1496,""HIGH"")"),110.92)</f>
        <v>110.92</v>
      </c>
      <c r="E1496" s="14">
        <f>IFERROR(__xludf.DUMMYFUNCTION("GOOGLEFINANCE(A1496,""LOW"")"),106.0)</f>
        <v>106</v>
      </c>
      <c r="F1496" s="15" t="str">
        <f t="shared" si="8"/>
        <v>BUY</v>
      </c>
      <c r="G1496" s="16">
        <f>IFERROR(__xludf.DUMMYFUNCTION("GOOGLEFINANCE(A1496,""CLOSEYEST"")"),105.64)</f>
        <v>105.64</v>
      </c>
      <c r="H1496" s="17" t="str">
        <f t="shared" si="14"/>
        <v/>
      </c>
      <c r="I1496" s="18">
        <f t="shared" si="9"/>
        <v>107.52</v>
      </c>
      <c r="J1496" s="19">
        <f t="shared" si="10"/>
        <v>109.04</v>
      </c>
      <c r="K1496" s="19"/>
      <c r="L1496" s="19">
        <f t="shared" si="11"/>
        <v>104.12</v>
      </c>
      <c r="M1496" s="19">
        <f t="shared" si="12"/>
        <v>112.44</v>
      </c>
      <c r="N1496" s="19">
        <f t="shared" si="13"/>
        <v>102.6</v>
      </c>
    </row>
    <row r="1497" ht="24.75" customHeight="1">
      <c r="A1497" s="21" t="s">
        <v>1460</v>
      </c>
      <c r="B1497" s="13">
        <f>IFERROR(__xludf.DUMMYFUNCTION("GOOGLEFINANCE(A1497,""PRICE"")"),34.45)</f>
        <v>34.45</v>
      </c>
      <c r="C1497" s="14">
        <f>IFERROR(__xludf.DUMMYFUNCTION("GOOGLEFINANCE(A1497,""PRICEOPEN"")"),34.7)</f>
        <v>34.7</v>
      </c>
      <c r="D1497" s="14">
        <f>IFERROR(__xludf.DUMMYFUNCTION("GOOGLEFINANCE(A1497,""HIGH"")"),35.77)</f>
        <v>35.77</v>
      </c>
      <c r="E1497" s="14">
        <f>IFERROR(__xludf.DUMMYFUNCTION("GOOGLEFINANCE(A1497,""LOW"")"),33.75)</f>
        <v>33.75</v>
      </c>
      <c r="F1497" s="15" t="str">
        <f t="shared" si="8"/>
        <v/>
      </c>
      <c r="G1497" s="16">
        <f>IFERROR(__xludf.DUMMYFUNCTION("GOOGLEFINANCE(A1497,""CLOSEYEST"")"),35.06)</f>
        <v>35.06</v>
      </c>
      <c r="H1497" s="17" t="str">
        <f t="shared" si="14"/>
        <v>GAP DOWN</v>
      </c>
      <c r="I1497" s="18">
        <f t="shared" si="9"/>
        <v>34.86</v>
      </c>
      <c r="J1497" s="19">
        <f t="shared" si="10"/>
        <v>35.97</v>
      </c>
      <c r="K1497" s="19"/>
      <c r="L1497" s="19">
        <f t="shared" si="11"/>
        <v>33.95</v>
      </c>
      <c r="M1497" s="19">
        <f t="shared" si="12"/>
        <v>36.88</v>
      </c>
      <c r="N1497" s="19">
        <f t="shared" si="13"/>
        <v>32.84</v>
      </c>
    </row>
    <row r="1498" ht="24.75" customHeight="1">
      <c r="A1498" s="21" t="s">
        <v>1461</v>
      </c>
      <c r="B1498" s="13">
        <f>IFERROR(__xludf.DUMMYFUNCTION("GOOGLEFINANCE(A1498,""PRICE"")"),127.51)</f>
        <v>127.51</v>
      </c>
      <c r="C1498" s="14">
        <f>IFERROR(__xludf.DUMMYFUNCTION("GOOGLEFINANCE(A1498,""PRICEOPEN"")"),128.8)</f>
        <v>128.8</v>
      </c>
      <c r="D1498" s="14">
        <f>IFERROR(__xludf.DUMMYFUNCTION("GOOGLEFINANCE(A1498,""HIGH"")"),130.09)</f>
        <v>130.09</v>
      </c>
      <c r="E1498" s="14">
        <f>IFERROR(__xludf.DUMMYFUNCTION("GOOGLEFINANCE(A1498,""LOW"")"),126.52)</f>
        <v>126.52</v>
      </c>
      <c r="F1498" s="15" t="str">
        <f t="shared" si="8"/>
        <v/>
      </c>
      <c r="G1498" s="16">
        <f>IFERROR(__xludf.DUMMYFUNCTION("GOOGLEFINANCE(A1498,""CLOSEYEST"")"),127.32)</f>
        <v>127.32</v>
      </c>
      <c r="H1498" s="17" t="str">
        <f t="shared" si="14"/>
        <v>GAP UP</v>
      </c>
      <c r="I1498" s="18">
        <f t="shared" si="9"/>
        <v>127.9766667</v>
      </c>
      <c r="J1498" s="19">
        <f t="shared" si="10"/>
        <v>129.4333333</v>
      </c>
      <c r="K1498" s="19"/>
      <c r="L1498" s="19">
        <f t="shared" si="11"/>
        <v>125.8633333</v>
      </c>
      <c r="M1498" s="19">
        <f t="shared" si="12"/>
        <v>131.5466667</v>
      </c>
      <c r="N1498" s="19">
        <f t="shared" si="13"/>
        <v>124.4066667</v>
      </c>
    </row>
    <row r="1499" ht="24.75" customHeight="1">
      <c r="A1499" s="21" t="s">
        <v>1462</v>
      </c>
      <c r="B1499" s="13">
        <f>IFERROR(__xludf.DUMMYFUNCTION("GOOGLEFINANCE(A1499,""PRICE"")"),156.05)</f>
        <v>156.05</v>
      </c>
      <c r="C1499" s="14">
        <f>IFERROR(__xludf.DUMMYFUNCTION("GOOGLEFINANCE(A1499,""PRICEOPEN"")"),156.0)</f>
        <v>156</v>
      </c>
      <c r="D1499" s="14">
        <f>IFERROR(__xludf.DUMMYFUNCTION("GOOGLEFINANCE(A1499,""HIGH"")"),160.0)</f>
        <v>160</v>
      </c>
      <c r="E1499" s="14">
        <f>IFERROR(__xludf.DUMMYFUNCTION("GOOGLEFINANCE(A1499,""LOW"")"),152.11)</f>
        <v>152.11</v>
      </c>
      <c r="F1499" s="15" t="str">
        <f t="shared" si="8"/>
        <v/>
      </c>
      <c r="G1499" s="16">
        <f>IFERROR(__xludf.DUMMYFUNCTION("GOOGLEFINANCE(A1499,""CLOSEYEST"")"),153.31)</f>
        <v>153.31</v>
      </c>
      <c r="H1499" s="17" t="str">
        <f t="shared" si="14"/>
        <v>GAP UP</v>
      </c>
      <c r="I1499" s="18">
        <f t="shared" si="9"/>
        <v>155.14</v>
      </c>
      <c r="J1499" s="19">
        <f t="shared" si="10"/>
        <v>158.17</v>
      </c>
      <c r="K1499" s="19"/>
      <c r="L1499" s="19">
        <f t="shared" si="11"/>
        <v>150.28</v>
      </c>
      <c r="M1499" s="19">
        <f t="shared" si="12"/>
        <v>163.03</v>
      </c>
      <c r="N1499" s="19">
        <f t="shared" si="13"/>
        <v>147.25</v>
      </c>
    </row>
    <row r="1500" ht="24.75" customHeight="1">
      <c r="A1500" s="21" t="s">
        <v>1463</v>
      </c>
      <c r="B1500" s="13">
        <f>IFERROR(__xludf.DUMMYFUNCTION("GOOGLEFINANCE(A1500,""PRICE"")"),72.9)</f>
        <v>72.9</v>
      </c>
      <c r="C1500" s="14">
        <f>IFERROR(__xludf.DUMMYFUNCTION("GOOGLEFINANCE(A1500,""PRICEOPEN"")"),73.05)</f>
        <v>73.05</v>
      </c>
      <c r="D1500" s="14">
        <f>IFERROR(__xludf.DUMMYFUNCTION("GOOGLEFINANCE(A1500,""HIGH"")"),74.4)</f>
        <v>74.4</v>
      </c>
      <c r="E1500" s="14">
        <f>IFERROR(__xludf.DUMMYFUNCTION("GOOGLEFINANCE(A1500,""LOW"")"),72.01)</f>
        <v>72.01</v>
      </c>
      <c r="F1500" s="15" t="str">
        <f t="shared" si="8"/>
        <v/>
      </c>
      <c r="G1500" s="16">
        <f>IFERROR(__xludf.DUMMYFUNCTION("GOOGLEFINANCE(A1500,""CLOSEYEST"")"),73.86)</f>
        <v>73.86</v>
      </c>
      <c r="H1500" s="17" t="str">
        <f t="shared" si="14"/>
        <v>GAP DOWN</v>
      </c>
      <c r="I1500" s="18">
        <f t="shared" si="9"/>
        <v>73.42333333</v>
      </c>
      <c r="J1500" s="19">
        <f t="shared" si="10"/>
        <v>74.83666667</v>
      </c>
      <c r="K1500" s="19"/>
      <c r="L1500" s="19">
        <f t="shared" si="11"/>
        <v>72.44666667</v>
      </c>
      <c r="M1500" s="19">
        <f t="shared" si="12"/>
        <v>75.81333333</v>
      </c>
      <c r="N1500" s="19">
        <f t="shared" si="13"/>
        <v>71.03333333</v>
      </c>
    </row>
    <row r="1501" ht="24.75" customHeight="1">
      <c r="A1501" s="21" t="s">
        <v>1464</v>
      </c>
      <c r="B1501" s="13">
        <f>IFERROR(__xludf.DUMMYFUNCTION("GOOGLEFINANCE(A1501,""PRICE"")"),756.0)</f>
        <v>756</v>
      </c>
      <c r="C1501" s="14">
        <f>IFERROR(__xludf.DUMMYFUNCTION("GOOGLEFINANCE(A1501,""PRICEOPEN"")"),755.4)</f>
        <v>755.4</v>
      </c>
      <c r="D1501" s="14">
        <f>IFERROR(__xludf.DUMMYFUNCTION("GOOGLEFINANCE(A1501,""HIGH"")"),764.9)</f>
        <v>764.9</v>
      </c>
      <c r="E1501" s="14">
        <f>IFERROR(__xludf.DUMMYFUNCTION("GOOGLEFINANCE(A1501,""LOW"")"),751.45)</f>
        <v>751.45</v>
      </c>
      <c r="F1501" s="15" t="str">
        <f t="shared" si="8"/>
        <v/>
      </c>
      <c r="G1501" s="16">
        <f>IFERROR(__xludf.DUMMYFUNCTION("GOOGLEFINANCE(A1501,""CLOSEYEST"")"),751.45)</f>
        <v>751.45</v>
      </c>
      <c r="H1501" s="17" t="str">
        <f t="shared" si="14"/>
        <v/>
      </c>
      <c r="I1501" s="18">
        <f t="shared" si="9"/>
        <v>755.9333333</v>
      </c>
      <c r="J1501" s="19">
        <f t="shared" si="10"/>
        <v>760.4166667</v>
      </c>
      <c r="K1501" s="19"/>
      <c r="L1501" s="19">
        <f t="shared" si="11"/>
        <v>746.9666667</v>
      </c>
      <c r="M1501" s="19">
        <f t="shared" si="12"/>
        <v>769.3833333</v>
      </c>
      <c r="N1501" s="19">
        <f t="shared" si="13"/>
        <v>742.4833333</v>
      </c>
    </row>
    <row r="1502" ht="24.75" customHeight="1">
      <c r="A1502" s="21" t="s">
        <v>1465</v>
      </c>
      <c r="B1502" s="13">
        <f>IFERROR(__xludf.DUMMYFUNCTION("GOOGLEFINANCE(A1502,""PRICE"")"),325.0)</f>
        <v>325</v>
      </c>
      <c r="C1502" s="14">
        <f>IFERROR(__xludf.DUMMYFUNCTION("GOOGLEFINANCE(A1502,""PRICEOPEN"")"),324.4)</f>
        <v>324.4</v>
      </c>
      <c r="D1502" s="14">
        <f>IFERROR(__xludf.DUMMYFUNCTION("GOOGLEFINANCE(A1502,""HIGH"")"),330.0)</f>
        <v>330</v>
      </c>
      <c r="E1502" s="14">
        <f>IFERROR(__xludf.DUMMYFUNCTION("GOOGLEFINANCE(A1502,""LOW"")"),320.25)</f>
        <v>320.25</v>
      </c>
      <c r="F1502" s="15" t="str">
        <f t="shared" si="8"/>
        <v/>
      </c>
      <c r="G1502" s="16">
        <f>IFERROR(__xludf.DUMMYFUNCTION("GOOGLEFINANCE(A1502,""CLOSEYEST"")"),327.25)</f>
        <v>327.25</v>
      </c>
      <c r="H1502" s="17" t="str">
        <f t="shared" si="14"/>
        <v/>
      </c>
      <c r="I1502" s="18">
        <f t="shared" si="9"/>
        <v>325.8333333</v>
      </c>
      <c r="J1502" s="19">
        <f t="shared" si="10"/>
        <v>331.4166667</v>
      </c>
      <c r="K1502" s="19"/>
      <c r="L1502" s="19">
        <f t="shared" si="11"/>
        <v>321.6666667</v>
      </c>
      <c r="M1502" s="19">
        <f t="shared" si="12"/>
        <v>335.5833333</v>
      </c>
      <c r="N1502" s="19">
        <f t="shared" si="13"/>
        <v>316.0833333</v>
      </c>
    </row>
    <row r="1503" ht="24.75" customHeight="1">
      <c r="A1503" s="21" t="s">
        <v>1466</v>
      </c>
      <c r="B1503" s="13">
        <f>IFERROR(__xludf.DUMMYFUNCTION("GOOGLEFINANCE(A1503,""PRICE"")"),21.11)</f>
        <v>21.11</v>
      </c>
      <c r="C1503" s="14">
        <f>IFERROR(__xludf.DUMMYFUNCTION("GOOGLEFINANCE(A1503,""PRICEOPEN"")"),21.0)</f>
        <v>21</v>
      </c>
      <c r="D1503" s="14">
        <f>IFERROR(__xludf.DUMMYFUNCTION("GOOGLEFINANCE(A1503,""HIGH"")"),21.49)</f>
        <v>21.49</v>
      </c>
      <c r="E1503" s="14">
        <f>IFERROR(__xludf.DUMMYFUNCTION("GOOGLEFINANCE(A1503,""LOW"")"),20.36)</f>
        <v>20.36</v>
      </c>
      <c r="F1503" s="15" t="str">
        <f t="shared" si="8"/>
        <v/>
      </c>
      <c r="G1503" s="16">
        <f>IFERROR(__xludf.DUMMYFUNCTION("GOOGLEFINANCE(A1503,""CLOSEYEST"")"),20.5)</f>
        <v>20.5</v>
      </c>
      <c r="H1503" s="17" t="str">
        <f t="shared" si="14"/>
        <v>GAP UP</v>
      </c>
      <c r="I1503" s="18">
        <f t="shared" si="9"/>
        <v>20.78333333</v>
      </c>
      <c r="J1503" s="19">
        <f t="shared" si="10"/>
        <v>21.20666667</v>
      </c>
      <c r="K1503" s="19"/>
      <c r="L1503" s="19">
        <f t="shared" si="11"/>
        <v>20.07666667</v>
      </c>
      <c r="M1503" s="19">
        <f t="shared" si="12"/>
        <v>21.91333333</v>
      </c>
      <c r="N1503" s="19">
        <f t="shared" si="13"/>
        <v>19.65333333</v>
      </c>
    </row>
    <row r="1504" ht="24.75" customHeight="1">
      <c r="A1504" s="21" t="s">
        <v>1467</v>
      </c>
      <c r="B1504" s="13">
        <f>IFERROR(__xludf.DUMMYFUNCTION("GOOGLEFINANCE(A1504,""PRICE"")"),75.5)</f>
        <v>75.5</v>
      </c>
      <c r="C1504" s="14">
        <f>IFERROR(__xludf.DUMMYFUNCTION("GOOGLEFINANCE(A1504,""PRICEOPEN"")"),74.16)</f>
        <v>74.16</v>
      </c>
      <c r="D1504" s="14">
        <f>IFERROR(__xludf.DUMMYFUNCTION("GOOGLEFINANCE(A1504,""HIGH"")"),75.5)</f>
        <v>75.5</v>
      </c>
      <c r="E1504" s="14">
        <f>IFERROR(__xludf.DUMMYFUNCTION("GOOGLEFINANCE(A1504,""LOW"")"),74.01)</f>
        <v>74.01</v>
      </c>
      <c r="F1504" s="15" t="str">
        <f t="shared" si="8"/>
        <v/>
      </c>
      <c r="G1504" s="16">
        <f>IFERROR(__xludf.DUMMYFUNCTION("GOOGLEFINANCE(A1504,""CLOSEYEST"")"),74.18)</f>
        <v>74.18</v>
      </c>
      <c r="H1504" s="17" t="str">
        <f t="shared" si="14"/>
        <v/>
      </c>
      <c r="I1504" s="18">
        <f t="shared" si="9"/>
        <v>74.56333333</v>
      </c>
      <c r="J1504" s="19">
        <f t="shared" si="10"/>
        <v>75.11666667</v>
      </c>
      <c r="K1504" s="19"/>
      <c r="L1504" s="19">
        <f t="shared" si="11"/>
        <v>73.62666667</v>
      </c>
      <c r="M1504" s="19">
        <f t="shared" si="12"/>
        <v>76.05333333</v>
      </c>
      <c r="N1504" s="19">
        <f t="shared" si="13"/>
        <v>73.07333333</v>
      </c>
    </row>
    <row r="1505" ht="24.75" customHeight="1">
      <c r="A1505" s="21" t="s">
        <v>1468</v>
      </c>
      <c r="B1505" s="13">
        <f>IFERROR(__xludf.DUMMYFUNCTION("GOOGLEFINANCE(A1505,""PRICE"")"),39.0)</f>
        <v>39</v>
      </c>
      <c r="C1505" s="14">
        <f>IFERROR(__xludf.DUMMYFUNCTION("GOOGLEFINANCE(A1505,""PRICEOPEN"")"),40.38)</f>
        <v>40.38</v>
      </c>
      <c r="D1505" s="14">
        <f>IFERROR(__xludf.DUMMYFUNCTION("GOOGLEFINANCE(A1505,""HIGH"")"),41.99)</f>
        <v>41.99</v>
      </c>
      <c r="E1505" s="14">
        <f>IFERROR(__xludf.DUMMYFUNCTION("GOOGLEFINANCE(A1505,""LOW"")"),38.26)</f>
        <v>38.26</v>
      </c>
      <c r="F1505" s="15" t="str">
        <f t="shared" si="8"/>
        <v/>
      </c>
      <c r="G1505" s="16">
        <f>IFERROR(__xludf.DUMMYFUNCTION("GOOGLEFINANCE(A1505,""CLOSEYEST"")"),38.69)</f>
        <v>38.69</v>
      </c>
      <c r="H1505" s="17" t="str">
        <f t="shared" si="14"/>
        <v>GAP UP</v>
      </c>
      <c r="I1505" s="18">
        <f t="shared" si="9"/>
        <v>39.64666667</v>
      </c>
      <c r="J1505" s="19">
        <f t="shared" si="10"/>
        <v>41.03333333</v>
      </c>
      <c r="K1505" s="19"/>
      <c r="L1505" s="19">
        <f t="shared" si="11"/>
        <v>37.30333333</v>
      </c>
      <c r="M1505" s="19">
        <f t="shared" si="12"/>
        <v>43.37666667</v>
      </c>
      <c r="N1505" s="19">
        <f t="shared" si="13"/>
        <v>35.91666667</v>
      </c>
    </row>
    <row r="1506" ht="24.75" customHeight="1">
      <c r="A1506" s="21" t="s">
        <v>1469</v>
      </c>
      <c r="B1506" s="13">
        <f>IFERROR(__xludf.DUMMYFUNCTION("GOOGLEFINANCE(A1506,""PRICE"")"),63.4)</f>
        <v>63.4</v>
      </c>
      <c r="C1506" s="14">
        <f>IFERROR(__xludf.DUMMYFUNCTION("GOOGLEFINANCE(A1506,""PRICEOPEN"")"),62.01)</f>
        <v>62.01</v>
      </c>
      <c r="D1506" s="14">
        <f>IFERROR(__xludf.DUMMYFUNCTION("GOOGLEFINANCE(A1506,""HIGH"")"),63.83)</f>
        <v>63.83</v>
      </c>
      <c r="E1506" s="14">
        <f>IFERROR(__xludf.DUMMYFUNCTION("GOOGLEFINANCE(A1506,""LOW"")"),62.0)</f>
        <v>62</v>
      </c>
      <c r="F1506" s="15" t="str">
        <f t="shared" si="8"/>
        <v/>
      </c>
      <c r="G1506" s="16">
        <f>IFERROR(__xludf.DUMMYFUNCTION("GOOGLEFINANCE(A1506,""CLOSEYEST"")"),63.1)</f>
        <v>63.1</v>
      </c>
      <c r="H1506" s="17" t="str">
        <f t="shared" si="14"/>
        <v>GAP DOWN</v>
      </c>
      <c r="I1506" s="18">
        <f t="shared" si="9"/>
        <v>62.97666667</v>
      </c>
      <c r="J1506" s="19">
        <f t="shared" si="10"/>
        <v>63.95333333</v>
      </c>
      <c r="K1506" s="19"/>
      <c r="L1506" s="19">
        <f t="shared" si="11"/>
        <v>62.12333333</v>
      </c>
      <c r="M1506" s="19">
        <f t="shared" si="12"/>
        <v>64.80666667</v>
      </c>
      <c r="N1506" s="19">
        <f t="shared" si="13"/>
        <v>61.14666667</v>
      </c>
    </row>
    <row r="1507" ht="24.75" customHeight="1">
      <c r="A1507" s="21" t="s">
        <v>1470</v>
      </c>
      <c r="B1507" s="13">
        <f>IFERROR(__xludf.DUMMYFUNCTION("GOOGLEFINANCE(A1507,""PRICE"")"),1011.0)</f>
        <v>1011</v>
      </c>
      <c r="C1507" s="14">
        <f>IFERROR(__xludf.DUMMYFUNCTION("GOOGLEFINANCE(A1507,""PRICEOPEN"")"),1065.3)</f>
        <v>1065.3</v>
      </c>
      <c r="D1507" s="14">
        <f>IFERROR(__xludf.DUMMYFUNCTION("GOOGLEFINANCE(A1507,""HIGH"")"),1099.4)</f>
        <v>1099.4</v>
      </c>
      <c r="E1507" s="14">
        <f>IFERROR(__xludf.DUMMYFUNCTION("GOOGLEFINANCE(A1507,""LOW"")"),1006.1)</f>
        <v>1006.1</v>
      </c>
      <c r="F1507" s="15" t="str">
        <f t="shared" si="8"/>
        <v/>
      </c>
      <c r="G1507" s="16">
        <f>IFERROR(__xludf.DUMMYFUNCTION("GOOGLEFINANCE(A1507,""CLOSEYEST"")"),1085.0)</f>
        <v>1085</v>
      </c>
      <c r="H1507" s="17" t="str">
        <f t="shared" si="14"/>
        <v>GAP DOWN</v>
      </c>
      <c r="I1507" s="18">
        <f t="shared" si="9"/>
        <v>1063.5</v>
      </c>
      <c r="J1507" s="19">
        <f t="shared" si="10"/>
        <v>1120.9</v>
      </c>
      <c r="K1507" s="19"/>
      <c r="L1507" s="19">
        <f t="shared" si="11"/>
        <v>1027.6</v>
      </c>
      <c r="M1507" s="19">
        <f t="shared" si="12"/>
        <v>1156.8</v>
      </c>
      <c r="N1507" s="19">
        <f t="shared" si="13"/>
        <v>970.2</v>
      </c>
    </row>
    <row r="1508" ht="24.75" customHeight="1">
      <c r="A1508" s="21" t="s">
        <v>1471</v>
      </c>
      <c r="B1508" s="13">
        <f>IFERROR(__xludf.DUMMYFUNCTION("GOOGLEFINANCE(A1508,""PRICE"")"),42.49)</f>
        <v>42.49</v>
      </c>
      <c r="C1508" s="14">
        <f>IFERROR(__xludf.DUMMYFUNCTION("GOOGLEFINANCE(A1508,""PRICEOPEN"")"),42.85)</f>
        <v>42.85</v>
      </c>
      <c r="D1508" s="14">
        <f>IFERROR(__xludf.DUMMYFUNCTION("GOOGLEFINANCE(A1508,""HIGH"")"),42.85)</f>
        <v>42.85</v>
      </c>
      <c r="E1508" s="14">
        <f>IFERROR(__xludf.DUMMYFUNCTION("GOOGLEFINANCE(A1508,""LOW"")"),41.5)</f>
        <v>41.5</v>
      </c>
      <c r="F1508" s="15" t="str">
        <f t="shared" si="8"/>
        <v>SELL</v>
      </c>
      <c r="G1508" s="16">
        <f>IFERROR(__xludf.DUMMYFUNCTION("GOOGLEFINANCE(A1508,""CLOSEYEST"")"),42.46)</f>
        <v>42.46</v>
      </c>
      <c r="H1508" s="17" t="str">
        <f t="shared" si="14"/>
        <v/>
      </c>
      <c r="I1508" s="18">
        <f t="shared" si="9"/>
        <v>42.27</v>
      </c>
      <c r="J1508" s="19">
        <f t="shared" si="10"/>
        <v>43.04</v>
      </c>
      <c r="K1508" s="19"/>
      <c r="L1508" s="19">
        <f t="shared" si="11"/>
        <v>41.69</v>
      </c>
      <c r="M1508" s="19">
        <f t="shared" si="12"/>
        <v>43.62</v>
      </c>
      <c r="N1508" s="19">
        <f t="shared" si="13"/>
        <v>40.92</v>
      </c>
    </row>
    <row r="1509" ht="24.75" customHeight="1">
      <c r="A1509" s="21" t="s">
        <v>1472</v>
      </c>
      <c r="B1509" s="13" t="str">
        <f>IFERROR(__xludf.DUMMYFUNCTION("GOOGLEFINANCE(A1509,""PRICE"")"),"#N/A")</f>
        <v>#N/A</v>
      </c>
      <c r="C1509" s="14" t="str">
        <f>IFERROR(__xludf.DUMMYFUNCTION("GOOGLEFINANCE(A1509,""PRICEOPEN"")"),"#N/A")</f>
        <v>#N/A</v>
      </c>
      <c r="D1509" s="14" t="str">
        <f>IFERROR(__xludf.DUMMYFUNCTION("GOOGLEFINANCE(A1509,""HIGH"")"),"#N/A")</f>
        <v>#N/A</v>
      </c>
      <c r="E1509" s="14" t="str">
        <f>IFERROR(__xludf.DUMMYFUNCTION("GOOGLEFINANCE(A1509,""LOW"")"),"#N/A")</f>
        <v>#N/A</v>
      </c>
      <c r="F1509" s="15" t="str">
        <f t="shared" si="8"/>
        <v>#N/A</v>
      </c>
      <c r="G1509" s="16" t="str">
        <f>IFERROR(__xludf.DUMMYFUNCTION("GOOGLEFINANCE(A1509,""CLOSEYEST"")"),"#N/A")</f>
        <v>#N/A</v>
      </c>
      <c r="H1509" s="17" t="str">
        <f t="shared" si="14"/>
        <v>#N/A</v>
      </c>
      <c r="I1509" s="18" t="str">
        <f t="shared" si="9"/>
        <v>#N/A</v>
      </c>
      <c r="J1509" s="19" t="str">
        <f t="shared" si="10"/>
        <v>#N/A</v>
      </c>
      <c r="K1509" s="19"/>
      <c r="L1509" s="19" t="str">
        <f t="shared" si="11"/>
        <v>#N/A</v>
      </c>
      <c r="M1509" s="19" t="str">
        <f t="shared" si="12"/>
        <v>#N/A</v>
      </c>
      <c r="N1509" s="19" t="str">
        <f t="shared" si="13"/>
        <v>#N/A</v>
      </c>
    </row>
    <row r="1510" ht="24.75" customHeight="1">
      <c r="A1510" s="21" t="s">
        <v>1473</v>
      </c>
      <c r="B1510" s="13">
        <f>IFERROR(__xludf.DUMMYFUNCTION("GOOGLEFINANCE(A1510,""PRICE"")"),45.55)</f>
        <v>45.55</v>
      </c>
      <c r="C1510" s="14">
        <f>IFERROR(__xludf.DUMMYFUNCTION("GOOGLEFINANCE(A1510,""PRICEOPEN"")"),48.79)</f>
        <v>48.79</v>
      </c>
      <c r="D1510" s="14">
        <f>IFERROR(__xludf.DUMMYFUNCTION("GOOGLEFINANCE(A1510,""HIGH"")"),48.79)</f>
        <v>48.79</v>
      </c>
      <c r="E1510" s="14">
        <f>IFERROR(__xludf.DUMMYFUNCTION("GOOGLEFINANCE(A1510,""LOW"")"),45.55)</f>
        <v>45.55</v>
      </c>
      <c r="F1510" s="15" t="str">
        <f t="shared" si="8"/>
        <v>SELL</v>
      </c>
      <c r="G1510" s="16">
        <f>IFERROR(__xludf.DUMMYFUNCTION("GOOGLEFINANCE(A1510,""CLOSEYEST"")"),46.98)</f>
        <v>46.98</v>
      </c>
      <c r="H1510" s="17" t="str">
        <f t="shared" si="14"/>
        <v>GAP UP</v>
      </c>
      <c r="I1510" s="18">
        <f t="shared" si="9"/>
        <v>47.10666667</v>
      </c>
      <c r="J1510" s="19">
        <f t="shared" si="10"/>
        <v>48.66333333</v>
      </c>
      <c r="K1510" s="19"/>
      <c r="L1510" s="19">
        <f t="shared" si="11"/>
        <v>45.42333333</v>
      </c>
      <c r="M1510" s="19">
        <f t="shared" si="12"/>
        <v>50.34666667</v>
      </c>
      <c r="N1510" s="19">
        <f t="shared" si="13"/>
        <v>43.86666667</v>
      </c>
    </row>
    <row r="1511" ht="24.75" customHeight="1">
      <c r="A1511" s="21" t="s">
        <v>1474</v>
      </c>
      <c r="B1511" s="13" t="str">
        <f>IFERROR(__xludf.DUMMYFUNCTION("GOOGLEFINANCE(A1511,""PRICE"")"),"#N/A")</f>
        <v>#N/A</v>
      </c>
      <c r="C1511" s="14" t="str">
        <f>IFERROR(__xludf.DUMMYFUNCTION("GOOGLEFINANCE(A1511,""PRICEOPEN"")"),"#N/A")</f>
        <v>#N/A</v>
      </c>
      <c r="D1511" s="14" t="str">
        <f>IFERROR(__xludf.DUMMYFUNCTION("GOOGLEFINANCE(A1511,""HIGH"")"),"#N/A")</f>
        <v>#N/A</v>
      </c>
      <c r="E1511" s="14" t="str">
        <f>IFERROR(__xludf.DUMMYFUNCTION("GOOGLEFINANCE(A1511,""LOW"")"),"#N/A")</f>
        <v>#N/A</v>
      </c>
      <c r="F1511" s="15" t="str">
        <f t="shared" si="8"/>
        <v>#N/A</v>
      </c>
      <c r="G1511" s="16" t="str">
        <f>IFERROR(__xludf.DUMMYFUNCTION("GOOGLEFINANCE(A1511,""CLOSEYEST"")"),"#N/A")</f>
        <v>#N/A</v>
      </c>
      <c r="H1511" s="17" t="str">
        <f t="shared" si="14"/>
        <v>#N/A</v>
      </c>
      <c r="I1511" s="18" t="str">
        <f t="shared" si="9"/>
        <v>#N/A</v>
      </c>
      <c r="J1511" s="19" t="str">
        <f t="shared" si="10"/>
        <v>#N/A</v>
      </c>
      <c r="K1511" s="19"/>
      <c r="L1511" s="19" t="str">
        <f t="shared" si="11"/>
        <v>#N/A</v>
      </c>
      <c r="M1511" s="19" t="str">
        <f t="shared" si="12"/>
        <v>#N/A</v>
      </c>
      <c r="N1511" s="19" t="str">
        <f t="shared" si="13"/>
        <v>#N/A</v>
      </c>
    </row>
    <row r="1512" ht="24.75" customHeight="1">
      <c r="A1512" s="21" t="s">
        <v>1475</v>
      </c>
      <c r="B1512" s="13">
        <f>IFERROR(__xludf.DUMMYFUNCTION("GOOGLEFINANCE(A1512,""PRICE"")"),55.6)</f>
        <v>55.6</v>
      </c>
      <c r="C1512" s="14">
        <f>IFERROR(__xludf.DUMMYFUNCTION("GOOGLEFINANCE(A1512,""PRICEOPEN"")"),54.27)</f>
        <v>54.27</v>
      </c>
      <c r="D1512" s="14">
        <f>IFERROR(__xludf.DUMMYFUNCTION("GOOGLEFINANCE(A1512,""HIGH"")"),56.0)</f>
        <v>56</v>
      </c>
      <c r="E1512" s="14">
        <f>IFERROR(__xludf.DUMMYFUNCTION("GOOGLEFINANCE(A1512,""LOW"")"),53.99)</f>
        <v>53.99</v>
      </c>
      <c r="F1512" s="15" t="str">
        <f t="shared" si="8"/>
        <v/>
      </c>
      <c r="G1512" s="16">
        <f>IFERROR(__xludf.DUMMYFUNCTION("GOOGLEFINANCE(A1512,""CLOSEYEST"")"),54.27)</f>
        <v>54.27</v>
      </c>
      <c r="H1512" s="17" t="str">
        <f t="shared" si="14"/>
        <v/>
      </c>
      <c r="I1512" s="18">
        <f t="shared" si="9"/>
        <v>54.75333333</v>
      </c>
      <c r="J1512" s="19">
        <f t="shared" si="10"/>
        <v>55.51666667</v>
      </c>
      <c r="K1512" s="19"/>
      <c r="L1512" s="19">
        <f t="shared" si="11"/>
        <v>53.50666667</v>
      </c>
      <c r="M1512" s="19">
        <f t="shared" si="12"/>
        <v>56.76333333</v>
      </c>
      <c r="N1512" s="19">
        <f t="shared" si="13"/>
        <v>52.74333333</v>
      </c>
    </row>
    <row r="1513" ht="24.75" customHeight="1">
      <c r="A1513" s="21" t="s">
        <v>1476</v>
      </c>
      <c r="B1513" s="13">
        <f>IFERROR(__xludf.DUMMYFUNCTION("GOOGLEFINANCE(A1513,""PRICE"")"),41.1)</f>
        <v>41.1</v>
      </c>
      <c r="C1513" s="14">
        <f>IFERROR(__xludf.DUMMYFUNCTION("GOOGLEFINANCE(A1513,""PRICEOPEN"")"),41.5)</f>
        <v>41.5</v>
      </c>
      <c r="D1513" s="14">
        <f>IFERROR(__xludf.DUMMYFUNCTION("GOOGLEFINANCE(A1513,""HIGH"")"),42.4)</f>
        <v>42.4</v>
      </c>
      <c r="E1513" s="14">
        <f>IFERROR(__xludf.DUMMYFUNCTION("GOOGLEFINANCE(A1513,""LOW"")"),40.3)</f>
        <v>40.3</v>
      </c>
      <c r="F1513" s="15" t="str">
        <f t="shared" si="8"/>
        <v/>
      </c>
      <c r="G1513" s="16">
        <f>IFERROR(__xludf.DUMMYFUNCTION("GOOGLEFINANCE(A1513,""CLOSEYEST"")"),41.49)</f>
        <v>41.49</v>
      </c>
      <c r="H1513" s="17" t="str">
        <f t="shared" si="14"/>
        <v/>
      </c>
      <c r="I1513" s="18">
        <f t="shared" si="9"/>
        <v>41.39666667</v>
      </c>
      <c r="J1513" s="19">
        <f t="shared" si="10"/>
        <v>42.49333333</v>
      </c>
      <c r="K1513" s="19"/>
      <c r="L1513" s="19">
        <f t="shared" si="11"/>
        <v>40.39333333</v>
      </c>
      <c r="M1513" s="19">
        <f t="shared" si="12"/>
        <v>43.49666667</v>
      </c>
      <c r="N1513" s="19">
        <f t="shared" si="13"/>
        <v>39.29666667</v>
      </c>
    </row>
    <row r="1514" ht="24.75" customHeight="1">
      <c r="A1514" s="21" t="s">
        <v>1477</v>
      </c>
      <c r="B1514" s="13">
        <f>IFERROR(__xludf.DUMMYFUNCTION("GOOGLEFINANCE(A1514,""PRICE"")"),243.53)</f>
        <v>243.53</v>
      </c>
      <c r="C1514" s="14">
        <f>IFERROR(__xludf.DUMMYFUNCTION("GOOGLEFINANCE(A1514,""PRICEOPEN"")"),241.0)</f>
        <v>241</v>
      </c>
      <c r="D1514" s="14">
        <f>IFERROR(__xludf.DUMMYFUNCTION("GOOGLEFINANCE(A1514,""HIGH"")"),248.0)</f>
        <v>248</v>
      </c>
      <c r="E1514" s="14">
        <f>IFERROR(__xludf.DUMMYFUNCTION("GOOGLEFINANCE(A1514,""LOW"")"),240.22)</f>
        <v>240.22</v>
      </c>
      <c r="F1514" s="15" t="str">
        <f t="shared" si="8"/>
        <v/>
      </c>
      <c r="G1514" s="16">
        <f>IFERROR(__xludf.DUMMYFUNCTION("GOOGLEFINANCE(A1514,""CLOSEYEST"")"),239.25)</f>
        <v>239.25</v>
      </c>
      <c r="H1514" s="17" t="str">
        <f t="shared" si="14"/>
        <v/>
      </c>
      <c r="I1514" s="18">
        <f t="shared" si="9"/>
        <v>242.49</v>
      </c>
      <c r="J1514" s="19">
        <f t="shared" si="10"/>
        <v>244.76</v>
      </c>
      <c r="K1514" s="19"/>
      <c r="L1514" s="19">
        <f t="shared" si="11"/>
        <v>236.98</v>
      </c>
      <c r="M1514" s="19">
        <f t="shared" si="12"/>
        <v>250.27</v>
      </c>
      <c r="N1514" s="19">
        <f t="shared" si="13"/>
        <v>234.71</v>
      </c>
    </row>
    <row r="1515" ht="24.75" customHeight="1">
      <c r="A1515" s="21" t="s">
        <v>1478</v>
      </c>
      <c r="B1515" s="13">
        <f>IFERROR(__xludf.DUMMYFUNCTION("GOOGLEFINANCE(A1515,""PRICE"")"),6.43)</f>
        <v>6.43</v>
      </c>
      <c r="C1515" s="14">
        <f>IFERROR(__xludf.DUMMYFUNCTION("GOOGLEFINANCE(A1515,""PRICEOPEN"")"),6.25)</f>
        <v>6.25</v>
      </c>
      <c r="D1515" s="14">
        <f>IFERROR(__xludf.DUMMYFUNCTION("GOOGLEFINANCE(A1515,""HIGH"")"),6.49)</f>
        <v>6.49</v>
      </c>
      <c r="E1515" s="14">
        <f>IFERROR(__xludf.DUMMYFUNCTION("GOOGLEFINANCE(A1515,""LOW"")"),6.23)</f>
        <v>6.23</v>
      </c>
      <c r="F1515" s="15" t="str">
        <f t="shared" si="8"/>
        <v/>
      </c>
      <c r="G1515" s="16">
        <f>IFERROR(__xludf.DUMMYFUNCTION("GOOGLEFINANCE(A1515,""CLOSEYEST"")"),6.27)</f>
        <v>6.27</v>
      </c>
      <c r="H1515" s="17" t="str">
        <f t="shared" si="14"/>
        <v/>
      </c>
      <c r="I1515" s="18">
        <f t="shared" si="9"/>
        <v>6.33</v>
      </c>
      <c r="J1515" s="19">
        <f t="shared" si="10"/>
        <v>6.43</v>
      </c>
      <c r="K1515" s="19"/>
      <c r="L1515" s="19">
        <f t="shared" si="11"/>
        <v>6.17</v>
      </c>
      <c r="M1515" s="19">
        <f t="shared" si="12"/>
        <v>6.59</v>
      </c>
      <c r="N1515" s="19">
        <f t="shared" si="13"/>
        <v>6.07</v>
      </c>
    </row>
    <row r="1516" ht="24.75" customHeight="1">
      <c r="A1516" s="21" t="s">
        <v>1479</v>
      </c>
      <c r="B1516" s="13">
        <f>IFERROR(__xludf.DUMMYFUNCTION("GOOGLEFINANCE(A1516,""PRICE"")"),18.1)</f>
        <v>18.1</v>
      </c>
      <c r="C1516" s="14">
        <f>IFERROR(__xludf.DUMMYFUNCTION("GOOGLEFINANCE(A1516,""PRICEOPEN"")"),17.72)</f>
        <v>17.72</v>
      </c>
      <c r="D1516" s="14">
        <f>IFERROR(__xludf.DUMMYFUNCTION("GOOGLEFINANCE(A1516,""HIGH"")"),18.21)</f>
        <v>18.21</v>
      </c>
      <c r="E1516" s="14">
        <f>IFERROR(__xludf.DUMMYFUNCTION("GOOGLEFINANCE(A1516,""LOW"")"),17.53)</f>
        <v>17.53</v>
      </c>
      <c r="F1516" s="15" t="str">
        <f t="shared" si="8"/>
        <v/>
      </c>
      <c r="G1516" s="16">
        <f>IFERROR(__xludf.DUMMYFUNCTION("GOOGLEFINANCE(A1516,""CLOSEYEST"")"),17.55)</f>
        <v>17.55</v>
      </c>
      <c r="H1516" s="17" t="str">
        <f t="shared" si="14"/>
        <v/>
      </c>
      <c r="I1516" s="18">
        <f t="shared" si="9"/>
        <v>17.76333333</v>
      </c>
      <c r="J1516" s="19">
        <f t="shared" si="10"/>
        <v>17.99666667</v>
      </c>
      <c r="K1516" s="19"/>
      <c r="L1516" s="19">
        <f t="shared" si="11"/>
        <v>17.31666667</v>
      </c>
      <c r="M1516" s="19">
        <f t="shared" si="12"/>
        <v>18.44333333</v>
      </c>
      <c r="N1516" s="19">
        <f t="shared" si="13"/>
        <v>17.08333333</v>
      </c>
    </row>
    <row r="1517" ht="24.75" customHeight="1">
      <c r="A1517" s="21" t="s">
        <v>1480</v>
      </c>
      <c r="B1517" s="13">
        <f>IFERROR(__xludf.DUMMYFUNCTION("GOOGLEFINANCE(A1517,""PRICE"")"),3950.0)</f>
        <v>3950</v>
      </c>
      <c r="C1517" s="14">
        <f>IFERROR(__xludf.DUMMYFUNCTION("GOOGLEFINANCE(A1517,""PRICEOPEN"")"),3899.0)</f>
        <v>3899</v>
      </c>
      <c r="D1517" s="14">
        <f>IFERROR(__xludf.DUMMYFUNCTION("GOOGLEFINANCE(A1517,""HIGH"")"),3989.8)</f>
        <v>3989.8</v>
      </c>
      <c r="E1517" s="14">
        <f>IFERROR(__xludf.DUMMYFUNCTION("GOOGLEFINANCE(A1517,""LOW"")"),3806.0)</f>
        <v>3806</v>
      </c>
      <c r="F1517" s="15" t="str">
        <f t="shared" si="8"/>
        <v/>
      </c>
      <c r="G1517" s="16">
        <f>IFERROR(__xludf.DUMMYFUNCTION("GOOGLEFINANCE(A1517,""CLOSEYEST"")"),3893.6)</f>
        <v>3893.6</v>
      </c>
      <c r="H1517" s="17" t="str">
        <f t="shared" si="14"/>
        <v/>
      </c>
      <c r="I1517" s="18">
        <f t="shared" si="9"/>
        <v>3896.466667</v>
      </c>
      <c r="J1517" s="19">
        <f t="shared" si="10"/>
        <v>3986.933333</v>
      </c>
      <c r="K1517" s="19"/>
      <c r="L1517" s="19">
        <f t="shared" si="11"/>
        <v>3803.133333</v>
      </c>
      <c r="M1517" s="19">
        <f t="shared" si="12"/>
        <v>4080.266667</v>
      </c>
      <c r="N1517" s="19">
        <f t="shared" si="13"/>
        <v>3712.666667</v>
      </c>
    </row>
    <row r="1518" ht="24.75" customHeight="1">
      <c r="A1518" s="21" t="s">
        <v>1481</v>
      </c>
      <c r="B1518" s="13">
        <f>IFERROR(__xludf.DUMMYFUNCTION("GOOGLEFINANCE(A1518,""PRICE"")"),101.0)</f>
        <v>101</v>
      </c>
      <c r="C1518" s="14">
        <f>IFERROR(__xludf.DUMMYFUNCTION("GOOGLEFINANCE(A1518,""PRICEOPEN"")"),98.66)</f>
        <v>98.66</v>
      </c>
      <c r="D1518" s="14">
        <f>IFERROR(__xludf.DUMMYFUNCTION("GOOGLEFINANCE(A1518,""HIGH"")"),102.0)</f>
        <v>102</v>
      </c>
      <c r="E1518" s="14">
        <f>IFERROR(__xludf.DUMMYFUNCTION("GOOGLEFINANCE(A1518,""LOW"")"),98.13)</f>
        <v>98.13</v>
      </c>
      <c r="F1518" s="15" t="str">
        <f t="shared" si="8"/>
        <v/>
      </c>
      <c r="G1518" s="16">
        <f>IFERROR(__xludf.DUMMYFUNCTION("GOOGLEFINANCE(A1518,""CLOSEYEST"")"),99.75)</f>
        <v>99.75</v>
      </c>
      <c r="H1518" s="17" t="str">
        <f t="shared" si="14"/>
        <v>GAP DOWN</v>
      </c>
      <c r="I1518" s="18">
        <f t="shared" si="9"/>
        <v>99.96</v>
      </c>
      <c r="J1518" s="19">
        <f t="shared" si="10"/>
        <v>101.79</v>
      </c>
      <c r="K1518" s="19"/>
      <c r="L1518" s="19">
        <f t="shared" si="11"/>
        <v>97.92</v>
      </c>
      <c r="M1518" s="19">
        <f t="shared" si="12"/>
        <v>103.83</v>
      </c>
      <c r="N1518" s="19">
        <f t="shared" si="13"/>
        <v>96.09</v>
      </c>
    </row>
    <row r="1519" ht="24.75" customHeight="1">
      <c r="A1519" s="21" t="s">
        <v>1482</v>
      </c>
      <c r="B1519" s="13">
        <f>IFERROR(__xludf.DUMMYFUNCTION("GOOGLEFINANCE(A1519,""PRICE"")"),118.5)</f>
        <v>118.5</v>
      </c>
      <c r="C1519" s="14">
        <f>IFERROR(__xludf.DUMMYFUNCTION("GOOGLEFINANCE(A1519,""PRICEOPEN"")"),116.06)</f>
        <v>116.06</v>
      </c>
      <c r="D1519" s="14">
        <f>IFERROR(__xludf.DUMMYFUNCTION("GOOGLEFINANCE(A1519,""HIGH"")"),118.58)</f>
        <v>118.58</v>
      </c>
      <c r="E1519" s="14">
        <f>IFERROR(__xludf.DUMMYFUNCTION("GOOGLEFINANCE(A1519,""LOW"")"),116.06)</f>
        <v>116.06</v>
      </c>
      <c r="F1519" s="15" t="str">
        <f t="shared" si="8"/>
        <v>BUY</v>
      </c>
      <c r="G1519" s="16">
        <f>IFERROR(__xludf.DUMMYFUNCTION("GOOGLEFINANCE(A1519,""CLOSEYEST"")"),116.32)</f>
        <v>116.32</v>
      </c>
      <c r="H1519" s="17" t="str">
        <f t="shared" si="14"/>
        <v/>
      </c>
      <c r="I1519" s="18">
        <f t="shared" si="9"/>
        <v>116.9866667</v>
      </c>
      <c r="J1519" s="19">
        <f t="shared" si="10"/>
        <v>117.9133333</v>
      </c>
      <c r="K1519" s="19"/>
      <c r="L1519" s="19">
        <f t="shared" si="11"/>
        <v>115.3933333</v>
      </c>
      <c r="M1519" s="19">
        <f t="shared" si="12"/>
        <v>119.5066667</v>
      </c>
      <c r="N1519" s="19">
        <f t="shared" si="13"/>
        <v>114.4666667</v>
      </c>
    </row>
    <row r="1520" ht="24.75" customHeight="1">
      <c r="A1520" s="21" t="s">
        <v>1483</v>
      </c>
      <c r="B1520" s="13">
        <f>IFERROR(__xludf.DUMMYFUNCTION("GOOGLEFINANCE(A1520,""PRICE"")"),0.33)</f>
        <v>0.33</v>
      </c>
      <c r="C1520" s="14">
        <f>IFERROR(__xludf.DUMMYFUNCTION("GOOGLEFINANCE(A1520,""PRICEOPEN"")"),0.32)</f>
        <v>0.32</v>
      </c>
      <c r="D1520" s="14">
        <f>IFERROR(__xludf.DUMMYFUNCTION("GOOGLEFINANCE(A1520,""HIGH"")"),0.33)</f>
        <v>0.33</v>
      </c>
      <c r="E1520" s="14">
        <f>IFERROR(__xludf.DUMMYFUNCTION("GOOGLEFINANCE(A1520,""LOW"")"),0.32)</f>
        <v>0.32</v>
      </c>
      <c r="F1520" s="15" t="str">
        <f t="shared" si="8"/>
        <v>BUY</v>
      </c>
      <c r="G1520" s="16">
        <f>IFERROR(__xludf.DUMMYFUNCTION("GOOGLEFINANCE(A1520,""CLOSEYEST"")"),0.32)</f>
        <v>0.32</v>
      </c>
      <c r="H1520" s="17" t="str">
        <f t="shared" si="14"/>
        <v/>
      </c>
      <c r="I1520" s="18">
        <f t="shared" si="9"/>
        <v>0.3233333333</v>
      </c>
      <c r="J1520" s="19">
        <f t="shared" si="10"/>
        <v>0.3266666667</v>
      </c>
      <c r="K1520" s="19"/>
      <c r="L1520" s="19">
        <f t="shared" si="11"/>
        <v>0.3166666667</v>
      </c>
      <c r="M1520" s="19">
        <f t="shared" si="12"/>
        <v>0.3333333333</v>
      </c>
      <c r="N1520" s="19">
        <f t="shared" si="13"/>
        <v>0.3133333333</v>
      </c>
    </row>
    <row r="1521" ht="24.75" customHeight="1">
      <c r="A1521" s="21" t="s">
        <v>1484</v>
      </c>
      <c r="B1521" s="13">
        <f>IFERROR(__xludf.DUMMYFUNCTION("GOOGLEFINANCE(A1521,""PRICE"")"),17.45)</f>
        <v>17.45</v>
      </c>
      <c r="C1521" s="14">
        <f>IFERROR(__xludf.DUMMYFUNCTION("GOOGLEFINANCE(A1521,""PRICEOPEN"")"),17.99)</f>
        <v>17.99</v>
      </c>
      <c r="D1521" s="14">
        <f>IFERROR(__xludf.DUMMYFUNCTION("GOOGLEFINANCE(A1521,""HIGH"")"),17.99)</f>
        <v>17.99</v>
      </c>
      <c r="E1521" s="14">
        <f>IFERROR(__xludf.DUMMYFUNCTION("GOOGLEFINANCE(A1521,""LOW"")"),17.06)</f>
        <v>17.06</v>
      </c>
      <c r="F1521" s="15" t="str">
        <f t="shared" si="8"/>
        <v>SELL</v>
      </c>
      <c r="G1521" s="16">
        <f>IFERROR(__xludf.DUMMYFUNCTION("GOOGLEFINANCE(A1521,""CLOSEYEST"")"),17.77)</f>
        <v>17.77</v>
      </c>
      <c r="H1521" s="17" t="str">
        <f t="shared" si="14"/>
        <v>GAP UP</v>
      </c>
      <c r="I1521" s="18">
        <f t="shared" si="9"/>
        <v>17.60666667</v>
      </c>
      <c r="J1521" s="19">
        <f t="shared" si="10"/>
        <v>18.15333333</v>
      </c>
      <c r="K1521" s="19"/>
      <c r="L1521" s="19">
        <f t="shared" si="11"/>
        <v>17.22333333</v>
      </c>
      <c r="M1521" s="19">
        <f t="shared" si="12"/>
        <v>18.53666667</v>
      </c>
      <c r="N1521" s="19">
        <f t="shared" si="13"/>
        <v>16.67666667</v>
      </c>
    </row>
    <row r="1522" ht="24.75" customHeight="1">
      <c r="A1522" s="21" t="s">
        <v>1485</v>
      </c>
      <c r="B1522" s="13">
        <f>IFERROR(__xludf.DUMMYFUNCTION("GOOGLEFINANCE(A1522,""PRICE"")"),253.0)</f>
        <v>253</v>
      </c>
      <c r="C1522" s="14">
        <f>IFERROR(__xludf.DUMMYFUNCTION("GOOGLEFINANCE(A1522,""PRICEOPEN"")"),250.5)</f>
        <v>250.5</v>
      </c>
      <c r="D1522" s="14">
        <f>IFERROR(__xludf.DUMMYFUNCTION("GOOGLEFINANCE(A1522,""HIGH"")"),254.5)</f>
        <v>254.5</v>
      </c>
      <c r="E1522" s="14">
        <f>IFERROR(__xludf.DUMMYFUNCTION("GOOGLEFINANCE(A1522,""LOW"")"),250.0)</f>
        <v>250</v>
      </c>
      <c r="F1522" s="15" t="str">
        <f t="shared" si="8"/>
        <v/>
      </c>
      <c r="G1522" s="16">
        <f>IFERROR(__xludf.DUMMYFUNCTION("GOOGLEFINANCE(A1522,""CLOSEYEST"")"),250.5)</f>
        <v>250.5</v>
      </c>
      <c r="H1522" s="17" t="str">
        <f t="shared" si="14"/>
        <v/>
      </c>
      <c r="I1522" s="18">
        <f t="shared" si="9"/>
        <v>251.6666667</v>
      </c>
      <c r="J1522" s="19">
        <f t="shared" si="10"/>
        <v>253.3333333</v>
      </c>
      <c r="K1522" s="19"/>
      <c r="L1522" s="19">
        <f t="shared" si="11"/>
        <v>248.8333333</v>
      </c>
      <c r="M1522" s="19">
        <f t="shared" si="12"/>
        <v>256.1666667</v>
      </c>
      <c r="N1522" s="19">
        <f t="shared" si="13"/>
        <v>247.1666667</v>
      </c>
    </row>
    <row r="1523" ht="24.75" customHeight="1">
      <c r="A1523" s="21" t="s">
        <v>1486</v>
      </c>
      <c r="B1523" s="13" t="str">
        <f>IFERROR(__xludf.DUMMYFUNCTION("GOOGLEFINANCE(A1523,""PRICE"")"),"#N/A")</f>
        <v>#N/A</v>
      </c>
      <c r="C1523" s="14" t="str">
        <f>IFERROR(__xludf.DUMMYFUNCTION("GOOGLEFINANCE(A1523,""PRICEOPEN"")"),"#N/A")</f>
        <v>#N/A</v>
      </c>
      <c r="D1523" s="14" t="str">
        <f>IFERROR(__xludf.DUMMYFUNCTION("GOOGLEFINANCE(A1523,""HIGH"")"),"#N/A")</f>
        <v>#N/A</v>
      </c>
      <c r="E1523" s="14" t="str">
        <f>IFERROR(__xludf.DUMMYFUNCTION("GOOGLEFINANCE(A1523,""LOW"")"),"#N/A")</f>
        <v>#N/A</v>
      </c>
      <c r="F1523" s="15" t="str">
        <f t="shared" si="8"/>
        <v>#N/A</v>
      </c>
      <c r="G1523" s="16" t="str">
        <f>IFERROR(__xludf.DUMMYFUNCTION("GOOGLEFINANCE(A1523,""CLOSEYEST"")"),"#N/A")</f>
        <v>#N/A</v>
      </c>
      <c r="H1523" s="17" t="str">
        <f t="shared" si="14"/>
        <v>#N/A</v>
      </c>
      <c r="I1523" s="18" t="str">
        <f t="shared" si="9"/>
        <v>#N/A</v>
      </c>
      <c r="J1523" s="19" t="str">
        <f t="shared" si="10"/>
        <v>#N/A</v>
      </c>
      <c r="K1523" s="19"/>
      <c r="L1523" s="19" t="str">
        <f t="shared" si="11"/>
        <v>#N/A</v>
      </c>
      <c r="M1523" s="19" t="str">
        <f t="shared" si="12"/>
        <v>#N/A</v>
      </c>
      <c r="N1523" s="19" t="str">
        <f t="shared" si="13"/>
        <v>#N/A</v>
      </c>
    </row>
    <row r="1524" ht="24.75" customHeight="1">
      <c r="A1524" s="21" t="s">
        <v>1487</v>
      </c>
      <c r="B1524" s="13">
        <f>IFERROR(__xludf.DUMMYFUNCTION("GOOGLEFINANCE(A1524,""PRICE"")"),29.32)</f>
        <v>29.32</v>
      </c>
      <c r="C1524" s="14">
        <f>IFERROR(__xludf.DUMMYFUNCTION("GOOGLEFINANCE(A1524,""PRICEOPEN"")"),27.35)</f>
        <v>27.35</v>
      </c>
      <c r="D1524" s="14">
        <f>IFERROR(__xludf.DUMMYFUNCTION("GOOGLEFINANCE(A1524,""HIGH"")"),29.32)</f>
        <v>29.32</v>
      </c>
      <c r="E1524" s="14">
        <f>IFERROR(__xludf.DUMMYFUNCTION("GOOGLEFINANCE(A1524,""LOW"")"),27.25)</f>
        <v>27.25</v>
      </c>
      <c r="F1524" s="15" t="str">
        <f t="shared" si="8"/>
        <v/>
      </c>
      <c r="G1524" s="16">
        <f>IFERROR(__xludf.DUMMYFUNCTION("GOOGLEFINANCE(A1524,""CLOSEYEST"")"),27.93)</f>
        <v>27.93</v>
      </c>
      <c r="H1524" s="17" t="str">
        <f t="shared" si="14"/>
        <v>GAP DOWN</v>
      </c>
      <c r="I1524" s="18">
        <f t="shared" si="9"/>
        <v>28.16666667</v>
      </c>
      <c r="J1524" s="19">
        <f t="shared" si="10"/>
        <v>29.08333333</v>
      </c>
      <c r="K1524" s="19"/>
      <c r="L1524" s="19">
        <f t="shared" si="11"/>
        <v>27.01333333</v>
      </c>
      <c r="M1524" s="19">
        <f t="shared" si="12"/>
        <v>30.23666667</v>
      </c>
      <c r="N1524" s="19">
        <f t="shared" si="13"/>
        <v>26.09666667</v>
      </c>
    </row>
    <row r="1525" ht="24.75" customHeight="1">
      <c r="A1525" s="21" t="s">
        <v>1488</v>
      </c>
      <c r="B1525" s="13" t="str">
        <f>IFERROR(__xludf.DUMMYFUNCTION("GOOGLEFINANCE(A1525,""PRICE"")"),"#N/A")</f>
        <v>#N/A</v>
      </c>
      <c r="C1525" s="14" t="str">
        <f>IFERROR(__xludf.DUMMYFUNCTION("GOOGLEFINANCE(A1525,""PRICEOPEN"")"),"#N/A")</f>
        <v>#N/A</v>
      </c>
      <c r="D1525" s="14" t="str">
        <f>IFERROR(__xludf.DUMMYFUNCTION("GOOGLEFINANCE(A1525,""HIGH"")"),"#N/A")</f>
        <v>#N/A</v>
      </c>
      <c r="E1525" s="14" t="str">
        <f>IFERROR(__xludf.DUMMYFUNCTION("GOOGLEFINANCE(A1525,""LOW"")"),"#N/A")</f>
        <v>#N/A</v>
      </c>
      <c r="F1525" s="15" t="str">
        <f t="shared" si="8"/>
        <v>#N/A</v>
      </c>
      <c r="G1525" s="16" t="str">
        <f>IFERROR(__xludf.DUMMYFUNCTION("GOOGLEFINANCE(A1525,""CLOSEYEST"")"),"#N/A")</f>
        <v>#N/A</v>
      </c>
      <c r="H1525" s="17" t="str">
        <f t="shared" si="14"/>
        <v>#N/A</v>
      </c>
      <c r="I1525" s="18" t="str">
        <f t="shared" si="9"/>
        <v>#N/A</v>
      </c>
      <c r="J1525" s="19" t="str">
        <f t="shared" si="10"/>
        <v>#N/A</v>
      </c>
      <c r="K1525" s="19"/>
      <c r="L1525" s="19" t="str">
        <f t="shared" si="11"/>
        <v>#N/A</v>
      </c>
      <c r="M1525" s="19" t="str">
        <f t="shared" si="12"/>
        <v>#N/A</v>
      </c>
      <c r="N1525" s="19" t="str">
        <f t="shared" si="13"/>
        <v>#N/A</v>
      </c>
    </row>
    <row r="1526" ht="24.75" customHeight="1">
      <c r="A1526" s="21" t="s">
        <v>1489</v>
      </c>
      <c r="B1526" s="13">
        <f>IFERROR(__xludf.DUMMYFUNCTION("GOOGLEFINANCE(A1526,""PRICE"")"),70.27)</f>
        <v>70.27</v>
      </c>
      <c r="C1526" s="14">
        <f>IFERROR(__xludf.DUMMYFUNCTION("GOOGLEFINANCE(A1526,""PRICEOPEN"")"),71.59)</f>
        <v>71.59</v>
      </c>
      <c r="D1526" s="14">
        <f>IFERROR(__xludf.DUMMYFUNCTION("GOOGLEFINANCE(A1526,""HIGH"")"),72.94)</f>
        <v>72.94</v>
      </c>
      <c r="E1526" s="14">
        <f>IFERROR(__xludf.DUMMYFUNCTION("GOOGLEFINANCE(A1526,""LOW"")"),70.02)</f>
        <v>70.02</v>
      </c>
      <c r="F1526" s="15" t="str">
        <f t="shared" si="8"/>
        <v/>
      </c>
      <c r="G1526" s="16">
        <f>IFERROR(__xludf.DUMMYFUNCTION("GOOGLEFINANCE(A1526,""CLOSEYEST"")"),71.53)</f>
        <v>71.53</v>
      </c>
      <c r="H1526" s="17" t="str">
        <f t="shared" si="14"/>
        <v/>
      </c>
      <c r="I1526" s="18">
        <f t="shared" si="9"/>
        <v>71.49666667</v>
      </c>
      <c r="J1526" s="19">
        <f t="shared" si="10"/>
        <v>72.97333333</v>
      </c>
      <c r="K1526" s="19"/>
      <c r="L1526" s="19">
        <f t="shared" si="11"/>
        <v>70.05333333</v>
      </c>
      <c r="M1526" s="19">
        <f t="shared" si="12"/>
        <v>74.41666667</v>
      </c>
      <c r="N1526" s="19">
        <f t="shared" si="13"/>
        <v>68.57666667</v>
      </c>
    </row>
    <row r="1527" ht="24.75" customHeight="1">
      <c r="A1527" s="21" t="s">
        <v>1490</v>
      </c>
      <c r="B1527" s="13">
        <f>IFERROR(__xludf.DUMMYFUNCTION("GOOGLEFINANCE(A1527,""PRICE"")"),192.6)</f>
        <v>192.6</v>
      </c>
      <c r="C1527" s="14">
        <f>IFERROR(__xludf.DUMMYFUNCTION("GOOGLEFINANCE(A1527,""PRICEOPEN"")"),190.0)</f>
        <v>190</v>
      </c>
      <c r="D1527" s="14">
        <f>IFERROR(__xludf.DUMMYFUNCTION("GOOGLEFINANCE(A1527,""HIGH"")"),198.69)</f>
        <v>198.69</v>
      </c>
      <c r="E1527" s="14">
        <f>IFERROR(__xludf.DUMMYFUNCTION("GOOGLEFINANCE(A1527,""LOW"")"),188.1)</f>
        <v>188.1</v>
      </c>
      <c r="F1527" s="15" t="str">
        <f t="shared" si="8"/>
        <v/>
      </c>
      <c r="G1527" s="16">
        <f>IFERROR(__xludf.DUMMYFUNCTION("GOOGLEFINANCE(A1527,""CLOSEYEST"")"),191.41)</f>
        <v>191.41</v>
      </c>
      <c r="H1527" s="17" t="str">
        <f t="shared" si="14"/>
        <v/>
      </c>
      <c r="I1527" s="18">
        <f t="shared" si="9"/>
        <v>192.7333333</v>
      </c>
      <c r="J1527" s="19">
        <f t="shared" si="10"/>
        <v>197.3666667</v>
      </c>
      <c r="K1527" s="19"/>
      <c r="L1527" s="19">
        <f t="shared" si="11"/>
        <v>186.7766667</v>
      </c>
      <c r="M1527" s="19">
        <f t="shared" si="12"/>
        <v>203.3233333</v>
      </c>
      <c r="N1527" s="19">
        <f t="shared" si="13"/>
        <v>182.1433333</v>
      </c>
    </row>
    <row r="1528" ht="24.75" customHeight="1">
      <c r="A1528" s="21" t="s">
        <v>1491</v>
      </c>
      <c r="B1528" s="13">
        <f>IFERROR(__xludf.DUMMYFUNCTION("GOOGLEFINANCE(A1528,""PRICE"")"),33.99)</f>
        <v>33.99</v>
      </c>
      <c r="C1528" s="14">
        <f>IFERROR(__xludf.DUMMYFUNCTION("GOOGLEFINANCE(A1528,""PRICEOPEN"")"),34.0)</f>
        <v>34</v>
      </c>
      <c r="D1528" s="14">
        <f>IFERROR(__xludf.DUMMYFUNCTION("GOOGLEFINANCE(A1528,""HIGH"")"),34.0)</f>
        <v>34</v>
      </c>
      <c r="E1528" s="14">
        <f>IFERROR(__xludf.DUMMYFUNCTION("GOOGLEFINANCE(A1528,""LOW"")"),33.2)</f>
        <v>33.2</v>
      </c>
      <c r="F1528" s="15" t="str">
        <f t="shared" si="8"/>
        <v>SELL</v>
      </c>
      <c r="G1528" s="16">
        <f>IFERROR(__xludf.DUMMYFUNCTION("GOOGLEFINANCE(A1528,""CLOSEYEST"")"),33.99)</f>
        <v>33.99</v>
      </c>
      <c r="H1528" s="17" t="str">
        <f t="shared" si="14"/>
        <v/>
      </c>
      <c r="I1528" s="18">
        <f t="shared" si="9"/>
        <v>33.73</v>
      </c>
      <c r="J1528" s="19">
        <f t="shared" si="10"/>
        <v>34.26</v>
      </c>
      <c r="K1528" s="19"/>
      <c r="L1528" s="19">
        <f t="shared" si="11"/>
        <v>33.46</v>
      </c>
      <c r="M1528" s="19">
        <f t="shared" si="12"/>
        <v>34.53</v>
      </c>
      <c r="N1528" s="19">
        <f t="shared" si="13"/>
        <v>32.93</v>
      </c>
    </row>
    <row r="1529" ht="24.75" customHeight="1">
      <c r="A1529" s="21" t="s">
        <v>1492</v>
      </c>
      <c r="B1529" s="13">
        <f>IFERROR(__xludf.DUMMYFUNCTION("GOOGLEFINANCE(A1529,""PRICE"")"),120.0)</f>
        <v>120</v>
      </c>
      <c r="C1529" s="14">
        <f>IFERROR(__xludf.DUMMYFUNCTION("GOOGLEFINANCE(A1529,""PRICEOPEN"")"),124.29)</f>
        <v>124.29</v>
      </c>
      <c r="D1529" s="14">
        <f>IFERROR(__xludf.DUMMYFUNCTION("GOOGLEFINANCE(A1529,""HIGH"")"),124.99)</f>
        <v>124.99</v>
      </c>
      <c r="E1529" s="14">
        <f>IFERROR(__xludf.DUMMYFUNCTION("GOOGLEFINANCE(A1529,""LOW"")"),120.0)</f>
        <v>120</v>
      </c>
      <c r="F1529" s="15" t="str">
        <f t="shared" si="8"/>
        <v/>
      </c>
      <c r="G1529" s="16">
        <f>IFERROR(__xludf.DUMMYFUNCTION("GOOGLEFINANCE(A1529,""CLOSEYEST"")"),122.81)</f>
        <v>122.81</v>
      </c>
      <c r="H1529" s="17" t="str">
        <f t="shared" si="14"/>
        <v>GAP UP</v>
      </c>
      <c r="I1529" s="18">
        <f t="shared" si="9"/>
        <v>122.6</v>
      </c>
      <c r="J1529" s="19">
        <f t="shared" si="10"/>
        <v>125.2</v>
      </c>
      <c r="K1529" s="19"/>
      <c r="L1529" s="19">
        <f t="shared" si="11"/>
        <v>120.21</v>
      </c>
      <c r="M1529" s="19">
        <f t="shared" si="12"/>
        <v>127.59</v>
      </c>
      <c r="N1529" s="19">
        <f t="shared" si="13"/>
        <v>117.61</v>
      </c>
    </row>
    <row r="1530" ht="24.75" customHeight="1">
      <c r="A1530" s="21" t="s">
        <v>1493</v>
      </c>
      <c r="B1530" s="13">
        <f>IFERROR(__xludf.DUMMYFUNCTION("GOOGLEFINANCE(A1530,""PRICE"")"),37.4)</f>
        <v>37.4</v>
      </c>
      <c r="C1530" s="14">
        <f>IFERROR(__xludf.DUMMYFUNCTION("GOOGLEFINANCE(A1530,""PRICEOPEN"")"),36.0)</f>
        <v>36</v>
      </c>
      <c r="D1530" s="14">
        <f>IFERROR(__xludf.DUMMYFUNCTION("GOOGLEFINANCE(A1530,""HIGH"")"),37.4)</f>
        <v>37.4</v>
      </c>
      <c r="E1530" s="14">
        <f>IFERROR(__xludf.DUMMYFUNCTION("GOOGLEFINANCE(A1530,""LOW"")"),35.76)</f>
        <v>35.76</v>
      </c>
      <c r="F1530" s="15" t="str">
        <f t="shared" si="8"/>
        <v/>
      </c>
      <c r="G1530" s="16">
        <f>IFERROR(__xludf.DUMMYFUNCTION("GOOGLEFINANCE(A1530,""CLOSEYEST"")"),35.75)</f>
        <v>35.75</v>
      </c>
      <c r="H1530" s="17" t="str">
        <f t="shared" si="14"/>
        <v/>
      </c>
      <c r="I1530" s="18">
        <f t="shared" si="9"/>
        <v>36.30333333</v>
      </c>
      <c r="J1530" s="19">
        <f t="shared" si="10"/>
        <v>36.84666667</v>
      </c>
      <c r="K1530" s="19"/>
      <c r="L1530" s="19">
        <f t="shared" si="11"/>
        <v>35.20666667</v>
      </c>
      <c r="M1530" s="19">
        <f t="shared" si="12"/>
        <v>37.94333333</v>
      </c>
      <c r="N1530" s="19">
        <f t="shared" si="13"/>
        <v>34.66333333</v>
      </c>
    </row>
    <row r="1531" ht="24.75" customHeight="1">
      <c r="A1531" s="21" t="s">
        <v>1494</v>
      </c>
      <c r="B1531" s="13">
        <f>IFERROR(__xludf.DUMMYFUNCTION("GOOGLEFINANCE(A1531,""PRICE"")"),27.74)</f>
        <v>27.74</v>
      </c>
      <c r="C1531" s="14">
        <f>IFERROR(__xludf.DUMMYFUNCTION("GOOGLEFINANCE(A1531,""PRICEOPEN"")"),29.2)</f>
        <v>29.2</v>
      </c>
      <c r="D1531" s="14">
        <f>IFERROR(__xludf.DUMMYFUNCTION("GOOGLEFINANCE(A1531,""HIGH"")"),29.5)</f>
        <v>29.5</v>
      </c>
      <c r="E1531" s="14">
        <f>IFERROR(__xludf.DUMMYFUNCTION("GOOGLEFINANCE(A1531,""LOW"")"),27.74)</f>
        <v>27.74</v>
      </c>
      <c r="F1531" s="15" t="str">
        <f t="shared" si="8"/>
        <v/>
      </c>
      <c r="G1531" s="16">
        <f>IFERROR(__xludf.DUMMYFUNCTION("GOOGLEFINANCE(A1531,""CLOSEYEST"")"),29.2)</f>
        <v>29.2</v>
      </c>
      <c r="H1531" s="17" t="str">
        <f t="shared" si="14"/>
        <v/>
      </c>
      <c r="I1531" s="18">
        <f t="shared" si="9"/>
        <v>28.81333333</v>
      </c>
      <c r="J1531" s="19">
        <f t="shared" si="10"/>
        <v>29.88666667</v>
      </c>
      <c r="K1531" s="19"/>
      <c r="L1531" s="19">
        <f t="shared" si="11"/>
        <v>28.12666667</v>
      </c>
      <c r="M1531" s="19">
        <f t="shared" si="12"/>
        <v>30.57333333</v>
      </c>
      <c r="N1531" s="19">
        <f t="shared" si="13"/>
        <v>27.05333333</v>
      </c>
    </row>
    <row r="1532" ht="24.75" customHeight="1">
      <c r="A1532" s="21" t="s">
        <v>1495</v>
      </c>
      <c r="B1532" s="13">
        <f>IFERROR(__xludf.DUMMYFUNCTION("GOOGLEFINANCE(A1532,""PRICE"")"),1025.0)</f>
        <v>1025</v>
      </c>
      <c r="C1532" s="14">
        <f>IFERROR(__xludf.DUMMYFUNCTION("GOOGLEFINANCE(A1532,""PRICEOPEN"")"),1039.5)</f>
        <v>1039.5</v>
      </c>
      <c r="D1532" s="14">
        <f>IFERROR(__xludf.DUMMYFUNCTION("GOOGLEFINANCE(A1532,""HIGH"")"),1039.5)</f>
        <v>1039.5</v>
      </c>
      <c r="E1532" s="14">
        <f>IFERROR(__xludf.DUMMYFUNCTION("GOOGLEFINANCE(A1532,""LOW"")"),1025.0)</f>
        <v>1025</v>
      </c>
      <c r="F1532" s="15" t="str">
        <f t="shared" si="8"/>
        <v>SELL</v>
      </c>
      <c r="G1532" s="16">
        <f>IFERROR(__xludf.DUMMYFUNCTION("GOOGLEFINANCE(A1532,""CLOSEYEST"")"),1039.5)</f>
        <v>1039.5</v>
      </c>
      <c r="H1532" s="17" t="str">
        <f t="shared" si="14"/>
        <v/>
      </c>
      <c r="I1532" s="18">
        <f t="shared" si="9"/>
        <v>1034.666667</v>
      </c>
      <c r="J1532" s="19">
        <f t="shared" si="10"/>
        <v>1044.333333</v>
      </c>
      <c r="K1532" s="19"/>
      <c r="L1532" s="19">
        <f t="shared" si="11"/>
        <v>1029.833333</v>
      </c>
      <c r="M1532" s="19">
        <f t="shared" si="12"/>
        <v>1049.166667</v>
      </c>
      <c r="N1532" s="19">
        <f t="shared" si="13"/>
        <v>1020.166667</v>
      </c>
    </row>
    <row r="1533" ht="24.75" customHeight="1">
      <c r="A1533" s="21" t="s">
        <v>1496</v>
      </c>
      <c r="B1533" s="13">
        <f>IFERROR(__xludf.DUMMYFUNCTION("GOOGLEFINANCE(A1533,""PRICE"")"),82.22)</f>
        <v>82.22</v>
      </c>
      <c r="C1533" s="14">
        <f>IFERROR(__xludf.DUMMYFUNCTION("GOOGLEFINANCE(A1533,""PRICEOPEN"")"),83.0)</f>
        <v>83</v>
      </c>
      <c r="D1533" s="14">
        <f>IFERROR(__xludf.DUMMYFUNCTION("GOOGLEFINANCE(A1533,""HIGH"")"),83.0)</f>
        <v>83</v>
      </c>
      <c r="E1533" s="14">
        <f>IFERROR(__xludf.DUMMYFUNCTION("GOOGLEFINANCE(A1533,""LOW"")"),82.22)</f>
        <v>82.22</v>
      </c>
      <c r="F1533" s="15" t="str">
        <f t="shared" si="8"/>
        <v>SELL</v>
      </c>
      <c r="G1533" s="16">
        <f>IFERROR(__xludf.DUMMYFUNCTION("GOOGLEFINANCE(A1533,""CLOSEYEST"")"),83.9)</f>
        <v>83.9</v>
      </c>
      <c r="H1533" s="17" t="str">
        <f t="shared" si="14"/>
        <v>GAP DOWN</v>
      </c>
      <c r="I1533" s="18">
        <f t="shared" si="9"/>
        <v>83.04</v>
      </c>
      <c r="J1533" s="19">
        <f t="shared" si="10"/>
        <v>83.86</v>
      </c>
      <c r="K1533" s="19"/>
      <c r="L1533" s="19">
        <f t="shared" si="11"/>
        <v>83.08</v>
      </c>
      <c r="M1533" s="19">
        <f t="shared" si="12"/>
        <v>83.82</v>
      </c>
      <c r="N1533" s="19">
        <f t="shared" si="13"/>
        <v>82.26</v>
      </c>
    </row>
    <row r="1534" ht="24.75" customHeight="1">
      <c r="A1534" s="21" t="s">
        <v>1497</v>
      </c>
      <c r="B1534" s="13">
        <f>IFERROR(__xludf.DUMMYFUNCTION("GOOGLEFINANCE(A1534,""PRICE"")"),47.16)</f>
        <v>47.16</v>
      </c>
      <c r="C1534" s="14">
        <f>IFERROR(__xludf.DUMMYFUNCTION("GOOGLEFINANCE(A1534,""PRICEOPEN"")"),47.1)</f>
        <v>47.1</v>
      </c>
      <c r="D1534" s="14">
        <f>IFERROR(__xludf.DUMMYFUNCTION("GOOGLEFINANCE(A1534,""HIGH"")"),49.0)</f>
        <v>49</v>
      </c>
      <c r="E1534" s="14">
        <f>IFERROR(__xludf.DUMMYFUNCTION("GOOGLEFINANCE(A1534,""LOW"")"),46.0)</f>
        <v>46</v>
      </c>
      <c r="F1534" s="15" t="str">
        <f t="shared" si="8"/>
        <v/>
      </c>
      <c r="G1534" s="16">
        <f>IFERROR(__xludf.DUMMYFUNCTION("GOOGLEFINANCE(A1534,""CLOSEYEST"")"),46.4)</f>
        <v>46.4</v>
      </c>
      <c r="H1534" s="17" t="str">
        <f t="shared" si="14"/>
        <v>GAP UP</v>
      </c>
      <c r="I1534" s="18">
        <f t="shared" si="9"/>
        <v>47.13333333</v>
      </c>
      <c r="J1534" s="19">
        <f t="shared" si="10"/>
        <v>48.26666667</v>
      </c>
      <c r="K1534" s="19"/>
      <c r="L1534" s="19">
        <f t="shared" si="11"/>
        <v>45.26666667</v>
      </c>
      <c r="M1534" s="19">
        <f t="shared" si="12"/>
        <v>50.13333333</v>
      </c>
      <c r="N1534" s="19">
        <f t="shared" si="13"/>
        <v>44.13333333</v>
      </c>
    </row>
    <row r="1535" ht="24.75" customHeight="1">
      <c r="A1535" s="21" t="s">
        <v>1498</v>
      </c>
      <c r="B1535" s="13">
        <f>IFERROR(__xludf.DUMMYFUNCTION("GOOGLEFINANCE(A1535,""PRICE"")"),187.0)</f>
        <v>187</v>
      </c>
      <c r="C1535" s="14">
        <f>IFERROR(__xludf.DUMMYFUNCTION("GOOGLEFINANCE(A1535,""PRICEOPEN"")"),185.05)</f>
        <v>185.05</v>
      </c>
      <c r="D1535" s="14">
        <f>IFERROR(__xludf.DUMMYFUNCTION("GOOGLEFINANCE(A1535,""HIGH"")"),190.73)</f>
        <v>190.73</v>
      </c>
      <c r="E1535" s="14">
        <f>IFERROR(__xludf.DUMMYFUNCTION("GOOGLEFINANCE(A1535,""LOW"")"),185.05)</f>
        <v>185.05</v>
      </c>
      <c r="F1535" s="15" t="str">
        <f t="shared" si="8"/>
        <v>BUY</v>
      </c>
      <c r="G1535" s="16">
        <f>IFERROR(__xludf.DUMMYFUNCTION("GOOGLEFINANCE(A1535,""CLOSEYEST"")"),186.01)</f>
        <v>186.01</v>
      </c>
      <c r="H1535" s="17" t="str">
        <f t="shared" si="14"/>
        <v/>
      </c>
      <c r="I1535" s="18">
        <f t="shared" si="9"/>
        <v>187.2633333</v>
      </c>
      <c r="J1535" s="19">
        <f t="shared" si="10"/>
        <v>189.4766667</v>
      </c>
      <c r="K1535" s="19"/>
      <c r="L1535" s="19">
        <f t="shared" si="11"/>
        <v>183.7966667</v>
      </c>
      <c r="M1535" s="19">
        <f t="shared" si="12"/>
        <v>192.9433333</v>
      </c>
      <c r="N1535" s="19">
        <f t="shared" si="13"/>
        <v>181.5833333</v>
      </c>
    </row>
    <row r="1536" ht="24.75" customHeight="1">
      <c r="A1536" s="21" t="s">
        <v>1499</v>
      </c>
      <c r="B1536" s="13">
        <f>IFERROR(__xludf.DUMMYFUNCTION("GOOGLEFINANCE(A1536,""PRICE"")"),36.9)</f>
        <v>36.9</v>
      </c>
      <c r="C1536" s="14">
        <f>IFERROR(__xludf.DUMMYFUNCTION("GOOGLEFINANCE(A1536,""PRICEOPEN"")"),35.49)</f>
        <v>35.49</v>
      </c>
      <c r="D1536" s="14">
        <f>IFERROR(__xludf.DUMMYFUNCTION("GOOGLEFINANCE(A1536,""HIGH"")"),37.47)</f>
        <v>37.47</v>
      </c>
      <c r="E1536" s="14">
        <f>IFERROR(__xludf.DUMMYFUNCTION("GOOGLEFINANCE(A1536,""LOW"")"),34.22)</f>
        <v>34.22</v>
      </c>
      <c r="F1536" s="15" t="str">
        <f t="shared" si="8"/>
        <v/>
      </c>
      <c r="G1536" s="16">
        <f>IFERROR(__xludf.DUMMYFUNCTION("GOOGLEFINANCE(A1536,""CLOSEYEST"")"),35.69)</f>
        <v>35.69</v>
      </c>
      <c r="H1536" s="17" t="str">
        <f t="shared" si="14"/>
        <v/>
      </c>
      <c r="I1536" s="18">
        <f t="shared" si="9"/>
        <v>35.79333333</v>
      </c>
      <c r="J1536" s="19">
        <f t="shared" si="10"/>
        <v>37.36666667</v>
      </c>
      <c r="K1536" s="19"/>
      <c r="L1536" s="19">
        <f t="shared" si="11"/>
        <v>34.11666667</v>
      </c>
      <c r="M1536" s="19">
        <f t="shared" si="12"/>
        <v>39.04333333</v>
      </c>
      <c r="N1536" s="19">
        <f t="shared" si="13"/>
        <v>32.54333333</v>
      </c>
    </row>
    <row r="1537" ht="24.75" customHeight="1">
      <c r="A1537" s="21" t="s">
        <v>1500</v>
      </c>
      <c r="B1537" s="13">
        <f>IFERROR(__xludf.DUMMYFUNCTION("GOOGLEFINANCE(A1537,""PRICE"")"),129.65)</f>
        <v>129.65</v>
      </c>
      <c r="C1537" s="14">
        <f>IFERROR(__xludf.DUMMYFUNCTION("GOOGLEFINANCE(A1537,""PRICEOPEN"")"),123.1)</f>
        <v>123.1</v>
      </c>
      <c r="D1537" s="14">
        <f>IFERROR(__xludf.DUMMYFUNCTION("GOOGLEFINANCE(A1537,""HIGH"")"),129.75)</f>
        <v>129.75</v>
      </c>
      <c r="E1537" s="14">
        <f>IFERROR(__xludf.DUMMYFUNCTION("GOOGLEFINANCE(A1537,""LOW"")"),122.9)</f>
        <v>122.9</v>
      </c>
      <c r="F1537" s="15" t="str">
        <f t="shared" si="8"/>
        <v/>
      </c>
      <c r="G1537" s="16">
        <f>IFERROR(__xludf.DUMMYFUNCTION("GOOGLEFINANCE(A1537,""CLOSEYEST"")"),121.86)</f>
        <v>121.86</v>
      </c>
      <c r="H1537" s="17" t="str">
        <f t="shared" si="14"/>
        <v>GAP UP</v>
      </c>
      <c r="I1537" s="18">
        <f t="shared" si="9"/>
        <v>124.8366667</v>
      </c>
      <c r="J1537" s="19">
        <f t="shared" si="10"/>
        <v>126.7733333</v>
      </c>
      <c r="K1537" s="19"/>
      <c r="L1537" s="19">
        <f t="shared" si="11"/>
        <v>119.9233333</v>
      </c>
      <c r="M1537" s="19">
        <f t="shared" si="12"/>
        <v>131.6866667</v>
      </c>
      <c r="N1537" s="19">
        <f t="shared" si="13"/>
        <v>117.9866667</v>
      </c>
    </row>
    <row r="1538" ht="24.75" customHeight="1">
      <c r="A1538" s="21" t="s">
        <v>1501</v>
      </c>
      <c r="B1538" s="13">
        <f>IFERROR(__xludf.DUMMYFUNCTION("GOOGLEFINANCE(A1538,""PRICE"")"),53.1)</f>
        <v>53.1</v>
      </c>
      <c r="C1538" s="14">
        <f>IFERROR(__xludf.DUMMYFUNCTION("GOOGLEFINANCE(A1538,""PRICEOPEN"")"),51.88)</f>
        <v>51.88</v>
      </c>
      <c r="D1538" s="14">
        <f>IFERROR(__xludf.DUMMYFUNCTION("GOOGLEFINANCE(A1538,""HIGH"")"),53.1)</f>
        <v>53.1</v>
      </c>
      <c r="E1538" s="14">
        <f>IFERROR(__xludf.DUMMYFUNCTION("GOOGLEFINANCE(A1538,""LOW"")"),51.23)</f>
        <v>51.23</v>
      </c>
      <c r="F1538" s="15" t="str">
        <f t="shared" si="8"/>
        <v/>
      </c>
      <c r="G1538" s="16">
        <f>IFERROR(__xludf.DUMMYFUNCTION("GOOGLEFINANCE(A1538,""CLOSEYEST"")"),52.23)</f>
        <v>52.23</v>
      </c>
      <c r="H1538" s="17" t="str">
        <f t="shared" si="14"/>
        <v/>
      </c>
      <c r="I1538" s="18">
        <f t="shared" si="9"/>
        <v>52.18666667</v>
      </c>
      <c r="J1538" s="19">
        <f t="shared" si="10"/>
        <v>53.14333333</v>
      </c>
      <c r="K1538" s="19"/>
      <c r="L1538" s="19">
        <f t="shared" si="11"/>
        <v>51.27333333</v>
      </c>
      <c r="M1538" s="19">
        <f t="shared" si="12"/>
        <v>54.05666667</v>
      </c>
      <c r="N1538" s="19">
        <f t="shared" si="13"/>
        <v>50.31666667</v>
      </c>
    </row>
    <row r="1539" ht="24.75" customHeight="1">
      <c r="A1539" s="21" t="s">
        <v>1502</v>
      </c>
      <c r="B1539" s="13">
        <f>IFERROR(__xludf.DUMMYFUNCTION("GOOGLEFINANCE(A1539,""PRICE"")"),1.0)</f>
        <v>1</v>
      </c>
      <c r="C1539" s="14">
        <f>IFERROR(__xludf.DUMMYFUNCTION("GOOGLEFINANCE(A1539,""PRICEOPEN"")"),1.0)</f>
        <v>1</v>
      </c>
      <c r="D1539" s="14">
        <f>IFERROR(__xludf.DUMMYFUNCTION("GOOGLEFINANCE(A1539,""HIGH"")"),1.06)</f>
        <v>1.06</v>
      </c>
      <c r="E1539" s="14">
        <f>IFERROR(__xludf.DUMMYFUNCTION("GOOGLEFINANCE(A1539,""LOW"")"),0.97)</f>
        <v>0.97</v>
      </c>
      <c r="F1539" s="15" t="str">
        <f t="shared" si="8"/>
        <v/>
      </c>
      <c r="G1539" s="16">
        <f>IFERROR(__xludf.DUMMYFUNCTION("GOOGLEFINANCE(A1539,""CLOSEYEST"")"),0.99)</f>
        <v>0.99</v>
      </c>
      <c r="H1539" s="17" t="str">
        <f t="shared" si="14"/>
        <v>GAP UP</v>
      </c>
      <c r="I1539" s="18">
        <f t="shared" si="9"/>
        <v>1.006666667</v>
      </c>
      <c r="J1539" s="19">
        <f t="shared" si="10"/>
        <v>1.043333333</v>
      </c>
      <c r="K1539" s="19"/>
      <c r="L1539" s="19">
        <f t="shared" si="11"/>
        <v>0.9533333333</v>
      </c>
      <c r="M1539" s="19">
        <f t="shared" si="12"/>
        <v>1.096666667</v>
      </c>
      <c r="N1539" s="19">
        <f t="shared" si="13"/>
        <v>0.9166666667</v>
      </c>
    </row>
    <row r="1540" ht="24.75" customHeight="1">
      <c r="A1540" s="21" t="s">
        <v>1503</v>
      </c>
      <c r="B1540" s="13">
        <f>IFERROR(__xludf.DUMMYFUNCTION("GOOGLEFINANCE(A1540,""PRICE"")"),73.08)</f>
        <v>73.08</v>
      </c>
      <c r="C1540" s="14">
        <f>IFERROR(__xludf.DUMMYFUNCTION("GOOGLEFINANCE(A1540,""PRICEOPEN"")"),72.25)</f>
        <v>72.25</v>
      </c>
      <c r="D1540" s="14">
        <f>IFERROR(__xludf.DUMMYFUNCTION("GOOGLEFINANCE(A1540,""HIGH"")"),73.08)</f>
        <v>73.08</v>
      </c>
      <c r="E1540" s="14">
        <f>IFERROR(__xludf.DUMMYFUNCTION("GOOGLEFINANCE(A1540,""LOW"")"),71.55)</f>
        <v>71.55</v>
      </c>
      <c r="F1540" s="15" t="str">
        <f t="shared" si="8"/>
        <v/>
      </c>
      <c r="G1540" s="16">
        <f>IFERROR(__xludf.DUMMYFUNCTION("GOOGLEFINANCE(A1540,""CLOSEYEST"")"),72.22)</f>
        <v>72.22</v>
      </c>
      <c r="H1540" s="17" t="str">
        <f t="shared" si="14"/>
        <v/>
      </c>
      <c r="I1540" s="18">
        <f t="shared" si="9"/>
        <v>72.28333333</v>
      </c>
      <c r="J1540" s="19">
        <f t="shared" si="10"/>
        <v>73.01666667</v>
      </c>
      <c r="K1540" s="19"/>
      <c r="L1540" s="19">
        <f t="shared" si="11"/>
        <v>71.48666667</v>
      </c>
      <c r="M1540" s="19">
        <f t="shared" si="12"/>
        <v>73.81333333</v>
      </c>
      <c r="N1540" s="19">
        <f t="shared" si="13"/>
        <v>70.75333333</v>
      </c>
    </row>
    <row r="1541" ht="24.75" customHeight="1">
      <c r="A1541" s="21" t="s">
        <v>1504</v>
      </c>
      <c r="B1541" s="13">
        <f>IFERROR(__xludf.DUMMYFUNCTION("GOOGLEFINANCE(A1541,""PRICE"")"),71.4)</f>
        <v>71.4</v>
      </c>
      <c r="C1541" s="14">
        <f>IFERROR(__xludf.DUMMYFUNCTION("GOOGLEFINANCE(A1541,""PRICEOPEN"")"),69.85)</f>
        <v>69.85</v>
      </c>
      <c r="D1541" s="14">
        <f>IFERROR(__xludf.DUMMYFUNCTION("GOOGLEFINANCE(A1541,""HIGH"")"),72.0)</f>
        <v>72</v>
      </c>
      <c r="E1541" s="14">
        <f>IFERROR(__xludf.DUMMYFUNCTION("GOOGLEFINANCE(A1541,""LOW"")"),69.52)</f>
        <v>69.52</v>
      </c>
      <c r="F1541" s="15" t="str">
        <f t="shared" si="8"/>
        <v/>
      </c>
      <c r="G1541" s="16">
        <f>IFERROR(__xludf.DUMMYFUNCTION("GOOGLEFINANCE(A1541,""CLOSEYEST"")"),69.85)</f>
        <v>69.85</v>
      </c>
      <c r="H1541" s="17" t="str">
        <f t="shared" si="14"/>
        <v/>
      </c>
      <c r="I1541" s="18">
        <f t="shared" si="9"/>
        <v>70.45666667</v>
      </c>
      <c r="J1541" s="19">
        <f t="shared" si="10"/>
        <v>71.39333333</v>
      </c>
      <c r="K1541" s="19"/>
      <c r="L1541" s="19">
        <f t="shared" si="11"/>
        <v>68.91333333</v>
      </c>
      <c r="M1541" s="19">
        <f t="shared" si="12"/>
        <v>72.93666667</v>
      </c>
      <c r="N1541" s="19">
        <f t="shared" si="13"/>
        <v>67.97666667</v>
      </c>
    </row>
    <row r="1542" ht="24.75" customHeight="1">
      <c r="A1542" s="21" t="s">
        <v>1505</v>
      </c>
      <c r="B1542" s="13" t="str">
        <f>IFERROR(__xludf.DUMMYFUNCTION("GOOGLEFINANCE(A1542,""PRICE"")"),"#N/A")</f>
        <v>#N/A</v>
      </c>
      <c r="C1542" s="14" t="str">
        <f>IFERROR(__xludf.DUMMYFUNCTION("GOOGLEFINANCE(A1542,""PRICEOPEN"")"),"#N/A")</f>
        <v>#N/A</v>
      </c>
      <c r="D1542" s="14" t="str">
        <f>IFERROR(__xludf.DUMMYFUNCTION("GOOGLEFINANCE(A1542,""HIGH"")"),"#N/A")</f>
        <v>#N/A</v>
      </c>
      <c r="E1542" s="14" t="str">
        <f>IFERROR(__xludf.DUMMYFUNCTION("GOOGLEFINANCE(A1542,""LOW"")"),"#N/A")</f>
        <v>#N/A</v>
      </c>
      <c r="F1542" s="15" t="str">
        <f t="shared" si="8"/>
        <v>#N/A</v>
      </c>
      <c r="G1542" s="16" t="str">
        <f>IFERROR(__xludf.DUMMYFUNCTION("GOOGLEFINANCE(A1542,""CLOSEYEST"")"),"#N/A")</f>
        <v>#N/A</v>
      </c>
      <c r="H1542" s="17" t="str">
        <f t="shared" si="14"/>
        <v>#N/A</v>
      </c>
      <c r="I1542" s="18" t="str">
        <f t="shared" si="9"/>
        <v>#N/A</v>
      </c>
      <c r="J1542" s="19" t="str">
        <f t="shared" si="10"/>
        <v>#N/A</v>
      </c>
      <c r="K1542" s="19"/>
      <c r="L1542" s="19" t="str">
        <f t="shared" si="11"/>
        <v>#N/A</v>
      </c>
      <c r="M1542" s="19" t="str">
        <f t="shared" si="12"/>
        <v>#N/A</v>
      </c>
      <c r="N1542" s="19" t="str">
        <f t="shared" si="13"/>
        <v>#N/A</v>
      </c>
    </row>
    <row r="1543" ht="24.75" customHeight="1">
      <c r="A1543" s="21" t="s">
        <v>1506</v>
      </c>
      <c r="B1543" s="13">
        <f>IFERROR(__xludf.DUMMYFUNCTION("GOOGLEFINANCE(A1543,""PRICE"")"),14.01)</f>
        <v>14.01</v>
      </c>
      <c r="C1543" s="14">
        <f>IFERROR(__xludf.DUMMYFUNCTION("GOOGLEFINANCE(A1543,""PRICEOPEN"")"),13.95)</f>
        <v>13.95</v>
      </c>
      <c r="D1543" s="14">
        <f>IFERROR(__xludf.DUMMYFUNCTION("GOOGLEFINANCE(A1543,""HIGH"")"),14.04)</f>
        <v>14.04</v>
      </c>
      <c r="E1543" s="14">
        <f>IFERROR(__xludf.DUMMYFUNCTION("GOOGLEFINANCE(A1543,""LOW"")"),13.95)</f>
        <v>13.95</v>
      </c>
      <c r="F1543" s="15" t="str">
        <f t="shared" si="8"/>
        <v>BUY</v>
      </c>
      <c r="G1543" s="16">
        <f>IFERROR(__xludf.DUMMYFUNCTION("GOOGLEFINANCE(A1543,""CLOSEYEST"")"),14.0)</f>
        <v>14</v>
      </c>
      <c r="H1543" s="17" t="str">
        <f t="shared" si="14"/>
        <v/>
      </c>
      <c r="I1543" s="18">
        <f t="shared" si="9"/>
        <v>13.99666667</v>
      </c>
      <c r="J1543" s="19">
        <f t="shared" si="10"/>
        <v>14.04333333</v>
      </c>
      <c r="K1543" s="19"/>
      <c r="L1543" s="19">
        <f t="shared" si="11"/>
        <v>13.95333333</v>
      </c>
      <c r="M1543" s="19">
        <f t="shared" si="12"/>
        <v>14.08666667</v>
      </c>
      <c r="N1543" s="19">
        <f t="shared" si="13"/>
        <v>13.90666667</v>
      </c>
    </row>
    <row r="1544" ht="24.75" customHeight="1">
      <c r="A1544" s="21" t="s">
        <v>1507</v>
      </c>
      <c r="B1544" s="13">
        <f>IFERROR(__xludf.DUMMYFUNCTION("GOOGLEFINANCE(A1544,""PRICE"")"),38.9)</f>
        <v>38.9</v>
      </c>
      <c r="C1544" s="14">
        <f>IFERROR(__xludf.DUMMYFUNCTION("GOOGLEFINANCE(A1544,""PRICEOPEN"")"),37.32)</f>
        <v>37.32</v>
      </c>
      <c r="D1544" s="14">
        <f>IFERROR(__xludf.DUMMYFUNCTION("GOOGLEFINANCE(A1544,""HIGH"")"),40.0)</f>
        <v>40</v>
      </c>
      <c r="E1544" s="14">
        <f>IFERROR(__xludf.DUMMYFUNCTION("GOOGLEFINANCE(A1544,""LOW"")"),37.32)</f>
        <v>37.32</v>
      </c>
      <c r="F1544" s="15" t="str">
        <f t="shared" si="8"/>
        <v>BUY</v>
      </c>
      <c r="G1544" s="16">
        <f>IFERROR(__xludf.DUMMYFUNCTION("GOOGLEFINANCE(A1544,""CLOSEYEST"")"),37.31)</f>
        <v>37.31</v>
      </c>
      <c r="H1544" s="17" t="str">
        <f t="shared" si="14"/>
        <v/>
      </c>
      <c r="I1544" s="18">
        <f t="shared" si="9"/>
        <v>38.21</v>
      </c>
      <c r="J1544" s="19">
        <f t="shared" si="10"/>
        <v>39.1</v>
      </c>
      <c r="K1544" s="19"/>
      <c r="L1544" s="19">
        <f t="shared" si="11"/>
        <v>36.42</v>
      </c>
      <c r="M1544" s="19">
        <f t="shared" si="12"/>
        <v>40.89</v>
      </c>
      <c r="N1544" s="19">
        <f t="shared" si="13"/>
        <v>35.53</v>
      </c>
    </row>
    <row r="1545" ht="24.75" customHeight="1">
      <c r="A1545" s="21" t="s">
        <v>1508</v>
      </c>
      <c r="B1545" s="13">
        <f>IFERROR(__xludf.DUMMYFUNCTION("GOOGLEFINANCE(A1545,""PRICE"")"),49.31)</f>
        <v>49.31</v>
      </c>
      <c r="C1545" s="14">
        <f>IFERROR(__xludf.DUMMYFUNCTION("GOOGLEFINANCE(A1545,""PRICEOPEN"")"),49.48)</f>
        <v>49.48</v>
      </c>
      <c r="D1545" s="14">
        <f>IFERROR(__xludf.DUMMYFUNCTION("GOOGLEFINANCE(A1545,""HIGH"")"),49.48)</f>
        <v>49.48</v>
      </c>
      <c r="E1545" s="14">
        <f>IFERROR(__xludf.DUMMYFUNCTION("GOOGLEFINANCE(A1545,""LOW"")"),49.48)</f>
        <v>49.48</v>
      </c>
      <c r="F1545" s="15" t="str">
        <f t="shared" si="8"/>
        <v>SELL</v>
      </c>
      <c r="G1545" s="16">
        <f>IFERROR(__xludf.DUMMYFUNCTION("GOOGLEFINANCE(A1545,""CLOSEYEST"")"),49.31)</f>
        <v>49.31</v>
      </c>
      <c r="H1545" s="17" t="str">
        <f t="shared" si="14"/>
        <v/>
      </c>
      <c r="I1545" s="18">
        <f t="shared" si="9"/>
        <v>49.42333333</v>
      </c>
      <c r="J1545" s="19">
        <f t="shared" si="10"/>
        <v>49.36666667</v>
      </c>
      <c r="K1545" s="19"/>
      <c r="L1545" s="19">
        <f t="shared" si="11"/>
        <v>49.36666667</v>
      </c>
      <c r="M1545" s="19">
        <f t="shared" si="12"/>
        <v>49.42333333</v>
      </c>
      <c r="N1545" s="19">
        <f t="shared" si="13"/>
        <v>49.42333333</v>
      </c>
    </row>
    <row r="1546" ht="24.75" customHeight="1">
      <c r="A1546" s="21" t="s">
        <v>1509</v>
      </c>
      <c r="B1546" s="13">
        <f>IFERROR(__xludf.DUMMYFUNCTION("GOOGLEFINANCE(A1546,""PRICE"")"),70.9)</f>
        <v>70.9</v>
      </c>
      <c r="C1546" s="14">
        <f>IFERROR(__xludf.DUMMYFUNCTION("GOOGLEFINANCE(A1546,""PRICEOPEN"")"),70.01)</f>
        <v>70.01</v>
      </c>
      <c r="D1546" s="14">
        <f>IFERROR(__xludf.DUMMYFUNCTION("GOOGLEFINANCE(A1546,""HIGH"")"),70.98)</f>
        <v>70.98</v>
      </c>
      <c r="E1546" s="14">
        <f>IFERROR(__xludf.DUMMYFUNCTION("GOOGLEFINANCE(A1546,""LOW"")"),70.0)</f>
        <v>70</v>
      </c>
      <c r="F1546" s="15" t="str">
        <f t="shared" si="8"/>
        <v/>
      </c>
      <c r="G1546" s="16">
        <f>IFERROR(__xludf.DUMMYFUNCTION("GOOGLEFINANCE(A1546,""CLOSEYEST"")"),70.0)</f>
        <v>70</v>
      </c>
      <c r="H1546" s="17" t="str">
        <f t="shared" si="14"/>
        <v/>
      </c>
      <c r="I1546" s="18">
        <f t="shared" si="9"/>
        <v>70.32666667</v>
      </c>
      <c r="J1546" s="19">
        <f t="shared" si="10"/>
        <v>70.65333333</v>
      </c>
      <c r="K1546" s="19"/>
      <c r="L1546" s="19">
        <f t="shared" si="11"/>
        <v>69.67333333</v>
      </c>
      <c r="M1546" s="19">
        <f t="shared" si="12"/>
        <v>71.30666667</v>
      </c>
      <c r="N1546" s="19">
        <f t="shared" si="13"/>
        <v>69.34666667</v>
      </c>
    </row>
    <row r="1547" ht="24.75" customHeight="1">
      <c r="A1547" s="21" t="s">
        <v>1510</v>
      </c>
      <c r="B1547" s="13">
        <f>IFERROR(__xludf.DUMMYFUNCTION("GOOGLEFINANCE(A1547,""PRICE"")"),136.5)</f>
        <v>136.5</v>
      </c>
      <c r="C1547" s="14">
        <f>IFERROR(__xludf.DUMMYFUNCTION("GOOGLEFINANCE(A1547,""PRICEOPEN"")"),131.45)</f>
        <v>131.45</v>
      </c>
      <c r="D1547" s="14">
        <f>IFERROR(__xludf.DUMMYFUNCTION("GOOGLEFINANCE(A1547,""HIGH"")"),138.8)</f>
        <v>138.8</v>
      </c>
      <c r="E1547" s="14">
        <f>IFERROR(__xludf.DUMMYFUNCTION("GOOGLEFINANCE(A1547,""LOW"")"),131.45)</f>
        <v>131.45</v>
      </c>
      <c r="F1547" s="15" t="str">
        <f t="shared" si="8"/>
        <v>BUY</v>
      </c>
      <c r="G1547" s="16">
        <f>IFERROR(__xludf.DUMMYFUNCTION("GOOGLEFINANCE(A1547,""CLOSEYEST"")"),132.23)</f>
        <v>132.23</v>
      </c>
      <c r="H1547" s="17" t="str">
        <f t="shared" si="14"/>
        <v/>
      </c>
      <c r="I1547" s="18">
        <f t="shared" si="9"/>
        <v>134.16</v>
      </c>
      <c r="J1547" s="19">
        <f t="shared" si="10"/>
        <v>136.87</v>
      </c>
      <c r="K1547" s="19"/>
      <c r="L1547" s="19">
        <f t="shared" si="11"/>
        <v>129.52</v>
      </c>
      <c r="M1547" s="19">
        <f t="shared" si="12"/>
        <v>141.51</v>
      </c>
      <c r="N1547" s="19">
        <f t="shared" si="13"/>
        <v>126.81</v>
      </c>
    </row>
    <row r="1548" ht="24.75" customHeight="1">
      <c r="A1548" s="21" t="s">
        <v>1511</v>
      </c>
      <c r="B1548" s="13" t="str">
        <f>IFERROR(__xludf.DUMMYFUNCTION("GOOGLEFINANCE(A1548,""PRICE"")"),"#N/A")</f>
        <v>#N/A</v>
      </c>
      <c r="C1548" s="14" t="str">
        <f>IFERROR(__xludf.DUMMYFUNCTION("GOOGLEFINANCE(A1548,""PRICEOPEN"")"),"#N/A")</f>
        <v>#N/A</v>
      </c>
      <c r="D1548" s="14" t="str">
        <f>IFERROR(__xludf.DUMMYFUNCTION("GOOGLEFINANCE(A1548,""HIGH"")"),"#N/A")</f>
        <v>#N/A</v>
      </c>
      <c r="E1548" s="14" t="str">
        <f>IFERROR(__xludf.DUMMYFUNCTION("GOOGLEFINANCE(A1548,""LOW"")"),"#N/A")</f>
        <v>#N/A</v>
      </c>
      <c r="F1548" s="15" t="str">
        <f t="shared" si="8"/>
        <v>#N/A</v>
      </c>
      <c r="G1548" s="16" t="str">
        <f>IFERROR(__xludf.DUMMYFUNCTION("GOOGLEFINANCE(A1548,""CLOSEYEST"")"),"#N/A")</f>
        <v>#N/A</v>
      </c>
      <c r="H1548" s="17" t="str">
        <f t="shared" si="14"/>
        <v>#N/A</v>
      </c>
      <c r="I1548" s="18" t="str">
        <f t="shared" si="9"/>
        <v>#N/A</v>
      </c>
      <c r="J1548" s="19" t="str">
        <f t="shared" si="10"/>
        <v>#N/A</v>
      </c>
      <c r="K1548" s="19"/>
      <c r="L1548" s="19" t="str">
        <f t="shared" si="11"/>
        <v>#N/A</v>
      </c>
      <c r="M1548" s="19" t="str">
        <f t="shared" si="12"/>
        <v>#N/A</v>
      </c>
      <c r="N1548" s="19" t="str">
        <f t="shared" si="13"/>
        <v>#N/A</v>
      </c>
    </row>
    <row r="1549" ht="24.75" customHeight="1">
      <c r="A1549" s="21" t="s">
        <v>1512</v>
      </c>
      <c r="B1549" s="13">
        <f>IFERROR(__xludf.DUMMYFUNCTION("GOOGLEFINANCE(A1549,""PRICE"")"),50.6)</f>
        <v>50.6</v>
      </c>
      <c r="C1549" s="14">
        <f>IFERROR(__xludf.DUMMYFUNCTION("GOOGLEFINANCE(A1549,""PRICEOPEN"")"),49.06)</f>
        <v>49.06</v>
      </c>
      <c r="D1549" s="14">
        <f>IFERROR(__xludf.DUMMYFUNCTION("GOOGLEFINANCE(A1549,""HIGH"")"),51.5)</f>
        <v>51.5</v>
      </c>
      <c r="E1549" s="14">
        <f>IFERROR(__xludf.DUMMYFUNCTION("GOOGLEFINANCE(A1549,""LOW"")"),49.06)</f>
        <v>49.06</v>
      </c>
      <c r="F1549" s="15" t="str">
        <f t="shared" si="8"/>
        <v>BUY</v>
      </c>
      <c r="G1549" s="16">
        <f>IFERROR(__xludf.DUMMYFUNCTION("GOOGLEFINANCE(A1549,""CLOSEYEST"")"),49.65)</f>
        <v>49.65</v>
      </c>
      <c r="H1549" s="17" t="str">
        <f t="shared" si="14"/>
        <v>GAP DOWN</v>
      </c>
      <c r="I1549" s="18">
        <f t="shared" si="9"/>
        <v>50.07</v>
      </c>
      <c r="J1549" s="19">
        <f t="shared" si="10"/>
        <v>51.08</v>
      </c>
      <c r="K1549" s="19"/>
      <c r="L1549" s="19">
        <f t="shared" si="11"/>
        <v>48.64</v>
      </c>
      <c r="M1549" s="19">
        <f t="shared" si="12"/>
        <v>52.51</v>
      </c>
      <c r="N1549" s="19">
        <f t="shared" si="13"/>
        <v>47.63</v>
      </c>
    </row>
    <row r="1550" ht="24.75" customHeight="1">
      <c r="A1550" s="21" t="s">
        <v>1513</v>
      </c>
      <c r="B1550" s="13">
        <f>IFERROR(__xludf.DUMMYFUNCTION("GOOGLEFINANCE(A1550,""PRICE"")"),1098.7)</f>
        <v>1098.7</v>
      </c>
      <c r="C1550" s="14">
        <f>IFERROR(__xludf.DUMMYFUNCTION("GOOGLEFINANCE(A1550,""PRICEOPEN"")"),1098.7)</f>
        <v>1098.7</v>
      </c>
      <c r="D1550" s="14">
        <f>IFERROR(__xludf.DUMMYFUNCTION("GOOGLEFINANCE(A1550,""HIGH"")"),1098.7)</f>
        <v>1098.7</v>
      </c>
      <c r="E1550" s="14">
        <f>IFERROR(__xludf.DUMMYFUNCTION("GOOGLEFINANCE(A1550,""LOW"")"),1098.7)</f>
        <v>1098.7</v>
      </c>
      <c r="F1550" s="15" t="str">
        <f t="shared" si="8"/>
        <v>SELL</v>
      </c>
      <c r="G1550" s="16">
        <f>IFERROR(__xludf.DUMMYFUNCTION("GOOGLEFINANCE(A1550,""CLOSEYEST"")"),1156.5)</f>
        <v>1156.5</v>
      </c>
      <c r="H1550" s="17" t="str">
        <f t="shared" si="14"/>
        <v>GAP DOWN</v>
      </c>
      <c r="I1550" s="18">
        <f t="shared" si="9"/>
        <v>1117.966667</v>
      </c>
      <c r="J1550" s="19">
        <f t="shared" si="10"/>
        <v>1137.233333</v>
      </c>
      <c r="K1550" s="19"/>
      <c r="L1550" s="19">
        <f t="shared" si="11"/>
        <v>1137.233333</v>
      </c>
      <c r="M1550" s="19">
        <f t="shared" si="12"/>
        <v>1117.966667</v>
      </c>
      <c r="N1550" s="19">
        <f t="shared" si="13"/>
        <v>1117.966667</v>
      </c>
    </row>
    <row r="1551" ht="24.75" customHeight="1">
      <c r="A1551" s="21" t="s">
        <v>1514</v>
      </c>
      <c r="B1551" s="13">
        <f>IFERROR(__xludf.DUMMYFUNCTION("GOOGLEFINANCE(A1551,""PRICE"")"),1.72)</f>
        <v>1.72</v>
      </c>
      <c r="C1551" s="14">
        <f>IFERROR(__xludf.DUMMYFUNCTION("GOOGLEFINANCE(A1551,""PRICEOPEN"")"),1.72)</f>
        <v>1.72</v>
      </c>
      <c r="D1551" s="14">
        <f>IFERROR(__xludf.DUMMYFUNCTION("GOOGLEFINANCE(A1551,""HIGH"")"),1.72)</f>
        <v>1.72</v>
      </c>
      <c r="E1551" s="14">
        <f>IFERROR(__xludf.DUMMYFUNCTION("GOOGLEFINANCE(A1551,""LOW"")"),1.72)</f>
        <v>1.72</v>
      </c>
      <c r="F1551" s="15" t="str">
        <f t="shared" si="8"/>
        <v>SELL</v>
      </c>
      <c r="G1551" s="16">
        <f>IFERROR(__xludf.DUMMYFUNCTION("GOOGLEFINANCE(A1551,""CLOSEYEST"")"),1.69)</f>
        <v>1.69</v>
      </c>
      <c r="H1551" s="17" t="str">
        <f t="shared" si="14"/>
        <v>GAP UP</v>
      </c>
      <c r="I1551" s="18">
        <f t="shared" si="9"/>
        <v>1.71</v>
      </c>
      <c r="J1551" s="19">
        <f t="shared" si="10"/>
        <v>1.7</v>
      </c>
      <c r="K1551" s="19"/>
      <c r="L1551" s="19">
        <f t="shared" si="11"/>
        <v>1.7</v>
      </c>
      <c r="M1551" s="19">
        <f t="shared" si="12"/>
        <v>1.71</v>
      </c>
      <c r="N1551" s="19">
        <f t="shared" si="13"/>
        <v>1.71</v>
      </c>
    </row>
    <row r="1552" ht="24.75" customHeight="1">
      <c r="A1552" s="21" t="s">
        <v>1515</v>
      </c>
      <c r="B1552" s="13">
        <f>IFERROR(__xludf.DUMMYFUNCTION("GOOGLEFINANCE(A1552,""PRICE"")"),1.94)</f>
        <v>1.94</v>
      </c>
      <c r="C1552" s="14">
        <f>IFERROR(__xludf.DUMMYFUNCTION("GOOGLEFINANCE(A1552,""PRICEOPEN"")"),1.96)</f>
        <v>1.96</v>
      </c>
      <c r="D1552" s="14">
        <f>IFERROR(__xludf.DUMMYFUNCTION("GOOGLEFINANCE(A1552,""HIGH"")"),1.96)</f>
        <v>1.96</v>
      </c>
      <c r="E1552" s="14">
        <f>IFERROR(__xludf.DUMMYFUNCTION("GOOGLEFINANCE(A1552,""LOW"")"),1.9)</f>
        <v>1.9</v>
      </c>
      <c r="F1552" s="15" t="str">
        <f t="shared" si="8"/>
        <v>SELL</v>
      </c>
      <c r="G1552" s="16">
        <f>IFERROR(__xludf.DUMMYFUNCTION("GOOGLEFINANCE(A1552,""CLOSEYEST"")"),1.91)</f>
        <v>1.91</v>
      </c>
      <c r="H1552" s="17" t="str">
        <f t="shared" si="14"/>
        <v>GAP UP</v>
      </c>
      <c r="I1552" s="18">
        <f t="shared" si="9"/>
        <v>1.923333333</v>
      </c>
      <c r="J1552" s="19">
        <f t="shared" si="10"/>
        <v>1.946666667</v>
      </c>
      <c r="K1552" s="19"/>
      <c r="L1552" s="19">
        <f t="shared" si="11"/>
        <v>1.886666667</v>
      </c>
      <c r="M1552" s="19">
        <f t="shared" si="12"/>
        <v>1.983333333</v>
      </c>
      <c r="N1552" s="19">
        <f t="shared" si="13"/>
        <v>1.863333333</v>
      </c>
    </row>
    <row r="1553" ht="24.75" customHeight="1">
      <c r="A1553" s="21" t="s">
        <v>1516</v>
      </c>
      <c r="B1553" s="13" t="str">
        <f>IFERROR(__xludf.DUMMYFUNCTION("GOOGLEFINANCE(A1553,""PRICE"")"),"#N/A")</f>
        <v>#N/A</v>
      </c>
      <c r="C1553" s="14" t="str">
        <f>IFERROR(__xludf.DUMMYFUNCTION("GOOGLEFINANCE(A1553,""PRICEOPEN"")"),"#N/A")</f>
        <v>#N/A</v>
      </c>
      <c r="D1553" s="14" t="str">
        <f>IFERROR(__xludf.DUMMYFUNCTION("GOOGLEFINANCE(A1553,""HIGH"")"),"#N/A")</f>
        <v>#N/A</v>
      </c>
      <c r="E1553" s="14" t="str">
        <f>IFERROR(__xludf.DUMMYFUNCTION("GOOGLEFINANCE(A1553,""LOW"")"),"#N/A")</f>
        <v>#N/A</v>
      </c>
      <c r="F1553" s="15" t="str">
        <f t="shared" si="8"/>
        <v>#N/A</v>
      </c>
      <c r="G1553" s="16" t="str">
        <f>IFERROR(__xludf.DUMMYFUNCTION("GOOGLEFINANCE(A1553,""CLOSEYEST"")"),"#N/A")</f>
        <v>#N/A</v>
      </c>
      <c r="H1553" s="17" t="str">
        <f t="shared" si="14"/>
        <v>#N/A</v>
      </c>
      <c r="I1553" s="18" t="str">
        <f t="shared" si="9"/>
        <v>#N/A</v>
      </c>
      <c r="J1553" s="19" t="str">
        <f t="shared" si="10"/>
        <v>#N/A</v>
      </c>
      <c r="K1553" s="19"/>
      <c r="L1553" s="19" t="str">
        <f t="shared" si="11"/>
        <v>#N/A</v>
      </c>
      <c r="M1553" s="19" t="str">
        <f t="shared" si="12"/>
        <v>#N/A</v>
      </c>
      <c r="N1553" s="19" t="str">
        <f t="shared" si="13"/>
        <v>#N/A</v>
      </c>
    </row>
    <row r="1554" ht="24.75" customHeight="1">
      <c r="A1554" s="21" t="s">
        <v>1517</v>
      </c>
      <c r="B1554" s="13">
        <f>IFERROR(__xludf.DUMMYFUNCTION("GOOGLEFINANCE(A1554,""PRICE"")"),7.09)</f>
        <v>7.09</v>
      </c>
      <c r="C1554" s="14">
        <f>IFERROR(__xludf.DUMMYFUNCTION("GOOGLEFINANCE(A1554,""PRICEOPEN"")"),7.14)</f>
        <v>7.14</v>
      </c>
      <c r="D1554" s="14">
        <f>IFERROR(__xludf.DUMMYFUNCTION("GOOGLEFINANCE(A1554,""HIGH"")"),7.14)</f>
        <v>7.14</v>
      </c>
      <c r="E1554" s="14">
        <f>IFERROR(__xludf.DUMMYFUNCTION("GOOGLEFINANCE(A1554,""LOW"")"),6.93)</f>
        <v>6.93</v>
      </c>
      <c r="F1554" s="15" t="str">
        <f t="shared" si="8"/>
        <v>SELL</v>
      </c>
      <c r="G1554" s="16">
        <f>IFERROR(__xludf.DUMMYFUNCTION("GOOGLEFINANCE(A1554,""CLOSEYEST"")"),7.02)</f>
        <v>7.02</v>
      </c>
      <c r="H1554" s="17" t="str">
        <f t="shared" si="14"/>
        <v>GAP UP</v>
      </c>
      <c r="I1554" s="18">
        <f t="shared" si="9"/>
        <v>7.03</v>
      </c>
      <c r="J1554" s="19">
        <f t="shared" si="10"/>
        <v>7.13</v>
      </c>
      <c r="K1554" s="19"/>
      <c r="L1554" s="19">
        <f t="shared" si="11"/>
        <v>6.92</v>
      </c>
      <c r="M1554" s="19">
        <f t="shared" si="12"/>
        <v>7.24</v>
      </c>
      <c r="N1554" s="19">
        <f t="shared" si="13"/>
        <v>6.82</v>
      </c>
    </row>
    <row r="1555" ht="24.75" customHeight="1">
      <c r="A1555" s="21" t="s">
        <v>1518</v>
      </c>
      <c r="B1555" s="13">
        <f>IFERROR(__xludf.DUMMYFUNCTION("GOOGLEFINANCE(A1555,""PRICE"")"),59.53)</f>
        <v>59.53</v>
      </c>
      <c r="C1555" s="14">
        <f>IFERROR(__xludf.DUMMYFUNCTION("GOOGLEFINANCE(A1555,""PRICEOPEN"")"),59.68)</f>
        <v>59.68</v>
      </c>
      <c r="D1555" s="14">
        <f>IFERROR(__xludf.DUMMYFUNCTION("GOOGLEFINANCE(A1555,""HIGH"")"),62.2)</f>
        <v>62.2</v>
      </c>
      <c r="E1555" s="14">
        <f>IFERROR(__xludf.DUMMYFUNCTION("GOOGLEFINANCE(A1555,""LOW"")"),59.0)</f>
        <v>59</v>
      </c>
      <c r="F1555" s="15" t="str">
        <f t="shared" si="8"/>
        <v/>
      </c>
      <c r="G1555" s="16">
        <f>IFERROR(__xludf.DUMMYFUNCTION("GOOGLEFINANCE(A1555,""CLOSEYEST"")"),59.7)</f>
        <v>59.7</v>
      </c>
      <c r="H1555" s="17" t="str">
        <f t="shared" si="14"/>
        <v/>
      </c>
      <c r="I1555" s="18">
        <f t="shared" si="9"/>
        <v>60.3</v>
      </c>
      <c r="J1555" s="19">
        <f t="shared" si="10"/>
        <v>61.6</v>
      </c>
      <c r="K1555" s="19"/>
      <c r="L1555" s="19">
        <f t="shared" si="11"/>
        <v>58.4</v>
      </c>
      <c r="M1555" s="19">
        <f t="shared" si="12"/>
        <v>63.5</v>
      </c>
      <c r="N1555" s="19">
        <f t="shared" si="13"/>
        <v>57.1</v>
      </c>
    </row>
    <row r="1556" ht="24.75" customHeight="1">
      <c r="A1556" s="21" t="s">
        <v>1519</v>
      </c>
      <c r="B1556" s="13">
        <f>IFERROR(__xludf.DUMMYFUNCTION("GOOGLEFINANCE(A1556,""PRICE"")"),67.85)</f>
        <v>67.85</v>
      </c>
      <c r="C1556" s="14">
        <f>IFERROR(__xludf.DUMMYFUNCTION("GOOGLEFINANCE(A1556,""PRICEOPEN"")"),67.14)</f>
        <v>67.14</v>
      </c>
      <c r="D1556" s="14">
        <f>IFERROR(__xludf.DUMMYFUNCTION("GOOGLEFINANCE(A1556,""HIGH"")"),67.85)</f>
        <v>67.85</v>
      </c>
      <c r="E1556" s="14">
        <f>IFERROR(__xludf.DUMMYFUNCTION("GOOGLEFINANCE(A1556,""LOW"")"),65.41)</f>
        <v>65.41</v>
      </c>
      <c r="F1556" s="15" t="str">
        <f t="shared" si="8"/>
        <v/>
      </c>
      <c r="G1556" s="16">
        <f>IFERROR(__xludf.DUMMYFUNCTION("GOOGLEFINANCE(A1556,""CLOSEYEST"")"),65.25)</f>
        <v>65.25</v>
      </c>
      <c r="H1556" s="17" t="str">
        <f t="shared" si="14"/>
        <v>GAP UP</v>
      </c>
      <c r="I1556" s="18">
        <f t="shared" si="9"/>
        <v>66.17</v>
      </c>
      <c r="J1556" s="19">
        <f t="shared" si="10"/>
        <v>66.93</v>
      </c>
      <c r="K1556" s="19"/>
      <c r="L1556" s="19">
        <f t="shared" si="11"/>
        <v>64.49</v>
      </c>
      <c r="M1556" s="19">
        <f t="shared" si="12"/>
        <v>68.61</v>
      </c>
      <c r="N1556" s="19">
        <f t="shared" si="13"/>
        <v>63.73</v>
      </c>
    </row>
    <row r="1557" ht="24.75" customHeight="1">
      <c r="A1557" s="21" t="s">
        <v>1520</v>
      </c>
      <c r="B1557" s="13">
        <f>IFERROR(__xludf.DUMMYFUNCTION("GOOGLEFINANCE(A1557,""PRICE"")"),109.4)</f>
        <v>109.4</v>
      </c>
      <c r="C1557" s="14">
        <f>IFERROR(__xludf.DUMMYFUNCTION("GOOGLEFINANCE(A1557,""PRICEOPEN"")"),110.21)</f>
        <v>110.21</v>
      </c>
      <c r="D1557" s="14">
        <f>IFERROR(__xludf.DUMMYFUNCTION("GOOGLEFINANCE(A1557,""HIGH"")"),110.21)</f>
        <v>110.21</v>
      </c>
      <c r="E1557" s="14">
        <f>IFERROR(__xludf.DUMMYFUNCTION("GOOGLEFINANCE(A1557,""LOW"")"),107.04)</f>
        <v>107.04</v>
      </c>
      <c r="F1557" s="15" t="str">
        <f t="shared" si="8"/>
        <v>SELL</v>
      </c>
      <c r="G1557" s="16">
        <f>IFERROR(__xludf.DUMMYFUNCTION("GOOGLEFINANCE(A1557,""CLOSEYEST"")"),109.12)</f>
        <v>109.12</v>
      </c>
      <c r="H1557" s="17" t="str">
        <f t="shared" si="14"/>
        <v/>
      </c>
      <c r="I1557" s="18">
        <f t="shared" si="9"/>
        <v>108.79</v>
      </c>
      <c r="J1557" s="19">
        <f t="shared" si="10"/>
        <v>110.54</v>
      </c>
      <c r="K1557" s="19"/>
      <c r="L1557" s="19">
        <f t="shared" si="11"/>
        <v>107.37</v>
      </c>
      <c r="M1557" s="19">
        <f t="shared" si="12"/>
        <v>111.96</v>
      </c>
      <c r="N1557" s="19">
        <f t="shared" si="13"/>
        <v>105.62</v>
      </c>
    </row>
    <row r="1558" ht="24.75" customHeight="1">
      <c r="A1558" s="21" t="s">
        <v>1521</v>
      </c>
      <c r="B1558" s="13">
        <f>IFERROR(__xludf.DUMMYFUNCTION("GOOGLEFINANCE(A1558,""PRICE"")"),265.25)</f>
        <v>265.25</v>
      </c>
      <c r="C1558" s="14">
        <f>IFERROR(__xludf.DUMMYFUNCTION("GOOGLEFINANCE(A1558,""PRICEOPEN"")"),263.85)</f>
        <v>263.85</v>
      </c>
      <c r="D1558" s="14">
        <f>IFERROR(__xludf.DUMMYFUNCTION("GOOGLEFINANCE(A1558,""HIGH"")"),267.9)</f>
        <v>267.9</v>
      </c>
      <c r="E1558" s="14">
        <f>IFERROR(__xludf.DUMMYFUNCTION("GOOGLEFINANCE(A1558,""LOW"")"),263.8)</f>
        <v>263.8</v>
      </c>
      <c r="F1558" s="15" t="str">
        <f t="shared" si="8"/>
        <v/>
      </c>
      <c r="G1558" s="16">
        <f>IFERROR(__xludf.DUMMYFUNCTION("GOOGLEFINANCE(A1558,""CLOSEYEST"")"),263.75)</f>
        <v>263.75</v>
      </c>
      <c r="H1558" s="17" t="str">
        <f t="shared" si="14"/>
        <v/>
      </c>
      <c r="I1558" s="18">
        <f t="shared" si="9"/>
        <v>265.15</v>
      </c>
      <c r="J1558" s="19">
        <f t="shared" si="10"/>
        <v>266.5</v>
      </c>
      <c r="K1558" s="19"/>
      <c r="L1558" s="19">
        <f t="shared" si="11"/>
        <v>262.4</v>
      </c>
      <c r="M1558" s="19">
        <f t="shared" si="12"/>
        <v>269.25</v>
      </c>
      <c r="N1558" s="19">
        <f t="shared" si="13"/>
        <v>261.05</v>
      </c>
    </row>
    <row r="1559" ht="24.75" customHeight="1">
      <c r="A1559" s="21" t="s">
        <v>1522</v>
      </c>
      <c r="B1559" s="13">
        <f>IFERROR(__xludf.DUMMYFUNCTION("GOOGLEFINANCE(A1559,""PRICE"")"),457.0)</f>
        <v>457</v>
      </c>
      <c r="C1559" s="14">
        <f>IFERROR(__xludf.DUMMYFUNCTION("GOOGLEFINANCE(A1559,""PRICEOPEN"")"),454.0)</f>
        <v>454</v>
      </c>
      <c r="D1559" s="14">
        <f>IFERROR(__xludf.DUMMYFUNCTION("GOOGLEFINANCE(A1559,""HIGH"")"),468.0)</f>
        <v>468</v>
      </c>
      <c r="E1559" s="14">
        <f>IFERROR(__xludf.DUMMYFUNCTION("GOOGLEFINANCE(A1559,""LOW"")"),446.0)</f>
        <v>446</v>
      </c>
      <c r="F1559" s="15" t="str">
        <f t="shared" si="8"/>
        <v/>
      </c>
      <c r="G1559" s="16">
        <f>IFERROR(__xludf.DUMMYFUNCTION("GOOGLEFINANCE(A1559,""CLOSEYEST"")"),454.0)</f>
        <v>454</v>
      </c>
      <c r="H1559" s="17" t="str">
        <f t="shared" si="14"/>
        <v/>
      </c>
      <c r="I1559" s="18">
        <f t="shared" si="9"/>
        <v>456</v>
      </c>
      <c r="J1559" s="19">
        <f t="shared" si="10"/>
        <v>466</v>
      </c>
      <c r="K1559" s="19"/>
      <c r="L1559" s="19">
        <f t="shared" si="11"/>
        <v>444</v>
      </c>
      <c r="M1559" s="19">
        <f t="shared" si="12"/>
        <v>478</v>
      </c>
      <c r="N1559" s="19">
        <f t="shared" si="13"/>
        <v>434</v>
      </c>
    </row>
    <row r="1560" ht="24.75" customHeight="1">
      <c r="A1560" s="21" t="s">
        <v>1523</v>
      </c>
      <c r="B1560" s="13" t="str">
        <f>IFERROR(__xludf.DUMMYFUNCTION("GOOGLEFINANCE(A1560,""PRICE"")"),"#N/A")</f>
        <v>#N/A</v>
      </c>
      <c r="C1560" s="14" t="str">
        <f>IFERROR(__xludf.DUMMYFUNCTION("GOOGLEFINANCE(A1560,""PRICEOPEN"")"),"#N/A")</f>
        <v>#N/A</v>
      </c>
      <c r="D1560" s="14" t="str">
        <f>IFERROR(__xludf.DUMMYFUNCTION("GOOGLEFINANCE(A1560,""HIGH"")"),"#N/A")</f>
        <v>#N/A</v>
      </c>
      <c r="E1560" s="14" t="str">
        <f>IFERROR(__xludf.DUMMYFUNCTION("GOOGLEFINANCE(A1560,""LOW"")"),"#N/A")</f>
        <v>#N/A</v>
      </c>
      <c r="F1560" s="15" t="str">
        <f t="shared" si="8"/>
        <v>#N/A</v>
      </c>
      <c r="G1560" s="16" t="str">
        <f>IFERROR(__xludf.DUMMYFUNCTION("GOOGLEFINANCE(A1560,""CLOSEYEST"")"),"#N/A")</f>
        <v>#N/A</v>
      </c>
      <c r="H1560" s="17" t="str">
        <f t="shared" si="14"/>
        <v>#N/A</v>
      </c>
      <c r="I1560" s="18" t="str">
        <f t="shared" si="9"/>
        <v>#N/A</v>
      </c>
      <c r="J1560" s="19" t="str">
        <f t="shared" si="10"/>
        <v>#N/A</v>
      </c>
      <c r="K1560" s="19"/>
      <c r="L1560" s="19" t="str">
        <f t="shared" si="11"/>
        <v>#N/A</v>
      </c>
      <c r="M1560" s="19" t="str">
        <f t="shared" si="12"/>
        <v>#N/A</v>
      </c>
      <c r="N1560" s="19" t="str">
        <f t="shared" si="13"/>
        <v>#N/A</v>
      </c>
    </row>
    <row r="1561" ht="24.75" customHeight="1">
      <c r="A1561" s="21" t="s">
        <v>1524</v>
      </c>
      <c r="B1561" s="13" t="str">
        <f>IFERROR(__xludf.DUMMYFUNCTION("GOOGLEFINANCE(A1561,""PRICE"")"),"#N/A")</f>
        <v>#N/A</v>
      </c>
      <c r="C1561" s="14" t="str">
        <f>IFERROR(__xludf.DUMMYFUNCTION("GOOGLEFINANCE(A1561,""PRICEOPEN"")"),"#N/A")</f>
        <v>#N/A</v>
      </c>
      <c r="D1561" s="14" t="str">
        <f>IFERROR(__xludf.DUMMYFUNCTION("GOOGLEFINANCE(A1561,""HIGH"")"),"#N/A")</f>
        <v>#N/A</v>
      </c>
      <c r="E1561" s="14" t="str">
        <f>IFERROR(__xludf.DUMMYFUNCTION("GOOGLEFINANCE(A1561,""LOW"")"),"#N/A")</f>
        <v>#N/A</v>
      </c>
      <c r="F1561" s="15" t="str">
        <f t="shared" si="8"/>
        <v>#N/A</v>
      </c>
      <c r="G1561" s="16" t="str">
        <f>IFERROR(__xludf.DUMMYFUNCTION("GOOGLEFINANCE(A1561,""CLOSEYEST"")"),"#N/A")</f>
        <v>#N/A</v>
      </c>
      <c r="H1561" s="17" t="str">
        <f t="shared" si="14"/>
        <v>#N/A</v>
      </c>
      <c r="I1561" s="18" t="str">
        <f t="shared" si="9"/>
        <v>#N/A</v>
      </c>
      <c r="J1561" s="19" t="str">
        <f t="shared" si="10"/>
        <v>#N/A</v>
      </c>
      <c r="K1561" s="19"/>
      <c r="L1561" s="19" t="str">
        <f t="shared" si="11"/>
        <v>#N/A</v>
      </c>
      <c r="M1561" s="19" t="str">
        <f t="shared" si="12"/>
        <v>#N/A</v>
      </c>
      <c r="N1561" s="19" t="str">
        <f t="shared" si="13"/>
        <v>#N/A</v>
      </c>
    </row>
    <row r="1562" ht="24.75" customHeight="1">
      <c r="A1562" s="21" t="s">
        <v>1525</v>
      </c>
      <c r="B1562" s="13">
        <f>IFERROR(__xludf.DUMMYFUNCTION("GOOGLEFINANCE(A1562,""PRICE"")"),14.5)</f>
        <v>14.5</v>
      </c>
      <c r="C1562" s="14">
        <f>IFERROR(__xludf.DUMMYFUNCTION("GOOGLEFINANCE(A1562,""PRICEOPEN"")"),14.58)</f>
        <v>14.58</v>
      </c>
      <c r="D1562" s="14">
        <f>IFERROR(__xludf.DUMMYFUNCTION("GOOGLEFINANCE(A1562,""HIGH"")"),14.77)</f>
        <v>14.77</v>
      </c>
      <c r="E1562" s="14">
        <f>IFERROR(__xludf.DUMMYFUNCTION("GOOGLEFINANCE(A1562,""LOW"")"),14.23)</f>
        <v>14.23</v>
      </c>
      <c r="F1562" s="15" t="str">
        <f t="shared" si="8"/>
        <v/>
      </c>
      <c r="G1562" s="16">
        <f>IFERROR(__xludf.DUMMYFUNCTION("GOOGLEFINANCE(A1562,""CLOSEYEST"")"),14.45)</f>
        <v>14.45</v>
      </c>
      <c r="H1562" s="17" t="str">
        <f t="shared" si="14"/>
        <v/>
      </c>
      <c r="I1562" s="18">
        <f t="shared" si="9"/>
        <v>14.48333333</v>
      </c>
      <c r="J1562" s="19">
        <f t="shared" si="10"/>
        <v>14.73666667</v>
      </c>
      <c r="K1562" s="19"/>
      <c r="L1562" s="19">
        <f t="shared" si="11"/>
        <v>14.19666667</v>
      </c>
      <c r="M1562" s="19">
        <f t="shared" si="12"/>
        <v>15.02333333</v>
      </c>
      <c r="N1562" s="19">
        <f t="shared" si="13"/>
        <v>13.94333333</v>
      </c>
    </row>
    <row r="1563" ht="24.75" customHeight="1">
      <c r="A1563" s="21" t="s">
        <v>1526</v>
      </c>
      <c r="B1563" s="13">
        <f>IFERROR(__xludf.DUMMYFUNCTION("GOOGLEFINANCE(A1563,""PRICE"")"),26.25)</f>
        <v>26.25</v>
      </c>
      <c r="C1563" s="14">
        <f>IFERROR(__xludf.DUMMYFUNCTION("GOOGLEFINANCE(A1563,""PRICEOPEN"")"),26.21)</f>
        <v>26.21</v>
      </c>
      <c r="D1563" s="14">
        <f>IFERROR(__xludf.DUMMYFUNCTION("GOOGLEFINANCE(A1563,""HIGH"")"),26.59)</f>
        <v>26.59</v>
      </c>
      <c r="E1563" s="14">
        <f>IFERROR(__xludf.DUMMYFUNCTION("GOOGLEFINANCE(A1563,""LOW"")"),26.01)</f>
        <v>26.01</v>
      </c>
      <c r="F1563" s="15" t="str">
        <f t="shared" si="8"/>
        <v/>
      </c>
      <c r="G1563" s="16">
        <f>IFERROR(__xludf.DUMMYFUNCTION("GOOGLEFINANCE(A1563,""CLOSEYEST"")"),26.21)</f>
        <v>26.21</v>
      </c>
      <c r="H1563" s="17" t="str">
        <f t="shared" si="14"/>
        <v/>
      </c>
      <c r="I1563" s="18">
        <f t="shared" si="9"/>
        <v>26.27</v>
      </c>
      <c r="J1563" s="19">
        <f t="shared" si="10"/>
        <v>26.53</v>
      </c>
      <c r="K1563" s="19"/>
      <c r="L1563" s="19">
        <f t="shared" si="11"/>
        <v>25.95</v>
      </c>
      <c r="M1563" s="19">
        <f t="shared" si="12"/>
        <v>26.85</v>
      </c>
      <c r="N1563" s="19">
        <f t="shared" si="13"/>
        <v>25.69</v>
      </c>
    </row>
    <row r="1564" ht="24.75" customHeight="1">
      <c r="A1564" s="21" t="s">
        <v>1527</v>
      </c>
      <c r="B1564" s="13">
        <f>IFERROR(__xludf.DUMMYFUNCTION("GOOGLEFINANCE(A1564,""PRICE"")"),103.78)</f>
        <v>103.78</v>
      </c>
      <c r="C1564" s="14">
        <f>IFERROR(__xludf.DUMMYFUNCTION("GOOGLEFINANCE(A1564,""PRICEOPEN"")"),106.0)</f>
        <v>106</v>
      </c>
      <c r="D1564" s="14">
        <f>IFERROR(__xludf.DUMMYFUNCTION("GOOGLEFINANCE(A1564,""HIGH"")"),106.0)</f>
        <v>106</v>
      </c>
      <c r="E1564" s="14">
        <f>IFERROR(__xludf.DUMMYFUNCTION("GOOGLEFINANCE(A1564,""LOW"")"),101.5)</f>
        <v>101.5</v>
      </c>
      <c r="F1564" s="15" t="str">
        <f t="shared" si="8"/>
        <v>SELL</v>
      </c>
      <c r="G1564" s="16">
        <f>IFERROR(__xludf.DUMMYFUNCTION("GOOGLEFINANCE(A1564,""CLOSEYEST"")"),102.8)</f>
        <v>102.8</v>
      </c>
      <c r="H1564" s="17" t="str">
        <f t="shared" si="14"/>
        <v>GAP UP</v>
      </c>
      <c r="I1564" s="18">
        <f t="shared" si="9"/>
        <v>103.4333333</v>
      </c>
      <c r="J1564" s="19">
        <f t="shared" si="10"/>
        <v>105.3666667</v>
      </c>
      <c r="K1564" s="19"/>
      <c r="L1564" s="19">
        <f t="shared" si="11"/>
        <v>100.8666667</v>
      </c>
      <c r="M1564" s="19">
        <f t="shared" si="12"/>
        <v>107.9333333</v>
      </c>
      <c r="N1564" s="19">
        <f t="shared" si="13"/>
        <v>98.93333333</v>
      </c>
    </row>
    <row r="1565" ht="24.75" customHeight="1">
      <c r="A1565" s="21" t="s">
        <v>1528</v>
      </c>
      <c r="B1565" s="13" t="str">
        <f>IFERROR(__xludf.DUMMYFUNCTION("GOOGLEFINANCE(A1565,""PRICE"")"),"#N/A")</f>
        <v>#N/A</v>
      </c>
      <c r="C1565" s="14" t="str">
        <f>IFERROR(__xludf.DUMMYFUNCTION("GOOGLEFINANCE(A1565,""PRICEOPEN"")"),"#N/A")</f>
        <v>#N/A</v>
      </c>
      <c r="D1565" s="14" t="str">
        <f>IFERROR(__xludf.DUMMYFUNCTION("GOOGLEFINANCE(A1565,""HIGH"")"),"#N/A")</f>
        <v>#N/A</v>
      </c>
      <c r="E1565" s="14" t="str">
        <f>IFERROR(__xludf.DUMMYFUNCTION("GOOGLEFINANCE(A1565,""LOW"")"),"#N/A")</f>
        <v>#N/A</v>
      </c>
      <c r="F1565" s="15" t="str">
        <f t="shared" si="8"/>
        <v>#N/A</v>
      </c>
      <c r="G1565" s="16" t="str">
        <f>IFERROR(__xludf.DUMMYFUNCTION("GOOGLEFINANCE(A1565,""CLOSEYEST"")"),"#N/A")</f>
        <v>#N/A</v>
      </c>
      <c r="H1565" s="17" t="str">
        <f t="shared" si="14"/>
        <v>#N/A</v>
      </c>
      <c r="I1565" s="18" t="str">
        <f t="shared" si="9"/>
        <v>#N/A</v>
      </c>
      <c r="J1565" s="19" t="str">
        <f t="shared" si="10"/>
        <v>#N/A</v>
      </c>
      <c r="K1565" s="19"/>
      <c r="L1565" s="19" t="str">
        <f t="shared" si="11"/>
        <v>#N/A</v>
      </c>
      <c r="M1565" s="19" t="str">
        <f t="shared" si="12"/>
        <v>#N/A</v>
      </c>
      <c r="N1565" s="19" t="str">
        <f t="shared" si="13"/>
        <v>#N/A</v>
      </c>
    </row>
    <row r="1566" ht="24.75" customHeight="1">
      <c r="A1566" s="21" t="s">
        <v>1529</v>
      </c>
      <c r="B1566" s="13">
        <f>IFERROR(__xludf.DUMMYFUNCTION("GOOGLEFINANCE(A1566,""PRICE"")"),190.0)</f>
        <v>190</v>
      </c>
      <c r="C1566" s="14">
        <f>IFERROR(__xludf.DUMMYFUNCTION("GOOGLEFINANCE(A1566,""PRICEOPEN"")"),183.0)</f>
        <v>183</v>
      </c>
      <c r="D1566" s="14">
        <f>IFERROR(__xludf.DUMMYFUNCTION("GOOGLEFINANCE(A1566,""HIGH"")"),194.48)</f>
        <v>194.48</v>
      </c>
      <c r="E1566" s="14">
        <f>IFERROR(__xludf.DUMMYFUNCTION("GOOGLEFINANCE(A1566,""LOW"")"),181.61)</f>
        <v>181.61</v>
      </c>
      <c r="F1566" s="15" t="str">
        <f t="shared" si="8"/>
        <v/>
      </c>
      <c r="G1566" s="16">
        <f>IFERROR(__xludf.DUMMYFUNCTION("GOOGLEFINANCE(A1566,""CLOSEYEST"")"),180.17)</f>
        <v>180.17</v>
      </c>
      <c r="H1566" s="17" t="str">
        <f t="shared" si="14"/>
        <v>GAP UP</v>
      </c>
      <c r="I1566" s="18">
        <f t="shared" si="9"/>
        <v>185.42</v>
      </c>
      <c r="J1566" s="19">
        <f t="shared" si="10"/>
        <v>189.23</v>
      </c>
      <c r="K1566" s="19"/>
      <c r="L1566" s="19">
        <f t="shared" si="11"/>
        <v>176.36</v>
      </c>
      <c r="M1566" s="19">
        <f t="shared" si="12"/>
        <v>198.29</v>
      </c>
      <c r="N1566" s="19">
        <f t="shared" si="13"/>
        <v>172.55</v>
      </c>
    </row>
    <row r="1567" ht="24.75" customHeight="1">
      <c r="A1567" s="21" t="s">
        <v>1530</v>
      </c>
      <c r="B1567" s="13" t="str">
        <f>IFERROR(__xludf.DUMMYFUNCTION("GOOGLEFINANCE(A1567,""PRICE"")"),"#N/A")</f>
        <v>#N/A</v>
      </c>
      <c r="C1567" s="14" t="str">
        <f>IFERROR(__xludf.DUMMYFUNCTION("GOOGLEFINANCE(A1567,""PRICEOPEN"")"),"#N/A")</f>
        <v>#N/A</v>
      </c>
      <c r="D1567" s="14" t="str">
        <f>IFERROR(__xludf.DUMMYFUNCTION("GOOGLEFINANCE(A1567,""HIGH"")"),"#N/A")</f>
        <v>#N/A</v>
      </c>
      <c r="E1567" s="14" t="str">
        <f>IFERROR(__xludf.DUMMYFUNCTION("GOOGLEFINANCE(A1567,""LOW"")"),"#N/A")</f>
        <v>#N/A</v>
      </c>
      <c r="F1567" s="15" t="str">
        <f t="shared" si="8"/>
        <v>#N/A</v>
      </c>
      <c r="G1567" s="16" t="str">
        <f>IFERROR(__xludf.DUMMYFUNCTION("GOOGLEFINANCE(A1567,""CLOSEYEST"")"),"#N/A")</f>
        <v>#N/A</v>
      </c>
      <c r="H1567" s="17" t="str">
        <f t="shared" si="14"/>
        <v>#N/A</v>
      </c>
      <c r="I1567" s="18" t="str">
        <f t="shared" si="9"/>
        <v>#N/A</v>
      </c>
      <c r="J1567" s="19" t="str">
        <f t="shared" si="10"/>
        <v>#N/A</v>
      </c>
      <c r="K1567" s="19"/>
      <c r="L1567" s="19" t="str">
        <f t="shared" si="11"/>
        <v>#N/A</v>
      </c>
      <c r="M1567" s="19" t="str">
        <f t="shared" si="12"/>
        <v>#N/A</v>
      </c>
      <c r="N1567" s="19" t="str">
        <f t="shared" si="13"/>
        <v>#N/A</v>
      </c>
    </row>
    <row r="1568" ht="24.75" customHeight="1">
      <c r="A1568" s="21" t="s">
        <v>1531</v>
      </c>
      <c r="B1568" s="13">
        <f>IFERROR(__xludf.DUMMYFUNCTION("GOOGLEFINANCE(A1568,""PRICE"")"),323.0)</f>
        <v>323</v>
      </c>
      <c r="C1568" s="14">
        <f>IFERROR(__xludf.DUMMYFUNCTION("GOOGLEFINANCE(A1568,""PRICEOPEN"")"),322.0)</f>
        <v>322</v>
      </c>
      <c r="D1568" s="14">
        <f>IFERROR(__xludf.DUMMYFUNCTION("GOOGLEFINANCE(A1568,""HIGH"")"),324.9)</f>
        <v>324.9</v>
      </c>
      <c r="E1568" s="14">
        <f>IFERROR(__xludf.DUMMYFUNCTION("GOOGLEFINANCE(A1568,""LOW"")"),317.1)</f>
        <v>317.1</v>
      </c>
      <c r="F1568" s="15" t="str">
        <f t="shared" si="8"/>
        <v/>
      </c>
      <c r="G1568" s="16">
        <f>IFERROR(__xludf.DUMMYFUNCTION("GOOGLEFINANCE(A1568,""CLOSEYEST"")"),318.1)</f>
        <v>318.1</v>
      </c>
      <c r="H1568" s="17" t="str">
        <f t="shared" si="14"/>
        <v>GAP UP</v>
      </c>
      <c r="I1568" s="18">
        <f t="shared" si="9"/>
        <v>320.0333333</v>
      </c>
      <c r="J1568" s="19">
        <f t="shared" si="10"/>
        <v>322.9666667</v>
      </c>
      <c r="K1568" s="19"/>
      <c r="L1568" s="19">
        <f t="shared" si="11"/>
        <v>315.1666667</v>
      </c>
      <c r="M1568" s="19">
        <f t="shared" si="12"/>
        <v>327.8333333</v>
      </c>
      <c r="N1568" s="19">
        <f t="shared" si="13"/>
        <v>312.2333333</v>
      </c>
    </row>
    <row r="1569" ht="24.75" customHeight="1">
      <c r="A1569" s="21" t="s">
        <v>1532</v>
      </c>
      <c r="B1569" s="13" t="str">
        <f>IFERROR(__xludf.DUMMYFUNCTION("GOOGLEFINANCE(A1569,""PRICE"")"),"#N/A")</f>
        <v>#N/A</v>
      </c>
      <c r="C1569" s="14" t="str">
        <f>IFERROR(__xludf.DUMMYFUNCTION("GOOGLEFINANCE(A1569,""PRICEOPEN"")"),"#N/A")</f>
        <v>#N/A</v>
      </c>
      <c r="D1569" s="14" t="str">
        <f>IFERROR(__xludf.DUMMYFUNCTION("GOOGLEFINANCE(A1569,""HIGH"")"),"#N/A")</f>
        <v>#N/A</v>
      </c>
      <c r="E1569" s="14" t="str">
        <f>IFERROR(__xludf.DUMMYFUNCTION("GOOGLEFINANCE(A1569,""LOW"")"),"#N/A")</f>
        <v>#N/A</v>
      </c>
      <c r="F1569" s="15" t="str">
        <f t="shared" si="8"/>
        <v>#N/A</v>
      </c>
      <c r="G1569" s="16" t="str">
        <f>IFERROR(__xludf.DUMMYFUNCTION("GOOGLEFINANCE(A1569,""CLOSEYEST"")"),"#N/A")</f>
        <v>#N/A</v>
      </c>
      <c r="H1569" s="17" t="str">
        <f t="shared" si="14"/>
        <v>#N/A</v>
      </c>
      <c r="I1569" s="18" t="str">
        <f t="shared" si="9"/>
        <v>#N/A</v>
      </c>
      <c r="J1569" s="19" t="str">
        <f t="shared" si="10"/>
        <v>#N/A</v>
      </c>
      <c r="K1569" s="19"/>
      <c r="L1569" s="19" t="str">
        <f t="shared" si="11"/>
        <v>#N/A</v>
      </c>
      <c r="M1569" s="19" t="str">
        <f t="shared" si="12"/>
        <v>#N/A</v>
      </c>
      <c r="N1569" s="19" t="str">
        <f t="shared" si="13"/>
        <v>#N/A</v>
      </c>
    </row>
    <row r="1570" ht="24.75" customHeight="1">
      <c r="A1570" s="21" t="s">
        <v>1533</v>
      </c>
      <c r="B1570" s="13">
        <f>IFERROR(__xludf.DUMMYFUNCTION("GOOGLEFINANCE(A1570,""PRICE"")"),749.0)</f>
        <v>749</v>
      </c>
      <c r="C1570" s="14">
        <f>IFERROR(__xludf.DUMMYFUNCTION("GOOGLEFINANCE(A1570,""PRICEOPEN"")"),759.8)</f>
        <v>759.8</v>
      </c>
      <c r="D1570" s="14">
        <f>IFERROR(__xludf.DUMMYFUNCTION("GOOGLEFINANCE(A1570,""HIGH"")"),761.3)</f>
        <v>761.3</v>
      </c>
      <c r="E1570" s="14">
        <f>IFERROR(__xludf.DUMMYFUNCTION("GOOGLEFINANCE(A1570,""LOW"")"),740.1)</f>
        <v>740.1</v>
      </c>
      <c r="F1570" s="15" t="str">
        <f t="shared" si="8"/>
        <v/>
      </c>
      <c r="G1570" s="16">
        <f>IFERROR(__xludf.DUMMYFUNCTION("GOOGLEFINANCE(A1570,""CLOSEYEST"")"),748.2)</f>
        <v>748.2</v>
      </c>
      <c r="H1570" s="17" t="str">
        <f t="shared" si="14"/>
        <v>GAP UP</v>
      </c>
      <c r="I1570" s="18">
        <f t="shared" si="9"/>
        <v>749.8666667</v>
      </c>
      <c r="J1570" s="19">
        <f t="shared" si="10"/>
        <v>759.6333333</v>
      </c>
      <c r="K1570" s="19"/>
      <c r="L1570" s="19">
        <f t="shared" si="11"/>
        <v>738.4333333</v>
      </c>
      <c r="M1570" s="19">
        <f t="shared" si="12"/>
        <v>771.0666667</v>
      </c>
      <c r="N1570" s="19">
        <f t="shared" si="13"/>
        <v>728.6666667</v>
      </c>
    </row>
    <row r="1571" ht="24.75" customHeight="1">
      <c r="A1571" s="21" t="s">
        <v>1534</v>
      </c>
      <c r="B1571" s="13">
        <f>IFERROR(__xludf.DUMMYFUNCTION("GOOGLEFINANCE(A1571,""PRICE"")"),52.6)</f>
        <v>52.6</v>
      </c>
      <c r="C1571" s="14">
        <f>IFERROR(__xludf.DUMMYFUNCTION("GOOGLEFINANCE(A1571,""PRICEOPEN"")"),52.75)</f>
        <v>52.75</v>
      </c>
      <c r="D1571" s="14">
        <f>IFERROR(__xludf.DUMMYFUNCTION("GOOGLEFINANCE(A1571,""HIGH"")"),52.75)</f>
        <v>52.75</v>
      </c>
      <c r="E1571" s="14">
        <f>IFERROR(__xludf.DUMMYFUNCTION("GOOGLEFINANCE(A1571,""LOW"")"),51.5)</f>
        <v>51.5</v>
      </c>
      <c r="F1571" s="15" t="str">
        <f t="shared" si="8"/>
        <v>SELL</v>
      </c>
      <c r="G1571" s="16">
        <f>IFERROR(__xludf.DUMMYFUNCTION("GOOGLEFINANCE(A1571,""CLOSEYEST"")"),51.63)</f>
        <v>51.63</v>
      </c>
      <c r="H1571" s="17" t="str">
        <f t="shared" si="14"/>
        <v>GAP UP</v>
      </c>
      <c r="I1571" s="18">
        <f t="shared" si="9"/>
        <v>51.96</v>
      </c>
      <c r="J1571" s="19">
        <f t="shared" si="10"/>
        <v>52.42</v>
      </c>
      <c r="K1571" s="19"/>
      <c r="L1571" s="19">
        <f t="shared" si="11"/>
        <v>51.17</v>
      </c>
      <c r="M1571" s="19">
        <f t="shared" si="12"/>
        <v>53.21</v>
      </c>
      <c r="N1571" s="19">
        <f t="shared" si="13"/>
        <v>50.71</v>
      </c>
    </row>
    <row r="1572" ht="24.75" customHeight="1">
      <c r="A1572" s="21" t="s">
        <v>1535</v>
      </c>
      <c r="B1572" s="13">
        <f>IFERROR(__xludf.DUMMYFUNCTION("GOOGLEFINANCE(A1572,""PRICE"")"),47.43)</f>
        <v>47.43</v>
      </c>
      <c r="C1572" s="14">
        <f>IFERROR(__xludf.DUMMYFUNCTION("GOOGLEFINANCE(A1572,""PRICEOPEN"")"),47.43)</f>
        <v>47.43</v>
      </c>
      <c r="D1572" s="14">
        <f>IFERROR(__xludf.DUMMYFUNCTION("GOOGLEFINANCE(A1572,""HIGH"")"),47.43)</f>
        <v>47.43</v>
      </c>
      <c r="E1572" s="14">
        <f>IFERROR(__xludf.DUMMYFUNCTION("GOOGLEFINANCE(A1572,""LOW"")"),47.43)</f>
        <v>47.43</v>
      </c>
      <c r="F1572" s="15" t="str">
        <f t="shared" si="8"/>
        <v>SELL</v>
      </c>
      <c r="G1572" s="16">
        <f>IFERROR(__xludf.DUMMYFUNCTION("GOOGLEFINANCE(A1572,""CLOSEYEST"")"),45.18)</f>
        <v>45.18</v>
      </c>
      <c r="H1572" s="17" t="str">
        <f t="shared" si="14"/>
        <v>GAP UP</v>
      </c>
      <c r="I1572" s="18">
        <f t="shared" si="9"/>
        <v>46.68</v>
      </c>
      <c r="J1572" s="19">
        <f t="shared" si="10"/>
        <v>45.93</v>
      </c>
      <c r="K1572" s="19"/>
      <c r="L1572" s="19">
        <f t="shared" si="11"/>
        <v>45.93</v>
      </c>
      <c r="M1572" s="19">
        <f t="shared" si="12"/>
        <v>46.68</v>
      </c>
      <c r="N1572" s="19">
        <f t="shared" si="13"/>
        <v>46.68</v>
      </c>
    </row>
    <row r="1573" ht="24.75" customHeight="1">
      <c r="A1573" s="21" t="s">
        <v>1536</v>
      </c>
      <c r="B1573" s="13">
        <f>IFERROR(__xludf.DUMMYFUNCTION("GOOGLEFINANCE(A1573,""PRICE"")"),75.8)</f>
        <v>75.8</v>
      </c>
      <c r="C1573" s="14">
        <f>IFERROR(__xludf.DUMMYFUNCTION("GOOGLEFINANCE(A1573,""PRICEOPEN"")"),79.9)</f>
        <v>79.9</v>
      </c>
      <c r="D1573" s="14">
        <f>IFERROR(__xludf.DUMMYFUNCTION("GOOGLEFINANCE(A1573,""HIGH"")"),79.9)</f>
        <v>79.9</v>
      </c>
      <c r="E1573" s="14">
        <f>IFERROR(__xludf.DUMMYFUNCTION("GOOGLEFINANCE(A1573,""LOW"")"),75.8)</f>
        <v>75.8</v>
      </c>
      <c r="F1573" s="15" t="str">
        <f t="shared" si="8"/>
        <v>SELL</v>
      </c>
      <c r="G1573" s="16">
        <f>IFERROR(__xludf.DUMMYFUNCTION("GOOGLEFINANCE(A1573,""CLOSEYEST"")"),77.76)</f>
        <v>77.76</v>
      </c>
      <c r="H1573" s="17" t="str">
        <f t="shared" si="14"/>
        <v>GAP UP</v>
      </c>
      <c r="I1573" s="18">
        <f t="shared" si="9"/>
        <v>77.82</v>
      </c>
      <c r="J1573" s="19">
        <f t="shared" si="10"/>
        <v>79.84</v>
      </c>
      <c r="K1573" s="19"/>
      <c r="L1573" s="19">
        <f t="shared" si="11"/>
        <v>75.74</v>
      </c>
      <c r="M1573" s="19">
        <f t="shared" si="12"/>
        <v>81.92</v>
      </c>
      <c r="N1573" s="19">
        <f t="shared" si="13"/>
        <v>73.72</v>
      </c>
    </row>
    <row r="1574" ht="24.75" customHeight="1">
      <c r="A1574" s="21" t="s">
        <v>1537</v>
      </c>
      <c r="B1574" s="13">
        <f>IFERROR(__xludf.DUMMYFUNCTION("GOOGLEFINANCE(A1574,""PRICE"")"),40.28)</f>
        <v>40.28</v>
      </c>
      <c r="C1574" s="14">
        <f>IFERROR(__xludf.DUMMYFUNCTION("GOOGLEFINANCE(A1574,""PRICEOPEN"")"),39.81)</f>
        <v>39.81</v>
      </c>
      <c r="D1574" s="14">
        <f>IFERROR(__xludf.DUMMYFUNCTION("GOOGLEFINANCE(A1574,""HIGH"")"),40.69)</f>
        <v>40.69</v>
      </c>
      <c r="E1574" s="14">
        <f>IFERROR(__xludf.DUMMYFUNCTION("GOOGLEFINANCE(A1574,""LOW"")"),39.81)</f>
        <v>39.81</v>
      </c>
      <c r="F1574" s="15" t="str">
        <f t="shared" si="8"/>
        <v>BUY</v>
      </c>
      <c r="G1574" s="16">
        <f>IFERROR(__xludf.DUMMYFUNCTION("GOOGLEFINANCE(A1574,""CLOSEYEST"")"),40.46)</f>
        <v>40.46</v>
      </c>
      <c r="H1574" s="17" t="str">
        <f t="shared" si="14"/>
        <v>GAP DOWN</v>
      </c>
      <c r="I1574" s="18">
        <f t="shared" si="9"/>
        <v>40.32</v>
      </c>
      <c r="J1574" s="19">
        <f t="shared" si="10"/>
        <v>40.83</v>
      </c>
      <c r="K1574" s="19"/>
      <c r="L1574" s="19">
        <f t="shared" si="11"/>
        <v>39.95</v>
      </c>
      <c r="M1574" s="19">
        <f t="shared" si="12"/>
        <v>41.2</v>
      </c>
      <c r="N1574" s="19">
        <f t="shared" si="13"/>
        <v>39.44</v>
      </c>
    </row>
    <row r="1575" ht="24.75" customHeight="1">
      <c r="A1575" s="21" t="s">
        <v>1538</v>
      </c>
      <c r="B1575" s="13">
        <f>IFERROR(__xludf.DUMMYFUNCTION("GOOGLEFINANCE(A1575,""PRICE"")"),122.9)</f>
        <v>122.9</v>
      </c>
      <c r="C1575" s="14">
        <f>IFERROR(__xludf.DUMMYFUNCTION("GOOGLEFINANCE(A1575,""PRICEOPEN"")"),121.1)</f>
        <v>121.1</v>
      </c>
      <c r="D1575" s="14">
        <f>IFERROR(__xludf.DUMMYFUNCTION("GOOGLEFINANCE(A1575,""HIGH"")"),123.89)</f>
        <v>123.89</v>
      </c>
      <c r="E1575" s="14">
        <f>IFERROR(__xludf.DUMMYFUNCTION("GOOGLEFINANCE(A1575,""LOW"")"),121.1)</f>
        <v>121.1</v>
      </c>
      <c r="F1575" s="15" t="str">
        <f t="shared" si="8"/>
        <v>BUY</v>
      </c>
      <c r="G1575" s="16">
        <f>IFERROR(__xludf.DUMMYFUNCTION("GOOGLEFINANCE(A1575,""CLOSEYEST"")"),122.77)</f>
        <v>122.77</v>
      </c>
      <c r="H1575" s="17" t="str">
        <f t="shared" si="14"/>
        <v>GAP DOWN</v>
      </c>
      <c r="I1575" s="18">
        <f t="shared" si="9"/>
        <v>122.5866667</v>
      </c>
      <c r="J1575" s="19">
        <f t="shared" si="10"/>
        <v>124.0733333</v>
      </c>
      <c r="K1575" s="19"/>
      <c r="L1575" s="19">
        <f t="shared" si="11"/>
        <v>121.2833333</v>
      </c>
      <c r="M1575" s="19">
        <f t="shared" si="12"/>
        <v>125.3766667</v>
      </c>
      <c r="N1575" s="19">
        <f t="shared" si="13"/>
        <v>119.7966667</v>
      </c>
    </row>
    <row r="1576" ht="24.75" customHeight="1">
      <c r="A1576" s="21" t="s">
        <v>1539</v>
      </c>
      <c r="B1576" s="13">
        <f>IFERROR(__xludf.DUMMYFUNCTION("GOOGLEFINANCE(A1576,""PRICE"")"),138.8)</f>
        <v>138.8</v>
      </c>
      <c r="C1576" s="14">
        <f>IFERROR(__xludf.DUMMYFUNCTION("GOOGLEFINANCE(A1576,""PRICEOPEN"")"),131.4)</f>
        <v>131.4</v>
      </c>
      <c r="D1576" s="14">
        <f>IFERROR(__xludf.DUMMYFUNCTION("GOOGLEFINANCE(A1576,""HIGH"")"),139.36)</f>
        <v>139.36</v>
      </c>
      <c r="E1576" s="14">
        <f>IFERROR(__xludf.DUMMYFUNCTION("GOOGLEFINANCE(A1576,""LOW"")"),129.11)</f>
        <v>129.11</v>
      </c>
      <c r="F1576" s="15" t="str">
        <f t="shared" si="8"/>
        <v/>
      </c>
      <c r="G1576" s="16">
        <f>IFERROR(__xludf.DUMMYFUNCTION("GOOGLEFINANCE(A1576,""CLOSEYEST"")"),132.73)</f>
        <v>132.73</v>
      </c>
      <c r="H1576" s="17" t="str">
        <f t="shared" si="14"/>
        <v>GAP DOWN</v>
      </c>
      <c r="I1576" s="18">
        <f t="shared" si="9"/>
        <v>133.7333333</v>
      </c>
      <c r="J1576" s="19">
        <f t="shared" si="10"/>
        <v>138.3566667</v>
      </c>
      <c r="K1576" s="19"/>
      <c r="L1576" s="19">
        <f t="shared" si="11"/>
        <v>128.1066667</v>
      </c>
      <c r="M1576" s="19">
        <f t="shared" si="12"/>
        <v>143.9833333</v>
      </c>
      <c r="N1576" s="19">
        <f t="shared" si="13"/>
        <v>123.4833333</v>
      </c>
    </row>
    <row r="1577" ht="24.75" customHeight="1">
      <c r="A1577" s="21" t="s">
        <v>1540</v>
      </c>
      <c r="B1577" s="13">
        <f>IFERROR(__xludf.DUMMYFUNCTION("GOOGLEFINANCE(A1577,""PRICE"")"),68.5)</f>
        <v>68.5</v>
      </c>
      <c r="C1577" s="14">
        <f>IFERROR(__xludf.DUMMYFUNCTION("GOOGLEFINANCE(A1577,""PRICEOPEN"")"),69.74)</f>
        <v>69.74</v>
      </c>
      <c r="D1577" s="14">
        <f>IFERROR(__xludf.DUMMYFUNCTION("GOOGLEFINANCE(A1577,""HIGH"")"),69.74)</f>
        <v>69.74</v>
      </c>
      <c r="E1577" s="14">
        <f>IFERROR(__xludf.DUMMYFUNCTION("GOOGLEFINANCE(A1577,""LOW"")"),67.07)</f>
        <v>67.07</v>
      </c>
      <c r="F1577" s="15" t="str">
        <f t="shared" si="8"/>
        <v>SELL</v>
      </c>
      <c r="G1577" s="16">
        <f>IFERROR(__xludf.DUMMYFUNCTION("GOOGLEFINANCE(A1577,""CLOSEYEST"")"),68.65)</f>
        <v>68.65</v>
      </c>
      <c r="H1577" s="17" t="str">
        <f t="shared" si="14"/>
        <v>GAP UP</v>
      </c>
      <c r="I1577" s="18">
        <f t="shared" si="9"/>
        <v>68.48666667</v>
      </c>
      <c r="J1577" s="19">
        <f t="shared" si="10"/>
        <v>69.90333333</v>
      </c>
      <c r="K1577" s="19"/>
      <c r="L1577" s="19">
        <f t="shared" si="11"/>
        <v>67.23333333</v>
      </c>
      <c r="M1577" s="19">
        <f t="shared" si="12"/>
        <v>71.15666667</v>
      </c>
      <c r="N1577" s="19">
        <f t="shared" si="13"/>
        <v>65.81666667</v>
      </c>
    </row>
    <row r="1578" ht="24.75" customHeight="1">
      <c r="A1578" s="21" t="s">
        <v>1541</v>
      </c>
      <c r="B1578" s="13">
        <f>IFERROR(__xludf.DUMMYFUNCTION("GOOGLEFINANCE(A1578,""PRICE"")"),24.19)</f>
        <v>24.19</v>
      </c>
      <c r="C1578" s="14">
        <f>IFERROR(__xludf.DUMMYFUNCTION("GOOGLEFINANCE(A1578,""PRICEOPEN"")"),24.14)</f>
        <v>24.14</v>
      </c>
      <c r="D1578" s="14">
        <f>IFERROR(__xludf.DUMMYFUNCTION("GOOGLEFINANCE(A1578,""HIGH"")"),24.5)</f>
        <v>24.5</v>
      </c>
      <c r="E1578" s="14">
        <f>IFERROR(__xludf.DUMMYFUNCTION("GOOGLEFINANCE(A1578,""LOW"")"),23.8)</f>
        <v>23.8</v>
      </c>
      <c r="F1578" s="15" t="str">
        <f t="shared" si="8"/>
        <v/>
      </c>
      <c r="G1578" s="16">
        <f>IFERROR(__xludf.DUMMYFUNCTION("GOOGLEFINANCE(A1578,""CLOSEYEST"")"),24.14)</f>
        <v>24.14</v>
      </c>
      <c r="H1578" s="17" t="str">
        <f t="shared" si="14"/>
        <v/>
      </c>
      <c r="I1578" s="18">
        <f t="shared" si="9"/>
        <v>24.14666667</v>
      </c>
      <c r="J1578" s="19">
        <f t="shared" si="10"/>
        <v>24.49333333</v>
      </c>
      <c r="K1578" s="19"/>
      <c r="L1578" s="19">
        <f t="shared" si="11"/>
        <v>23.79333333</v>
      </c>
      <c r="M1578" s="19">
        <f t="shared" si="12"/>
        <v>24.84666667</v>
      </c>
      <c r="N1578" s="19">
        <f t="shared" si="13"/>
        <v>23.44666667</v>
      </c>
    </row>
    <row r="1579" ht="24.75" customHeight="1">
      <c r="A1579" s="21" t="s">
        <v>1542</v>
      </c>
      <c r="B1579" s="13">
        <f>IFERROR(__xludf.DUMMYFUNCTION("GOOGLEFINANCE(A1579,""PRICE"")"),122.75)</f>
        <v>122.75</v>
      </c>
      <c r="C1579" s="14">
        <f>IFERROR(__xludf.DUMMYFUNCTION("GOOGLEFINANCE(A1579,""PRICEOPEN"")"),123.0)</f>
        <v>123</v>
      </c>
      <c r="D1579" s="14">
        <f>IFERROR(__xludf.DUMMYFUNCTION("GOOGLEFINANCE(A1579,""HIGH"")"),125.0)</f>
        <v>125</v>
      </c>
      <c r="E1579" s="14">
        <f>IFERROR(__xludf.DUMMYFUNCTION("GOOGLEFINANCE(A1579,""LOW"")"),120.3)</f>
        <v>120.3</v>
      </c>
      <c r="F1579" s="15" t="str">
        <f t="shared" si="8"/>
        <v/>
      </c>
      <c r="G1579" s="16">
        <f>IFERROR(__xludf.DUMMYFUNCTION("GOOGLEFINANCE(A1579,""CLOSEYEST"")"),122.89)</f>
        <v>122.89</v>
      </c>
      <c r="H1579" s="17" t="str">
        <f t="shared" si="14"/>
        <v/>
      </c>
      <c r="I1579" s="18">
        <f t="shared" si="9"/>
        <v>122.73</v>
      </c>
      <c r="J1579" s="19">
        <f t="shared" si="10"/>
        <v>125.16</v>
      </c>
      <c r="K1579" s="19"/>
      <c r="L1579" s="19">
        <f t="shared" si="11"/>
        <v>120.46</v>
      </c>
      <c r="M1579" s="19">
        <f t="shared" si="12"/>
        <v>127.43</v>
      </c>
      <c r="N1579" s="19">
        <f t="shared" si="13"/>
        <v>118.03</v>
      </c>
    </row>
    <row r="1580" ht="24.75" customHeight="1">
      <c r="A1580" s="21" t="s">
        <v>1543</v>
      </c>
      <c r="B1580" s="13">
        <f>IFERROR(__xludf.DUMMYFUNCTION("GOOGLEFINANCE(A1580,""PRICE"")"),70.95)</f>
        <v>70.95</v>
      </c>
      <c r="C1580" s="14">
        <f>IFERROR(__xludf.DUMMYFUNCTION("GOOGLEFINANCE(A1580,""PRICEOPEN"")"),71.79)</f>
        <v>71.79</v>
      </c>
      <c r="D1580" s="14">
        <f>IFERROR(__xludf.DUMMYFUNCTION("GOOGLEFINANCE(A1580,""HIGH"")"),72.4)</f>
        <v>72.4</v>
      </c>
      <c r="E1580" s="14">
        <f>IFERROR(__xludf.DUMMYFUNCTION("GOOGLEFINANCE(A1580,""LOW"")"),70.59)</f>
        <v>70.59</v>
      </c>
      <c r="F1580" s="15" t="str">
        <f t="shared" si="8"/>
        <v/>
      </c>
      <c r="G1580" s="16">
        <f>IFERROR(__xludf.DUMMYFUNCTION("GOOGLEFINANCE(A1580,""CLOSEYEST"")"),71.25)</f>
        <v>71.25</v>
      </c>
      <c r="H1580" s="17" t="str">
        <f t="shared" si="14"/>
        <v/>
      </c>
      <c r="I1580" s="18">
        <f t="shared" si="9"/>
        <v>71.41333333</v>
      </c>
      <c r="J1580" s="19">
        <f t="shared" si="10"/>
        <v>72.23666667</v>
      </c>
      <c r="K1580" s="19"/>
      <c r="L1580" s="19">
        <f t="shared" si="11"/>
        <v>70.42666667</v>
      </c>
      <c r="M1580" s="19">
        <f t="shared" si="12"/>
        <v>73.22333333</v>
      </c>
      <c r="N1580" s="19">
        <f t="shared" si="13"/>
        <v>69.60333333</v>
      </c>
    </row>
    <row r="1581" ht="24.75" customHeight="1">
      <c r="A1581" s="21" t="s">
        <v>1544</v>
      </c>
      <c r="B1581" s="13">
        <f>IFERROR(__xludf.DUMMYFUNCTION("GOOGLEFINANCE(A1581,""PRICE"")"),33.5)</f>
        <v>33.5</v>
      </c>
      <c r="C1581" s="14">
        <f>IFERROR(__xludf.DUMMYFUNCTION("GOOGLEFINANCE(A1581,""PRICEOPEN"")"),33.3)</f>
        <v>33.3</v>
      </c>
      <c r="D1581" s="14">
        <f>IFERROR(__xludf.DUMMYFUNCTION("GOOGLEFINANCE(A1581,""HIGH"")"),33.5)</f>
        <v>33.5</v>
      </c>
      <c r="E1581" s="14">
        <f>IFERROR(__xludf.DUMMYFUNCTION("GOOGLEFINANCE(A1581,""LOW"")"),32.6)</f>
        <v>32.6</v>
      </c>
      <c r="F1581" s="15" t="str">
        <f t="shared" si="8"/>
        <v/>
      </c>
      <c r="G1581" s="16">
        <f>IFERROR(__xludf.DUMMYFUNCTION("GOOGLEFINANCE(A1581,""CLOSEYEST"")"),33.19)</f>
        <v>33.19</v>
      </c>
      <c r="H1581" s="17" t="str">
        <f t="shared" si="14"/>
        <v/>
      </c>
      <c r="I1581" s="18">
        <f t="shared" si="9"/>
        <v>33.09666667</v>
      </c>
      <c r="J1581" s="19">
        <f t="shared" si="10"/>
        <v>33.59333333</v>
      </c>
      <c r="K1581" s="19"/>
      <c r="L1581" s="19">
        <f t="shared" si="11"/>
        <v>32.69333333</v>
      </c>
      <c r="M1581" s="19">
        <f t="shared" si="12"/>
        <v>33.99666667</v>
      </c>
      <c r="N1581" s="19">
        <f t="shared" si="13"/>
        <v>32.19666667</v>
      </c>
    </row>
    <row r="1582" ht="24.75" customHeight="1">
      <c r="A1582" s="21" t="s">
        <v>1545</v>
      </c>
      <c r="B1582" s="13">
        <f>IFERROR(__xludf.DUMMYFUNCTION("GOOGLEFINANCE(A1582,""PRICE"")"),91.6)</f>
        <v>91.6</v>
      </c>
      <c r="C1582" s="14">
        <f>IFERROR(__xludf.DUMMYFUNCTION("GOOGLEFINANCE(A1582,""PRICEOPEN"")"),92.9)</f>
        <v>92.9</v>
      </c>
      <c r="D1582" s="14">
        <f>IFERROR(__xludf.DUMMYFUNCTION("GOOGLEFINANCE(A1582,""HIGH"")"),92.9)</f>
        <v>92.9</v>
      </c>
      <c r="E1582" s="14">
        <f>IFERROR(__xludf.DUMMYFUNCTION("GOOGLEFINANCE(A1582,""LOW"")"),91.6)</f>
        <v>91.6</v>
      </c>
      <c r="F1582" s="15" t="str">
        <f t="shared" si="8"/>
        <v>SELL</v>
      </c>
      <c r="G1582" s="16">
        <f>IFERROR(__xludf.DUMMYFUNCTION("GOOGLEFINANCE(A1582,""CLOSEYEST"")"),91.64)</f>
        <v>91.64</v>
      </c>
      <c r="H1582" s="17" t="str">
        <f t="shared" si="14"/>
        <v>GAP UP</v>
      </c>
      <c r="I1582" s="18">
        <f t="shared" si="9"/>
        <v>92.04666667</v>
      </c>
      <c r="J1582" s="19">
        <f t="shared" si="10"/>
        <v>92.49333333</v>
      </c>
      <c r="K1582" s="19"/>
      <c r="L1582" s="19">
        <f t="shared" si="11"/>
        <v>91.19333333</v>
      </c>
      <c r="M1582" s="19">
        <f t="shared" si="12"/>
        <v>93.34666667</v>
      </c>
      <c r="N1582" s="19">
        <f t="shared" si="13"/>
        <v>90.74666667</v>
      </c>
    </row>
    <row r="1583" ht="24.75" customHeight="1">
      <c r="A1583" s="21" t="s">
        <v>1546</v>
      </c>
      <c r="B1583" s="13">
        <f>IFERROR(__xludf.DUMMYFUNCTION("GOOGLEFINANCE(A1583,""PRICE"")"),108.0)</f>
        <v>108</v>
      </c>
      <c r="C1583" s="14">
        <f>IFERROR(__xludf.DUMMYFUNCTION("GOOGLEFINANCE(A1583,""PRICEOPEN"")"),107.0)</f>
        <v>107</v>
      </c>
      <c r="D1583" s="14">
        <f>IFERROR(__xludf.DUMMYFUNCTION("GOOGLEFINANCE(A1583,""HIGH"")"),108.46)</f>
        <v>108.46</v>
      </c>
      <c r="E1583" s="14">
        <f>IFERROR(__xludf.DUMMYFUNCTION("GOOGLEFINANCE(A1583,""LOW"")"),103.0)</f>
        <v>103</v>
      </c>
      <c r="F1583" s="15" t="str">
        <f t="shared" si="8"/>
        <v/>
      </c>
      <c r="G1583" s="16">
        <f>IFERROR(__xludf.DUMMYFUNCTION("GOOGLEFINANCE(A1583,""CLOSEYEST"")"),105.6)</f>
        <v>105.6</v>
      </c>
      <c r="H1583" s="17" t="str">
        <f t="shared" si="14"/>
        <v>GAP UP</v>
      </c>
      <c r="I1583" s="18">
        <f t="shared" si="9"/>
        <v>105.6866667</v>
      </c>
      <c r="J1583" s="19">
        <f t="shared" si="10"/>
        <v>108.3733333</v>
      </c>
      <c r="K1583" s="19"/>
      <c r="L1583" s="19">
        <f t="shared" si="11"/>
        <v>102.9133333</v>
      </c>
      <c r="M1583" s="19">
        <f t="shared" si="12"/>
        <v>111.1466667</v>
      </c>
      <c r="N1583" s="19">
        <f t="shared" si="13"/>
        <v>100.2266667</v>
      </c>
    </row>
    <row r="1584" ht="24.75" customHeight="1">
      <c r="A1584" s="21" t="s">
        <v>1547</v>
      </c>
      <c r="B1584" s="13">
        <f>IFERROR(__xludf.DUMMYFUNCTION("GOOGLEFINANCE(A1584,""PRICE"")"),38.07)</f>
        <v>38.07</v>
      </c>
      <c r="C1584" s="14">
        <f>IFERROR(__xludf.DUMMYFUNCTION("GOOGLEFINANCE(A1584,""PRICEOPEN"")"),38.07)</f>
        <v>38.07</v>
      </c>
      <c r="D1584" s="14">
        <f>IFERROR(__xludf.DUMMYFUNCTION("GOOGLEFINANCE(A1584,""HIGH"")"),38.07)</f>
        <v>38.07</v>
      </c>
      <c r="E1584" s="14">
        <f>IFERROR(__xludf.DUMMYFUNCTION("GOOGLEFINANCE(A1584,""LOW"")"),37.0)</f>
        <v>37</v>
      </c>
      <c r="F1584" s="15" t="str">
        <f t="shared" si="8"/>
        <v>SELL</v>
      </c>
      <c r="G1584" s="16">
        <f>IFERROR(__xludf.DUMMYFUNCTION("GOOGLEFINANCE(A1584,""CLOSEYEST"")"),36.26)</f>
        <v>36.26</v>
      </c>
      <c r="H1584" s="17" t="str">
        <f t="shared" si="14"/>
        <v>GAP UP</v>
      </c>
      <c r="I1584" s="18">
        <f t="shared" si="9"/>
        <v>37.11</v>
      </c>
      <c r="J1584" s="19">
        <f t="shared" si="10"/>
        <v>37.22</v>
      </c>
      <c r="K1584" s="19"/>
      <c r="L1584" s="19">
        <f t="shared" si="11"/>
        <v>36.15</v>
      </c>
      <c r="M1584" s="19">
        <f t="shared" si="12"/>
        <v>38.18</v>
      </c>
      <c r="N1584" s="19">
        <f t="shared" si="13"/>
        <v>36.04</v>
      </c>
    </row>
    <row r="1585" ht="24.75" customHeight="1">
      <c r="A1585" s="21" t="s">
        <v>1548</v>
      </c>
      <c r="B1585" s="13">
        <f>IFERROR(__xludf.DUMMYFUNCTION("GOOGLEFINANCE(A1585,""PRICE"")"),72.5)</f>
        <v>72.5</v>
      </c>
      <c r="C1585" s="14">
        <f>IFERROR(__xludf.DUMMYFUNCTION("GOOGLEFINANCE(A1585,""PRICEOPEN"")"),73.98)</f>
        <v>73.98</v>
      </c>
      <c r="D1585" s="14">
        <f>IFERROR(__xludf.DUMMYFUNCTION("GOOGLEFINANCE(A1585,""HIGH"")"),73.98)</f>
        <v>73.98</v>
      </c>
      <c r="E1585" s="14">
        <f>IFERROR(__xludf.DUMMYFUNCTION("GOOGLEFINANCE(A1585,""LOW"")"),70.91)</f>
        <v>70.91</v>
      </c>
      <c r="F1585" s="15" t="str">
        <f t="shared" si="8"/>
        <v>SELL</v>
      </c>
      <c r="G1585" s="16">
        <f>IFERROR(__xludf.DUMMYFUNCTION("GOOGLEFINANCE(A1585,""CLOSEYEST"")"),70.46)</f>
        <v>70.46</v>
      </c>
      <c r="H1585" s="17" t="str">
        <f t="shared" si="14"/>
        <v>GAP UP</v>
      </c>
      <c r="I1585" s="18">
        <f t="shared" si="9"/>
        <v>71.78333333</v>
      </c>
      <c r="J1585" s="19">
        <f t="shared" si="10"/>
        <v>72.65666667</v>
      </c>
      <c r="K1585" s="19"/>
      <c r="L1585" s="19">
        <f t="shared" si="11"/>
        <v>69.58666667</v>
      </c>
      <c r="M1585" s="19">
        <f t="shared" si="12"/>
        <v>74.85333333</v>
      </c>
      <c r="N1585" s="19">
        <f t="shared" si="13"/>
        <v>68.71333333</v>
      </c>
    </row>
    <row r="1586" ht="24.75" customHeight="1">
      <c r="A1586" s="21" t="s">
        <v>1549</v>
      </c>
      <c r="B1586" s="13">
        <f>IFERROR(__xludf.DUMMYFUNCTION("GOOGLEFINANCE(A1586,""PRICE"")"),9.11)</f>
        <v>9.11</v>
      </c>
      <c r="C1586" s="14">
        <f>IFERROR(__xludf.DUMMYFUNCTION("GOOGLEFINANCE(A1586,""PRICEOPEN"")"),9.11)</f>
        <v>9.11</v>
      </c>
      <c r="D1586" s="14">
        <f>IFERROR(__xludf.DUMMYFUNCTION("GOOGLEFINANCE(A1586,""HIGH"")"),9.11)</f>
        <v>9.11</v>
      </c>
      <c r="E1586" s="14">
        <f>IFERROR(__xludf.DUMMYFUNCTION("GOOGLEFINANCE(A1586,""LOW"")"),9.11)</f>
        <v>9.11</v>
      </c>
      <c r="F1586" s="15" t="str">
        <f t="shared" si="8"/>
        <v>SELL</v>
      </c>
      <c r="G1586" s="16">
        <f>IFERROR(__xludf.DUMMYFUNCTION("GOOGLEFINANCE(A1586,""CLOSEYEST"")"),8.68)</f>
        <v>8.68</v>
      </c>
      <c r="H1586" s="17" t="str">
        <f t="shared" si="14"/>
        <v>GAP UP</v>
      </c>
      <c r="I1586" s="18">
        <f t="shared" si="9"/>
        <v>8.966666667</v>
      </c>
      <c r="J1586" s="19">
        <f t="shared" si="10"/>
        <v>8.823333333</v>
      </c>
      <c r="K1586" s="19"/>
      <c r="L1586" s="19">
        <f t="shared" si="11"/>
        <v>8.823333333</v>
      </c>
      <c r="M1586" s="19">
        <f t="shared" si="12"/>
        <v>8.966666667</v>
      </c>
      <c r="N1586" s="19">
        <f t="shared" si="13"/>
        <v>8.966666667</v>
      </c>
    </row>
    <row r="1587" ht="24.75" customHeight="1">
      <c r="A1587" s="21" t="s">
        <v>1550</v>
      </c>
      <c r="B1587" s="13">
        <f>IFERROR(__xludf.DUMMYFUNCTION("GOOGLEFINANCE(A1587,""PRICE"")"),20.66)</f>
        <v>20.66</v>
      </c>
      <c r="C1587" s="14">
        <f>IFERROR(__xludf.DUMMYFUNCTION("GOOGLEFINANCE(A1587,""PRICEOPEN"")"),21.35)</f>
        <v>21.35</v>
      </c>
      <c r="D1587" s="14">
        <f>IFERROR(__xludf.DUMMYFUNCTION("GOOGLEFINANCE(A1587,""HIGH"")"),21.35)</f>
        <v>21.35</v>
      </c>
      <c r="E1587" s="14">
        <f>IFERROR(__xludf.DUMMYFUNCTION("GOOGLEFINANCE(A1587,""LOW"")"),20.0)</f>
        <v>20</v>
      </c>
      <c r="F1587" s="15" t="str">
        <f t="shared" si="8"/>
        <v>SELL</v>
      </c>
      <c r="G1587" s="16">
        <f>IFERROR(__xludf.DUMMYFUNCTION("GOOGLEFINANCE(A1587,""CLOSEYEST"")"),21.02)</f>
        <v>21.02</v>
      </c>
      <c r="H1587" s="17" t="str">
        <f t="shared" si="14"/>
        <v>GAP UP</v>
      </c>
      <c r="I1587" s="18">
        <f t="shared" si="9"/>
        <v>20.79</v>
      </c>
      <c r="J1587" s="19">
        <f t="shared" si="10"/>
        <v>21.58</v>
      </c>
      <c r="K1587" s="19"/>
      <c r="L1587" s="19">
        <f t="shared" si="11"/>
        <v>20.23</v>
      </c>
      <c r="M1587" s="19">
        <f t="shared" si="12"/>
        <v>22.14</v>
      </c>
      <c r="N1587" s="19">
        <f t="shared" si="13"/>
        <v>19.44</v>
      </c>
    </row>
    <row r="1588" ht="24.75" customHeight="1">
      <c r="A1588" s="21" t="s">
        <v>1551</v>
      </c>
      <c r="B1588" s="13" t="str">
        <f>IFERROR(__xludf.DUMMYFUNCTION("GOOGLEFINANCE(A1588,""PRICE"")"),"#N/A")</f>
        <v>#N/A</v>
      </c>
      <c r="C1588" s="14" t="str">
        <f>IFERROR(__xludf.DUMMYFUNCTION("GOOGLEFINANCE(A1588,""PRICEOPEN"")"),"#N/A")</f>
        <v>#N/A</v>
      </c>
      <c r="D1588" s="14" t="str">
        <f>IFERROR(__xludf.DUMMYFUNCTION("GOOGLEFINANCE(A1588,""HIGH"")"),"#N/A")</f>
        <v>#N/A</v>
      </c>
      <c r="E1588" s="14" t="str">
        <f>IFERROR(__xludf.DUMMYFUNCTION("GOOGLEFINANCE(A1588,""LOW"")"),"#N/A")</f>
        <v>#N/A</v>
      </c>
      <c r="F1588" s="15" t="str">
        <f t="shared" si="8"/>
        <v>#N/A</v>
      </c>
      <c r="G1588" s="16" t="str">
        <f>IFERROR(__xludf.DUMMYFUNCTION("GOOGLEFINANCE(A1588,""CLOSEYEST"")"),"#N/A")</f>
        <v>#N/A</v>
      </c>
      <c r="H1588" s="17" t="str">
        <f t="shared" si="14"/>
        <v>#N/A</v>
      </c>
      <c r="I1588" s="18" t="str">
        <f t="shared" si="9"/>
        <v>#N/A</v>
      </c>
      <c r="J1588" s="19" t="str">
        <f t="shared" si="10"/>
        <v>#N/A</v>
      </c>
      <c r="K1588" s="19"/>
      <c r="L1588" s="19" t="str">
        <f t="shared" si="11"/>
        <v>#N/A</v>
      </c>
      <c r="M1588" s="19" t="str">
        <f t="shared" si="12"/>
        <v>#N/A</v>
      </c>
      <c r="N1588" s="19" t="str">
        <f t="shared" si="13"/>
        <v>#N/A</v>
      </c>
    </row>
    <row r="1589" ht="24.75" customHeight="1">
      <c r="A1589" s="21" t="s">
        <v>1552</v>
      </c>
      <c r="B1589" s="13">
        <f>IFERROR(__xludf.DUMMYFUNCTION("GOOGLEFINANCE(A1589,""PRICE"")"),99.99)</f>
        <v>99.99</v>
      </c>
      <c r="C1589" s="14">
        <f>IFERROR(__xludf.DUMMYFUNCTION("GOOGLEFINANCE(A1589,""PRICEOPEN"")"),101.32)</f>
        <v>101.32</v>
      </c>
      <c r="D1589" s="14">
        <f>IFERROR(__xludf.DUMMYFUNCTION("GOOGLEFINANCE(A1589,""HIGH"")"),102.2)</f>
        <v>102.2</v>
      </c>
      <c r="E1589" s="14">
        <f>IFERROR(__xludf.DUMMYFUNCTION("GOOGLEFINANCE(A1589,""LOW"")"),99.6)</f>
        <v>99.6</v>
      </c>
      <c r="F1589" s="15" t="str">
        <f t="shared" si="8"/>
        <v/>
      </c>
      <c r="G1589" s="16">
        <f>IFERROR(__xludf.DUMMYFUNCTION("GOOGLEFINANCE(A1589,""CLOSEYEST"")"),101.32)</f>
        <v>101.32</v>
      </c>
      <c r="H1589" s="17" t="str">
        <f t="shared" si="14"/>
        <v/>
      </c>
      <c r="I1589" s="18">
        <f t="shared" si="9"/>
        <v>101.04</v>
      </c>
      <c r="J1589" s="19">
        <f t="shared" si="10"/>
        <v>102.48</v>
      </c>
      <c r="K1589" s="19"/>
      <c r="L1589" s="19">
        <f t="shared" si="11"/>
        <v>99.88</v>
      </c>
      <c r="M1589" s="19">
        <f t="shared" si="12"/>
        <v>103.64</v>
      </c>
      <c r="N1589" s="19">
        <f t="shared" si="13"/>
        <v>98.44</v>
      </c>
    </row>
    <row r="1590" ht="24.75" customHeight="1">
      <c r="A1590" s="21" t="s">
        <v>1553</v>
      </c>
      <c r="B1590" s="13">
        <f>IFERROR(__xludf.DUMMYFUNCTION("GOOGLEFINANCE(A1590,""PRICE"")"),102.0)</f>
        <v>102</v>
      </c>
      <c r="C1590" s="14">
        <f>IFERROR(__xludf.DUMMYFUNCTION("GOOGLEFINANCE(A1590,""PRICEOPEN"")"),101.24)</f>
        <v>101.24</v>
      </c>
      <c r="D1590" s="14">
        <f>IFERROR(__xludf.DUMMYFUNCTION("GOOGLEFINANCE(A1590,""HIGH"")"),102.84)</f>
        <v>102.84</v>
      </c>
      <c r="E1590" s="14">
        <f>IFERROR(__xludf.DUMMYFUNCTION("GOOGLEFINANCE(A1590,""LOW"")"),101.05)</f>
        <v>101.05</v>
      </c>
      <c r="F1590" s="15" t="str">
        <f t="shared" si="8"/>
        <v/>
      </c>
      <c r="G1590" s="16">
        <f>IFERROR(__xludf.DUMMYFUNCTION("GOOGLEFINANCE(A1590,""CLOSEYEST"")"),101.85)</f>
        <v>101.85</v>
      </c>
      <c r="H1590" s="17" t="str">
        <f t="shared" si="14"/>
        <v/>
      </c>
      <c r="I1590" s="18">
        <f t="shared" si="9"/>
        <v>101.9133333</v>
      </c>
      <c r="J1590" s="19">
        <f t="shared" si="10"/>
        <v>102.7766667</v>
      </c>
      <c r="K1590" s="19"/>
      <c r="L1590" s="19">
        <f t="shared" si="11"/>
        <v>100.9866667</v>
      </c>
      <c r="M1590" s="19">
        <f t="shared" si="12"/>
        <v>103.7033333</v>
      </c>
      <c r="N1590" s="19">
        <f t="shared" si="13"/>
        <v>100.1233333</v>
      </c>
    </row>
    <row r="1591" ht="24.75" customHeight="1">
      <c r="A1591" s="21" t="s">
        <v>1554</v>
      </c>
      <c r="B1591" s="13">
        <f>IFERROR(__xludf.DUMMYFUNCTION("GOOGLEFINANCE(A1591,""PRICE"")"),0.59)</f>
        <v>0.59</v>
      </c>
      <c r="C1591" s="14">
        <f>IFERROR(__xludf.DUMMYFUNCTION("GOOGLEFINANCE(A1591,""PRICEOPEN"")"),0.59)</f>
        <v>0.59</v>
      </c>
      <c r="D1591" s="14">
        <f>IFERROR(__xludf.DUMMYFUNCTION("GOOGLEFINANCE(A1591,""HIGH"")"),0.6)</f>
        <v>0.6</v>
      </c>
      <c r="E1591" s="14">
        <f>IFERROR(__xludf.DUMMYFUNCTION("GOOGLEFINANCE(A1591,""LOW"")"),0.58)</f>
        <v>0.58</v>
      </c>
      <c r="F1591" s="15" t="str">
        <f t="shared" si="8"/>
        <v/>
      </c>
      <c r="G1591" s="16">
        <f>IFERROR(__xludf.DUMMYFUNCTION("GOOGLEFINANCE(A1591,""CLOSEYEST"")"),0.59)</f>
        <v>0.59</v>
      </c>
      <c r="H1591" s="17" t="str">
        <f t="shared" si="14"/>
        <v/>
      </c>
      <c r="I1591" s="18">
        <f t="shared" si="9"/>
        <v>0.59</v>
      </c>
      <c r="J1591" s="19">
        <f t="shared" si="10"/>
        <v>0.6</v>
      </c>
      <c r="K1591" s="19"/>
      <c r="L1591" s="19">
        <f t="shared" si="11"/>
        <v>0.58</v>
      </c>
      <c r="M1591" s="19">
        <f t="shared" si="12"/>
        <v>0.61</v>
      </c>
      <c r="N1591" s="19">
        <f t="shared" si="13"/>
        <v>0.57</v>
      </c>
    </row>
    <row r="1592" ht="24.75" customHeight="1">
      <c r="A1592" s="21" t="s">
        <v>1555</v>
      </c>
      <c r="B1592" s="13">
        <f>IFERROR(__xludf.DUMMYFUNCTION("GOOGLEFINANCE(A1592,""PRICE"")"),1.22)</f>
        <v>1.22</v>
      </c>
      <c r="C1592" s="14">
        <f>IFERROR(__xludf.DUMMYFUNCTION("GOOGLEFINANCE(A1592,""PRICEOPEN"")"),1.18)</f>
        <v>1.18</v>
      </c>
      <c r="D1592" s="14">
        <f>IFERROR(__xludf.DUMMYFUNCTION("GOOGLEFINANCE(A1592,""HIGH"")"),1.29)</f>
        <v>1.29</v>
      </c>
      <c r="E1592" s="14">
        <f>IFERROR(__xludf.DUMMYFUNCTION("GOOGLEFINANCE(A1592,""LOW"")"),1.18)</f>
        <v>1.18</v>
      </c>
      <c r="F1592" s="15" t="str">
        <f t="shared" si="8"/>
        <v>BUY</v>
      </c>
      <c r="G1592" s="16">
        <f>IFERROR(__xludf.DUMMYFUNCTION("GOOGLEFINANCE(A1592,""CLOSEYEST"")"),1.23)</f>
        <v>1.23</v>
      </c>
      <c r="H1592" s="17" t="str">
        <f t="shared" si="14"/>
        <v>GAP DOWN</v>
      </c>
      <c r="I1592" s="18">
        <f t="shared" si="9"/>
        <v>1.233333333</v>
      </c>
      <c r="J1592" s="19">
        <f t="shared" si="10"/>
        <v>1.286666667</v>
      </c>
      <c r="K1592" s="19"/>
      <c r="L1592" s="19">
        <f t="shared" si="11"/>
        <v>1.176666667</v>
      </c>
      <c r="M1592" s="19">
        <f t="shared" si="12"/>
        <v>1.343333333</v>
      </c>
      <c r="N1592" s="19">
        <f t="shared" si="13"/>
        <v>1.123333333</v>
      </c>
    </row>
    <row r="1593" ht="15.75" customHeight="1">
      <c r="A1593" s="22"/>
    </row>
    <row r="1594" ht="15.75" customHeight="1">
      <c r="A1594" s="22"/>
    </row>
    <row r="1595" ht="15.75" customHeight="1">
      <c r="A1595" s="22"/>
    </row>
  </sheetData>
  <mergeCells count="1">
    <mergeCell ref="B1:N1"/>
  </mergeCells>
  <conditionalFormatting sqref="H2:H1592">
    <cfRule type="containsText" dxfId="0" priority="1" operator="containsText" text="GAP UP">
      <formula>NOT(ISERROR(SEARCH(("GAP UP"),(H2))))</formula>
    </cfRule>
  </conditionalFormatting>
  <conditionalFormatting sqref="H2:H1592">
    <cfRule type="containsText" dxfId="1" priority="2" operator="containsText" text="GAP DOWN">
      <formula>NOT(ISERROR(SEARCH(("GAP DOWN"),(H2))))</formula>
    </cfRule>
  </conditionalFormatting>
  <conditionalFormatting sqref="F2:F1592">
    <cfRule type="containsText" dxfId="0" priority="3" operator="containsText" text="BUY">
      <formula>NOT(ISERROR(SEARCH(("BUY"),(F2))))</formula>
    </cfRule>
  </conditionalFormatting>
  <conditionalFormatting sqref="F2:F1592">
    <cfRule type="containsText" dxfId="2" priority="4" operator="containsText" text="SELL">
      <formula>NOT(ISERROR(SEARCH(("SELL"),(F2))))</formula>
    </cfRule>
  </conditionalFormatting>
  <conditionalFormatting sqref="F2:F1592">
    <cfRule type="containsBlanks" dxfId="3" priority="5">
      <formula>LEN(TRIM(F2))=0</formula>
    </cfRule>
  </conditionalFormatting>
  <conditionalFormatting sqref="H2:H1592">
    <cfRule type="containsBlanks" dxfId="4" priority="6">
      <formula>LEN(TRIM(H2))=0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3" t="s">
        <v>1556</v>
      </c>
    </row>
    <row r="2">
      <c r="A2" s="24" t="str">
        <f>WEBSERVICE("https://query1.finance.yahoo.com/v7/finance/quote?symbols=BPCL.NS")</f>
        <v>#NAME?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/>
  <cols>
    <col customWidth="1" min="1" max="1" width="35.0"/>
    <col customWidth="1" min="2" max="2" width="17.38"/>
    <col customWidth="1" min="3" max="4" width="12.63"/>
    <col customWidth="1" min="5" max="5" width="9.63"/>
    <col customWidth="1" min="6" max="6" width="37.38"/>
    <col customWidth="1" min="7" max="7" width="22.88"/>
    <col customWidth="1" min="8" max="8" width="42.38"/>
    <col customWidth="1" min="9" max="9" width="20.25"/>
    <col customWidth="1" min="10" max="11" width="19.0"/>
    <col customWidth="1" min="12" max="12" width="15.38"/>
  </cols>
  <sheetData>
    <row r="1" ht="69.75" customHeight="1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4"/>
    </row>
    <row r="2" ht="24.75" customHeight="1">
      <c r="A2" s="5" t="s">
        <v>2</v>
      </c>
      <c r="B2" s="6" t="s">
        <v>3</v>
      </c>
      <c r="C2" s="7" t="s">
        <v>4</v>
      </c>
      <c r="D2" s="7" t="s">
        <v>5</v>
      </c>
      <c r="E2" s="7" t="s">
        <v>6</v>
      </c>
      <c r="F2" s="8" t="s">
        <v>7</v>
      </c>
      <c r="G2" s="7" t="s">
        <v>8</v>
      </c>
      <c r="H2" s="9" t="s">
        <v>9</v>
      </c>
      <c r="I2" s="10" t="s">
        <v>10</v>
      </c>
      <c r="J2" s="11" t="s">
        <v>11</v>
      </c>
      <c r="K2" s="11"/>
      <c r="L2" s="11" t="s">
        <v>12</v>
      </c>
      <c r="M2" s="11" t="s">
        <v>13</v>
      </c>
      <c r="N2" s="11" t="s">
        <v>14</v>
      </c>
    </row>
    <row r="3" ht="24.75" customHeight="1">
      <c r="A3" s="12" t="s">
        <v>15</v>
      </c>
      <c r="B3" s="13">
        <f>IFERROR(__xludf.DUMMYFUNCTION("GOOGLEFINANCE(A3,""PRICE"")"),2586.1)</f>
        <v>2586.1</v>
      </c>
      <c r="C3" s="14">
        <f>IFERROR(__xludf.DUMMYFUNCTION("GOOGLEFINANCE(A3,""PRICEOPEN"")"),2595.0)</f>
        <v>2595</v>
      </c>
      <c r="D3" s="14">
        <f>IFERROR(__xludf.DUMMYFUNCTION("GOOGLEFINANCE(A3,""HIGH"")"),2612.9)</f>
        <v>2612.9</v>
      </c>
      <c r="E3" s="14">
        <f>IFERROR(__xludf.DUMMYFUNCTION("GOOGLEFINANCE(A3,""LOW"")"),2564.4)</f>
        <v>2564.4</v>
      </c>
      <c r="F3" s="15" t="str">
        <f t="shared" ref="F3:F22" si="1">IF(C3=D3,"SELL",IF(C3=E3,"BUY", ""))</f>
        <v/>
      </c>
      <c r="G3" s="16">
        <f>IFERROR(__xludf.DUMMYFUNCTION("GOOGLEFINANCE(A3,""CLOSEYEST"")"),2592.7)</f>
        <v>2592.7</v>
      </c>
      <c r="H3" s="17" t="str">
        <f t="shared" ref="H3:H22" si="2">IF(C3&gt;=(G3+(G3*1%)),"GAP UP",IF(C3&lt;=(G3-(G3*1%)),"GAP DOWN",""))</f>
        <v/>
      </c>
      <c r="I3" s="18">
        <f t="shared" ref="I3:I22" si="3">(D3+E3+G3)/3</f>
        <v>2590</v>
      </c>
      <c r="J3" s="19">
        <f t="shared" ref="J3:J22" si="4">(I3*2)-E3</f>
        <v>2615.6</v>
      </c>
      <c r="K3" s="19"/>
      <c r="L3" s="19">
        <f t="shared" ref="L3:L22" si="5">(I3*2)-D3</f>
        <v>2567.1</v>
      </c>
      <c r="M3" s="19">
        <f t="shared" ref="M3:M22" si="6">I3+(J3-L3)</f>
        <v>2638.5</v>
      </c>
      <c r="N3" s="19">
        <f t="shared" ref="N3:N22" si="7">I3-(J3-L3)</f>
        <v>2541.5</v>
      </c>
    </row>
    <row r="4" ht="24.75" customHeight="1">
      <c r="A4" s="12" t="s">
        <v>16</v>
      </c>
      <c r="B4" s="13">
        <f>IFERROR(__xludf.DUMMYFUNCTION("GOOGLEFINANCE(A4,""PRICE"")"),1419.9)</f>
        <v>1419.9</v>
      </c>
      <c r="C4" s="14">
        <f>IFERROR(__xludf.DUMMYFUNCTION("GOOGLEFINANCE(A4,""PRICEOPEN"")"),1413.0)</f>
        <v>1413</v>
      </c>
      <c r="D4" s="14">
        <f>IFERROR(__xludf.DUMMYFUNCTION("GOOGLEFINANCE(A4,""HIGH"")"),1431.0)</f>
        <v>1431</v>
      </c>
      <c r="E4" s="14">
        <f>IFERROR(__xludf.DUMMYFUNCTION("GOOGLEFINANCE(A4,""LOW"")"),1412.5)</f>
        <v>1412.5</v>
      </c>
      <c r="F4" s="15" t="str">
        <f t="shared" si="1"/>
        <v/>
      </c>
      <c r="G4" s="16">
        <f>IFERROR(__xludf.DUMMYFUNCTION("GOOGLEFINANCE(A4,""CLOSEYEST"")"),1422.7)</f>
        <v>1422.7</v>
      </c>
      <c r="H4" s="17" t="str">
        <f t="shared" si="2"/>
        <v/>
      </c>
      <c r="I4" s="18">
        <f t="shared" si="3"/>
        <v>1422.066667</v>
      </c>
      <c r="J4" s="19">
        <f t="shared" si="4"/>
        <v>1431.633333</v>
      </c>
      <c r="K4" s="19"/>
      <c r="L4" s="19">
        <f t="shared" si="5"/>
        <v>1413.133333</v>
      </c>
      <c r="M4" s="19">
        <f t="shared" si="6"/>
        <v>1440.566667</v>
      </c>
      <c r="N4" s="19">
        <f t="shared" si="7"/>
        <v>1403.566667</v>
      </c>
    </row>
    <row r="5" ht="24.75" customHeight="1">
      <c r="A5" s="12" t="s">
        <v>17</v>
      </c>
      <c r="B5" s="13">
        <f>IFERROR(__xludf.DUMMYFUNCTION("GOOGLEFINANCE(A5,""PRICE"")"),7450.0)</f>
        <v>7450</v>
      </c>
      <c r="C5" s="14">
        <f>IFERROR(__xludf.DUMMYFUNCTION("GOOGLEFINANCE(A5,""PRICEOPEN"")"),7441.0)</f>
        <v>7441</v>
      </c>
      <c r="D5" s="14">
        <f>IFERROR(__xludf.DUMMYFUNCTION("GOOGLEFINANCE(A5,""HIGH"")"),7484.0)</f>
        <v>7484</v>
      </c>
      <c r="E5" s="14">
        <f>IFERROR(__xludf.DUMMYFUNCTION("GOOGLEFINANCE(A5,""LOW"")"),7404.0)</f>
        <v>7404</v>
      </c>
      <c r="F5" s="15" t="str">
        <f t="shared" si="1"/>
        <v/>
      </c>
      <c r="G5" s="16">
        <f>IFERROR(__xludf.DUMMYFUNCTION("GOOGLEFINANCE(A5,""CLOSEYEST"")"),7441.0)</f>
        <v>7441</v>
      </c>
      <c r="H5" s="17" t="str">
        <f t="shared" si="2"/>
        <v/>
      </c>
      <c r="I5" s="18">
        <f t="shared" si="3"/>
        <v>7443</v>
      </c>
      <c r="J5" s="19">
        <f t="shared" si="4"/>
        <v>7482</v>
      </c>
      <c r="K5" s="19"/>
      <c r="L5" s="19">
        <f t="shared" si="5"/>
        <v>7402</v>
      </c>
      <c r="M5" s="19">
        <f t="shared" si="6"/>
        <v>7523</v>
      </c>
      <c r="N5" s="19">
        <f t="shared" si="7"/>
        <v>7363</v>
      </c>
    </row>
    <row r="6" ht="24.75" customHeight="1">
      <c r="A6" s="12" t="s">
        <v>18</v>
      </c>
      <c r="B6" s="13">
        <f>IFERROR(__xludf.DUMMYFUNCTION("GOOGLEFINANCE(A6,""PRICE"")"),2358.1)</f>
        <v>2358.1</v>
      </c>
      <c r="C6" s="14">
        <f>IFERROR(__xludf.DUMMYFUNCTION("GOOGLEFINANCE(A6,""PRICEOPEN"")"),2342.2)</f>
        <v>2342.2</v>
      </c>
      <c r="D6" s="14">
        <f>IFERROR(__xludf.DUMMYFUNCTION("GOOGLEFINANCE(A6,""HIGH"")"),2362.7)</f>
        <v>2362.7</v>
      </c>
      <c r="E6" s="14">
        <f>IFERROR(__xludf.DUMMYFUNCTION("GOOGLEFINANCE(A6,""LOW"")"),2336.1)</f>
        <v>2336.1</v>
      </c>
      <c r="F6" s="15" t="str">
        <f t="shared" si="1"/>
        <v/>
      </c>
      <c r="G6" s="16">
        <f>IFERROR(__xludf.DUMMYFUNCTION("GOOGLEFINANCE(A6,""CLOSEYEST"")"),2335.8)</f>
        <v>2335.8</v>
      </c>
      <c r="H6" s="17" t="str">
        <f t="shared" si="2"/>
        <v/>
      </c>
      <c r="I6" s="18">
        <f t="shared" si="3"/>
        <v>2344.866667</v>
      </c>
      <c r="J6" s="19">
        <f t="shared" si="4"/>
        <v>2353.633333</v>
      </c>
      <c r="K6" s="19"/>
      <c r="L6" s="19">
        <f t="shared" si="5"/>
        <v>2327.033333</v>
      </c>
      <c r="M6" s="19">
        <f t="shared" si="6"/>
        <v>2371.466667</v>
      </c>
      <c r="N6" s="19">
        <f t="shared" si="7"/>
        <v>2318.266667</v>
      </c>
    </row>
    <row r="7" ht="24.75" customHeight="1">
      <c r="A7" s="12" t="s">
        <v>19</v>
      </c>
      <c r="B7" s="13">
        <f>IFERROR(__xludf.DUMMYFUNCTION("GOOGLEFINANCE(A7,""PRICE"")"),1183.0)</f>
        <v>1183</v>
      </c>
      <c r="C7" s="14">
        <f>IFERROR(__xludf.DUMMYFUNCTION("GOOGLEFINANCE(A7,""PRICEOPEN"")"),1171.0)</f>
        <v>1171</v>
      </c>
      <c r="D7" s="14">
        <f>IFERROR(__xludf.DUMMYFUNCTION("GOOGLEFINANCE(A7,""HIGH"")"),1188.0)</f>
        <v>1188</v>
      </c>
      <c r="E7" s="14">
        <f>IFERROR(__xludf.DUMMYFUNCTION("GOOGLEFINANCE(A7,""LOW"")"),1169.5)</f>
        <v>1169.5</v>
      </c>
      <c r="F7" s="15" t="str">
        <f t="shared" si="1"/>
        <v/>
      </c>
      <c r="G7" s="16">
        <f>IFERROR(__xludf.DUMMYFUNCTION("GOOGLEFINANCE(A7,""CLOSEYEST"")"),1159.5)</f>
        <v>1159.5</v>
      </c>
      <c r="H7" s="17" t="str">
        <f t="shared" si="2"/>
        <v/>
      </c>
      <c r="I7" s="18">
        <f t="shared" si="3"/>
        <v>1172.333333</v>
      </c>
      <c r="J7" s="19">
        <f t="shared" si="4"/>
        <v>1175.166667</v>
      </c>
      <c r="K7" s="19"/>
      <c r="L7" s="19">
        <f t="shared" si="5"/>
        <v>1156.666667</v>
      </c>
      <c r="M7" s="19">
        <f t="shared" si="6"/>
        <v>1190.833333</v>
      </c>
      <c r="N7" s="19">
        <f t="shared" si="7"/>
        <v>1153.833333</v>
      </c>
    </row>
    <row r="8" ht="24.75" customHeight="1">
      <c r="A8" s="12" t="s">
        <v>20</v>
      </c>
      <c r="B8" s="13">
        <f>IFERROR(__xludf.DUMMYFUNCTION("GOOGLEFINANCE(A8,""PRICE"")"),8685.0)</f>
        <v>8685</v>
      </c>
      <c r="C8" s="14">
        <f>IFERROR(__xludf.DUMMYFUNCTION("GOOGLEFINANCE(A8,""PRICEOPEN"")"),8626.5)</f>
        <v>8626.5</v>
      </c>
      <c r="D8" s="14">
        <f>IFERROR(__xludf.DUMMYFUNCTION("GOOGLEFINANCE(A8,""HIGH"")"),8698.5)</f>
        <v>8698.5</v>
      </c>
      <c r="E8" s="14">
        <f>IFERROR(__xludf.DUMMYFUNCTION("GOOGLEFINANCE(A8,""LOW"")"),8491.5)</f>
        <v>8491.5</v>
      </c>
      <c r="F8" s="15" t="str">
        <f t="shared" si="1"/>
        <v/>
      </c>
      <c r="G8" s="16">
        <f>IFERROR(__xludf.DUMMYFUNCTION("GOOGLEFINANCE(A8,""CLOSEYEST"")"),8626.5)</f>
        <v>8626.5</v>
      </c>
      <c r="H8" s="17" t="str">
        <f t="shared" si="2"/>
        <v/>
      </c>
      <c r="I8" s="18">
        <f t="shared" si="3"/>
        <v>8605.5</v>
      </c>
      <c r="J8" s="19">
        <f t="shared" si="4"/>
        <v>8719.5</v>
      </c>
      <c r="K8" s="19"/>
      <c r="L8" s="19">
        <f t="shared" si="5"/>
        <v>8512.5</v>
      </c>
      <c r="M8" s="19">
        <f t="shared" si="6"/>
        <v>8812.5</v>
      </c>
      <c r="N8" s="19">
        <f t="shared" si="7"/>
        <v>8398.5</v>
      </c>
    </row>
    <row r="9" ht="24.75" customHeight="1">
      <c r="A9" s="12" t="s">
        <v>21</v>
      </c>
      <c r="B9" s="13">
        <f>IFERROR(__xludf.DUMMYFUNCTION("GOOGLEFINANCE(A9,""PRICE"")"),990.0)</f>
        <v>990</v>
      </c>
      <c r="C9" s="14">
        <f>IFERROR(__xludf.DUMMYFUNCTION("GOOGLEFINANCE(A9,""PRICEOPEN"")"),975.0)</f>
        <v>975</v>
      </c>
      <c r="D9" s="14">
        <f>IFERROR(__xludf.DUMMYFUNCTION("GOOGLEFINANCE(A9,""HIGH"")"),992.2)</f>
        <v>992.2</v>
      </c>
      <c r="E9" s="14">
        <f>IFERROR(__xludf.DUMMYFUNCTION("GOOGLEFINANCE(A9,""LOW"")"),972.0)</f>
        <v>972</v>
      </c>
      <c r="F9" s="15" t="str">
        <f t="shared" si="1"/>
        <v/>
      </c>
      <c r="G9" s="16">
        <f>IFERROR(__xludf.DUMMYFUNCTION("GOOGLEFINANCE(A9,""CLOSEYEST"")"),987.7)</f>
        <v>987.7</v>
      </c>
      <c r="H9" s="17" t="str">
        <f t="shared" si="2"/>
        <v>GAP DOWN</v>
      </c>
      <c r="I9" s="18">
        <f t="shared" si="3"/>
        <v>983.9666667</v>
      </c>
      <c r="J9" s="19">
        <f t="shared" si="4"/>
        <v>995.9333333</v>
      </c>
      <c r="K9" s="19"/>
      <c r="L9" s="19">
        <f t="shared" si="5"/>
        <v>975.7333333</v>
      </c>
      <c r="M9" s="19">
        <f t="shared" si="6"/>
        <v>1004.166667</v>
      </c>
      <c r="N9" s="19">
        <f t="shared" si="7"/>
        <v>963.7666667</v>
      </c>
    </row>
    <row r="10" ht="24.75" customHeight="1">
      <c r="A10" s="12" t="s">
        <v>22</v>
      </c>
      <c r="B10" s="13">
        <f>IFERROR(__xludf.DUMMYFUNCTION("GOOGLEFINANCE(A10,""PRICE"")"),1994.2)</f>
        <v>1994.2</v>
      </c>
      <c r="C10" s="14">
        <f>IFERROR(__xludf.DUMMYFUNCTION("GOOGLEFINANCE(A10,""PRICEOPEN"")"),2016.5)</f>
        <v>2016.5</v>
      </c>
      <c r="D10" s="14">
        <f>IFERROR(__xludf.DUMMYFUNCTION("GOOGLEFINANCE(A10,""HIGH"")"),2017.0)</f>
        <v>2017</v>
      </c>
      <c r="E10" s="14">
        <f>IFERROR(__xludf.DUMMYFUNCTION("GOOGLEFINANCE(A10,""LOW"")"),1968.0)</f>
        <v>1968</v>
      </c>
      <c r="F10" s="15" t="str">
        <f t="shared" si="1"/>
        <v/>
      </c>
      <c r="G10" s="16">
        <f>IFERROR(__xludf.DUMMYFUNCTION("GOOGLEFINANCE(A10,""CLOSEYEST"")"),2007.0)</f>
        <v>2007</v>
      </c>
      <c r="H10" s="17" t="str">
        <f t="shared" si="2"/>
        <v/>
      </c>
      <c r="I10" s="18">
        <f t="shared" si="3"/>
        <v>1997.333333</v>
      </c>
      <c r="J10" s="19">
        <f t="shared" si="4"/>
        <v>2026.666667</v>
      </c>
      <c r="K10" s="19"/>
      <c r="L10" s="19">
        <f t="shared" si="5"/>
        <v>1977.666667</v>
      </c>
      <c r="M10" s="19">
        <f t="shared" si="6"/>
        <v>2046.333333</v>
      </c>
      <c r="N10" s="19">
        <f t="shared" si="7"/>
        <v>1948.333333</v>
      </c>
    </row>
    <row r="11" ht="24.75" customHeight="1">
      <c r="A11" s="12" t="s">
        <v>23</v>
      </c>
      <c r="B11" s="13">
        <f>IFERROR(__xludf.DUMMYFUNCTION("GOOGLEFINANCE(A11,""PRICE"")"),342.0)</f>
        <v>342</v>
      </c>
      <c r="C11" s="14">
        <f>IFERROR(__xludf.DUMMYFUNCTION("GOOGLEFINANCE(A11,""PRICEOPEN"")"),344.0)</f>
        <v>344</v>
      </c>
      <c r="D11" s="14">
        <f>IFERROR(__xludf.DUMMYFUNCTION("GOOGLEFINANCE(A11,""HIGH"")"),344.9)</f>
        <v>344.9</v>
      </c>
      <c r="E11" s="14">
        <f>IFERROR(__xludf.DUMMYFUNCTION("GOOGLEFINANCE(A11,""LOW"")"),337.6)</f>
        <v>337.6</v>
      </c>
      <c r="F11" s="15" t="str">
        <f t="shared" si="1"/>
        <v/>
      </c>
      <c r="G11" s="16">
        <f>IFERROR(__xludf.DUMMYFUNCTION("GOOGLEFINANCE(A11,""CLOSEYEST"")"),339.7)</f>
        <v>339.7</v>
      </c>
      <c r="H11" s="17" t="str">
        <f t="shared" si="2"/>
        <v>GAP UP</v>
      </c>
      <c r="I11" s="18">
        <f t="shared" si="3"/>
        <v>340.7333333</v>
      </c>
      <c r="J11" s="19">
        <f t="shared" si="4"/>
        <v>343.8666667</v>
      </c>
      <c r="K11" s="19"/>
      <c r="L11" s="19">
        <f t="shared" si="5"/>
        <v>336.5666667</v>
      </c>
      <c r="M11" s="19">
        <f t="shared" si="6"/>
        <v>348.0333333</v>
      </c>
      <c r="N11" s="19">
        <f t="shared" si="7"/>
        <v>333.4333333</v>
      </c>
    </row>
    <row r="12" ht="24.75" customHeight="1">
      <c r="A12" s="12" t="s">
        <v>24</v>
      </c>
      <c r="B12" s="13">
        <f>IFERROR(__xludf.DUMMYFUNCTION("GOOGLEFINANCE(A12,""PRICE"")"),1896.9)</f>
        <v>1896.9</v>
      </c>
      <c r="C12" s="14">
        <f>IFERROR(__xludf.DUMMYFUNCTION("GOOGLEFINANCE(A12,""PRICEOPEN"")"),1851.2)</f>
        <v>1851.2</v>
      </c>
      <c r="D12" s="14">
        <f>IFERROR(__xludf.DUMMYFUNCTION("GOOGLEFINANCE(A12,""HIGH"")"),1900.3)</f>
        <v>1900.3</v>
      </c>
      <c r="E12" s="14">
        <f>IFERROR(__xludf.DUMMYFUNCTION("GOOGLEFINANCE(A12,""LOW"")"),1848.1)</f>
        <v>1848.1</v>
      </c>
      <c r="F12" s="15" t="str">
        <f t="shared" si="1"/>
        <v/>
      </c>
      <c r="G12" s="16">
        <f>IFERROR(__xludf.DUMMYFUNCTION("GOOGLEFINANCE(A12,""CLOSEYEST"")"),1867.6)</f>
        <v>1867.6</v>
      </c>
      <c r="H12" s="17" t="str">
        <f t="shared" si="2"/>
        <v/>
      </c>
      <c r="I12" s="18">
        <f t="shared" si="3"/>
        <v>1872</v>
      </c>
      <c r="J12" s="19">
        <f t="shared" si="4"/>
        <v>1895.9</v>
      </c>
      <c r="K12" s="19"/>
      <c r="L12" s="19">
        <f t="shared" si="5"/>
        <v>1843.7</v>
      </c>
      <c r="M12" s="19">
        <f t="shared" si="6"/>
        <v>1924.2</v>
      </c>
      <c r="N12" s="19">
        <f t="shared" si="7"/>
        <v>1819.8</v>
      </c>
    </row>
    <row r="13" ht="24.75" customHeight="1">
      <c r="A13" s="12" t="s">
        <v>25</v>
      </c>
      <c r="B13" s="13">
        <f>IFERROR(__xludf.DUMMYFUNCTION("GOOGLEFINANCE(A13,""PRICE"")"),5985.0)</f>
        <v>5985</v>
      </c>
      <c r="C13" s="14">
        <f>IFERROR(__xludf.DUMMYFUNCTION("GOOGLEFINANCE(A13,""PRICEOPEN"")"),5965.0)</f>
        <v>5965</v>
      </c>
      <c r="D13" s="14">
        <f>IFERROR(__xludf.DUMMYFUNCTION("GOOGLEFINANCE(A13,""HIGH"")"),6014.0)</f>
        <v>6014</v>
      </c>
      <c r="E13" s="14">
        <f>IFERROR(__xludf.DUMMYFUNCTION("GOOGLEFINANCE(A13,""LOW"")"),5931.5)</f>
        <v>5931.5</v>
      </c>
      <c r="F13" s="15" t="str">
        <f t="shared" si="1"/>
        <v/>
      </c>
      <c r="G13" s="16">
        <f>IFERROR(__xludf.DUMMYFUNCTION("GOOGLEFINANCE(A13,""CLOSEYEST"")"),5966.5)</f>
        <v>5966.5</v>
      </c>
      <c r="H13" s="17" t="str">
        <f t="shared" si="2"/>
        <v/>
      </c>
      <c r="I13" s="18">
        <f t="shared" si="3"/>
        <v>5970.666667</v>
      </c>
      <c r="J13" s="19">
        <f t="shared" si="4"/>
        <v>6009.833333</v>
      </c>
      <c r="K13" s="19"/>
      <c r="L13" s="19">
        <f t="shared" si="5"/>
        <v>5927.333333</v>
      </c>
      <c r="M13" s="19">
        <f t="shared" si="6"/>
        <v>6053.166667</v>
      </c>
      <c r="N13" s="19">
        <f t="shared" si="7"/>
        <v>5888.166667</v>
      </c>
    </row>
    <row r="14" ht="24.75" customHeight="1">
      <c r="A14" s="12" t="s">
        <v>26</v>
      </c>
      <c r="B14" s="13">
        <f>IFERROR(__xludf.DUMMYFUNCTION("GOOGLEFINANCE(A14,""PRICE"")"),1517.5)</f>
        <v>1517.5</v>
      </c>
      <c r="C14" s="14">
        <f>IFERROR(__xludf.DUMMYFUNCTION("GOOGLEFINANCE(A14,""PRICEOPEN"")"),1522.0)</f>
        <v>1522</v>
      </c>
      <c r="D14" s="14">
        <f>IFERROR(__xludf.DUMMYFUNCTION("GOOGLEFINANCE(A14,""HIGH"")"),1537.8)</f>
        <v>1537.8</v>
      </c>
      <c r="E14" s="14">
        <f>IFERROR(__xludf.DUMMYFUNCTION("GOOGLEFINANCE(A14,""LOW"")"),1509.5)</f>
        <v>1509.5</v>
      </c>
      <c r="F14" s="15" t="str">
        <f t="shared" si="1"/>
        <v/>
      </c>
      <c r="G14" s="16">
        <f>IFERROR(__xludf.DUMMYFUNCTION("GOOGLEFINANCE(A14,""CLOSEYEST"")"),1513.0)</f>
        <v>1513</v>
      </c>
      <c r="H14" s="17" t="str">
        <f t="shared" si="2"/>
        <v/>
      </c>
      <c r="I14" s="18">
        <f t="shared" si="3"/>
        <v>1520.1</v>
      </c>
      <c r="J14" s="19">
        <f t="shared" si="4"/>
        <v>1530.7</v>
      </c>
      <c r="K14" s="19"/>
      <c r="L14" s="19">
        <f t="shared" si="5"/>
        <v>1502.4</v>
      </c>
      <c r="M14" s="19">
        <f t="shared" si="6"/>
        <v>1548.4</v>
      </c>
      <c r="N14" s="19">
        <f t="shared" si="7"/>
        <v>1491.8</v>
      </c>
    </row>
    <row r="15" ht="24.75" customHeight="1">
      <c r="A15" s="12" t="s">
        <v>27</v>
      </c>
      <c r="B15" s="13">
        <f>IFERROR(__xludf.DUMMYFUNCTION("GOOGLEFINANCE(A15,""PRICE"")"),383.9)</f>
        <v>383.9</v>
      </c>
      <c r="C15" s="14">
        <f>IFERROR(__xludf.DUMMYFUNCTION("GOOGLEFINANCE(A15,""PRICEOPEN"")"),388.5)</f>
        <v>388.5</v>
      </c>
      <c r="D15" s="14">
        <f>IFERROR(__xludf.DUMMYFUNCTION("GOOGLEFINANCE(A15,""HIGH"")"),389.1)</f>
        <v>389.1</v>
      </c>
      <c r="E15" s="14">
        <f>IFERROR(__xludf.DUMMYFUNCTION("GOOGLEFINANCE(A15,""LOW"")"),381.5)</f>
        <v>381.5</v>
      </c>
      <c r="F15" s="15" t="str">
        <f t="shared" si="1"/>
        <v/>
      </c>
      <c r="G15" s="16">
        <f>IFERROR(__xludf.DUMMYFUNCTION("GOOGLEFINANCE(A15,""CLOSEYEST"")"),388.5)</f>
        <v>388.5</v>
      </c>
      <c r="H15" s="17" t="str">
        <f t="shared" si="2"/>
        <v/>
      </c>
      <c r="I15" s="18">
        <f t="shared" si="3"/>
        <v>386.3666667</v>
      </c>
      <c r="J15" s="19">
        <f t="shared" si="4"/>
        <v>391.2333333</v>
      </c>
      <c r="K15" s="19"/>
      <c r="L15" s="19">
        <f t="shared" si="5"/>
        <v>383.6333333</v>
      </c>
      <c r="M15" s="19">
        <f t="shared" si="6"/>
        <v>393.9666667</v>
      </c>
      <c r="N15" s="19">
        <f t="shared" si="7"/>
        <v>378.7666667</v>
      </c>
    </row>
    <row r="16" ht="24.75" customHeight="1">
      <c r="A16" s="12" t="s">
        <v>28</v>
      </c>
      <c r="B16" s="13">
        <f>IFERROR(__xludf.DUMMYFUNCTION("GOOGLEFINANCE(A16,""PRICE"")"),5851.5)</f>
        <v>5851.5</v>
      </c>
      <c r="C16" s="14">
        <f>IFERROR(__xludf.DUMMYFUNCTION("GOOGLEFINANCE(A16,""PRICEOPEN"")"),5759.5)</f>
        <v>5759.5</v>
      </c>
      <c r="D16" s="14">
        <f>IFERROR(__xludf.DUMMYFUNCTION("GOOGLEFINANCE(A16,""HIGH"")"),5932.0)</f>
        <v>5932</v>
      </c>
      <c r="E16" s="14">
        <f>IFERROR(__xludf.DUMMYFUNCTION("GOOGLEFINANCE(A16,""LOW"")"),5746.0)</f>
        <v>5746</v>
      </c>
      <c r="F16" s="15" t="str">
        <f t="shared" si="1"/>
        <v/>
      </c>
      <c r="G16" s="16">
        <f>IFERROR(__xludf.DUMMYFUNCTION("GOOGLEFINANCE(A16,""CLOSEYEST"")"),5710.0)</f>
        <v>5710</v>
      </c>
      <c r="H16" s="17" t="str">
        <f t="shared" si="2"/>
        <v/>
      </c>
      <c r="I16" s="18">
        <f t="shared" si="3"/>
        <v>5796</v>
      </c>
      <c r="J16" s="19">
        <f t="shared" si="4"/>
        <v>5846</v>
      </c>
      <c r="K16" s="19"/>
      <c r="L16" s="19">
        <f t="shared" si="5"/>
        <v>5660</v>
      </c>
      <c r="M16" s="19">
        <f t="shared" si="6"/>
        <v>5982</v>
      </c>
      <c r="N16" s="19">
        <f t="shared" si="7"/>
        <v>5610</v>
      </c>
    </row>
    <row r="17" ht="24.75" customHeight="1">
      <c r="A17" s="12" t="s">
        <v>29</v>
      </c>
      <c r="B17" s="13">
        <f>IFERROR(__xludf.DUMMYFUNCTION("GOOGLEFINANCE(A17,""PRICE"")"),1247.8)</f>
        <v>1247.8</v>
      </c>
      <c r="C17" s="14">
        <f>IFERROR(__xludf.DUMMYFUNCTION("GOOGLEFINANCE(A17,""PRICEOPEN"")"),1243.9)</f>
        <v>1243.9</v>
      </c>
      <c r="D17" s="14">
        <f>IFERROR(__xludf.DUMMYFUNCTION("GOOGLEFINANCE(A17,""HIGH"")"),1265.4)</f>
        <v>1265.4</v>
      </c>
      <c r="E17" s="14">
        <f>IFERROR(__xludf.DUMMYFUNCTION("GOOGLEFINANCE(A17,""LOW"")"),1240.0)</f>
        <v>1240</v>
      </c>
      <c r="F17" s="15" t="str">
        <f t="shared" si="1"/>
        <v/>
      </c>
      <c r="G17" s="16">
        <f>IFERROR(__xludf.DUMMYFUNCTION("GOOGLEFINANCE(A17,""CLOSEYEST"")"),1244.7)</f>
        <v>1244.7</v>
      </c>
      <c r="H17" s="17" t="str">
        <f t="shared" si="2"/>
        <v/>
      </c>
      <c r="I17" s="18">
        <f t="shared" si="3"/>
        <v>1250.033333</v>
      </c>
      <c r="J17" s="19">
        <f t="shared" si="4"/>
        <v>1260.066667</v>
      </c>
      <c r="K17" s="19"/>
      <c r="L17" s="19">
        <f t="shared" si="5"/>
        <v>1234.666667</v>
      </c>
      <c r="M17" s="19">
        <f t="shared" si="6"/>
        <v>1275.433333</v>
      </c>
      <c r="N17" s="19">
        <f t="shared" si="7"/>
        <v>1224.633333</v>
      </c>
    </row>
    <row r="18" ht="24.75" customHeight="1">
      <c r="A18" s="12" t="s">
        <v>30</v>
      </c>
      <c r="B18" s="13">
        <f>IFERROR(__xludf.DUMMYFUNCTION("GOOGLEFINANCE(A18,""PRICE"")"),6935.0)</f>
        <v>6935</v>
      </c>
      <c r="C18" s="14">
        <f>IFERROR(__xludf.DUMMYFUNCTION("GOOGLEFINANCE(A18,""PRICEOPEN"")"),7000.0)</f>
        <v>7000</v>
      </c>
      <c r="D18" s="14">
        <f>IFERROR(__xludf.DUMMYFUNCTION("GOOGLEFINANCE(A18,""HIGH"")"),7008.5)</f>
        <v>7008.5</v>
      </c>
      <c r="E18" s="14">
        <f>IFERROR(__xludf.DUMMYFUNCTION("GOOGLEFINANCE(A18,""LOW"")"),6850.0)</f>
        <v>6850</v>
      </c>
      <c r="F18" s="15" t="str">
        <f t="shared" si="1"/>
        <v/>
      </c>
      <c r="G18" s="16">
        <f>IFERROR(__xludf.DUMMYFUNCTION("GOOGLEFINANCE(A18,""CLOSEYEST"")"),7021.5)</f>
        <v>7021.5</v>
      </c>
      <c r="H18" s="17" t="str">
        <f t="shared" si="2"/>
        <v/>
      </c>
      <c r="I18" s="18">
        <f t="shared" si="3"/>
        <v>6960</v>
      </c>
      <c r="J18" s="19">
        <f t="shared" si="4"/>
        <v>7070</v>
      </c>
      <c r="K18" s="19"/>
      <c r="L18" s="19">
        <f t="shared" si="5"/>
        <v>6911.5</v>
      </c>
      <c r="M18" s="19">
        <f t="shared" si="6"/>
        <v>7118.5</v>
      </c>
      <c r="N18" s="19">
        <f t="shared" si="7"/>
        <v>6801.5</v>
      </c>
    </row>
    <row r="19" ht="24.75" customHeight="1">
      <c r="A19" s="12" t="s">
        <v>31</v>
      </c>
      <c r="B19" s="13">
        <f>IFERROR(__xludf.DUMMYFUNCTION("GOOGLEFINANCE(A19,""PRICE"")"),2799.3)</f>
        <v>2799.3</v>
      </c>
      <c r="C19" s="14">
        <f>IFERROR(__xludf.DUMMYFUNCTION("GOOGLEFINANCE(A19,""PRICEOPEN"")"),2800.0)</f>
        <v>2800</v>
      </c>
      <c r="D19" s="14">
        <f>IFERROR(__xludf.DUMMYFUNCTION("GOOGLEFINANCE(A19,""HIGH"")"),2806.8)</f>
        <v>2806.8</v>
      </c>
      <c r="E19" s="14">
        <f>IFERROR(__xludf.DUMMYFUNCTION("GOOGLEFINANCE(A19,""LOW"")"),2766.0)</f>
        <v>2766</v>
      </c>
      <c r="F19" s="15" t="str">
        <f t="shared" si="1"/>
        <v/>
      </c>
      <c r="G19" s="16">
        <f>IFERROR(__xludf.DUMMYFUNCTION("GOOGLEFINANCE(A19,""CLOSEYEST"")"),2789.7)</f>
        <v>2789.7</v>
      </c>
      <c r="H19" s="17" t="str">
        <f t="shared" si="2"/>
        <v/>
      </c>
      <c r="I19" s="18">
        <f t="shared" si="3"/>
        <v>2787.5</v>
      </c>
      <c r="J19" s="19">
        <f t="shared" si="4"/>
        <v>2809</v>
      </c>
      <c r="K19" s="19"/>
      <c r="L19" s="19">
        <f t="shared" si="5"/>
        <v>2768.2</v>
      </c>
      <c r="M19" s="19">
        <f t="shared" si="6"/>
        <v>2828.3</v>
      </c>
      <c r="N19" s="19">
        <f t="shared" si="7"/>
        <v>2746.7</v>
      </c>
    </row>
    <row r="20" ht="24.75" customHeight="1">
      <c r="A20" s="12" t="s">
        <v>32</v>
      </c>
      <c r="B20" s="13">
        <f>IFERROR(__xludf.DUMMYFUNCTION("GOOGLEFINANCE(A20,""PRICE"")"),1392.8)</f>
        <v>1392.8</v>
      </c>
      <c r="C20" s="14">
        <f>IFERROR(__xludf.DUMMYFUNCTION("GOOGLEFINANCE(A20,""PRICEOPEN"")"),1396.5)</f>
        <v>1396.5</v>
      </c>
      <c r="D20" s="14">
        <f>IFERROR(__xludf.DUMMYFUNCTION("GOOGLEFINANCE(A20,""HIGH"")"),1399.8)</f>
        <v>1399.8</v>
      </c>
      <c r="E20" s="14">
        <f>IFERROR(__xludf.DUMMYFUNCTION("GOOGLEFINANCE(A20,""LOW"")"),1380.4)</f>
        <v>1380.4</v>
      </c>
      <c r="F20" s="15" t="str">
        <f t="shared" si="1"/>
        <v/>
      </c>
      <c r="G20" s="16">
        <f>IFERROR(__xludf.DUMMYFUNCTION("GOOGLEFINANCE(A20,""CLOSEYEST"")"),1389.5)</f>
        <v>1389.5</v>
      </c>
      <c r="H20" s="17" t="str">
        <f t="shared" si="2"/>
        <v/>
      </c>
      <c r="I20" s="18">
        <f t="shared" si="3"/>
        <v>1389.9</v>
      </c>
      <c r="J20" s="19">
        <f t="shared" si="4"/>
        <v>1399.4</v>
      </c>
      <c r="K20" s="19"/>
      <c r="L20" s="19">
        <f t="shared" si="5"/>
        <v>1380</v>
      </c>
      <c r="M20" s="19">
        <f t="shared" si="6"/>
        <v>1409.3</v>
      </c>
      <c r="N20" s="19">
        <f t="shared" si="7"/>
        <v>1370.5</v>
      </c>
    </row>
    <row r="21" ht="24.75" customHeight="1">
      <c r="A21" s="12" t="s">
        <v>33</v>
      </c>
      <c r="B21" s="13">
        <f>IFERROR(__xludf.DUMMYFUNCTION("GOOGLEFINANCE(A21,""PRICE"")"),963.7)</f>
        <v>963.7</v>
      </c>
      <c r="C21" s="14">
        <f>IFERROR(__xludf.DUMMYFUNCTION("GOOGLEFINANCE(A21,""PRICEOPEN"")"),952.0)</f>
        <v>952</v>
      </c>
      <c r="D21" s="14">
        <f>IFERROR(__xludf.DUMMYFUNCTION("GOOGLEFINANCE(A21,""HIGH"")"),966.75)</f>
        <v>966.75</v>
      </c>
      <c r="E21" s="14">
        <f>IFERROR(__xludf.DUMMYFUNCTION("GOOGLEFINANCE(A21,""LOW"")"),952.0)</f>
        <v>952</v>
      </c>
      <c r="F21" s="15" t="str">
        <f t="shared" si="1"/>
        <v>BUY</v>
      </c>
      <c r="G21" s="16">
        <f>IFERROR(__xludf.DUMMYFUNCTION("GOOGLEFINANCE(A21,""CLOSEYEST"")"),965.25)</f>
        <v>965.25</v>
      </c>
      <c r="H21" s="17" t="str">
        <f t="shared" si="2"/>
        <v>GAP DOWN</v>
      </c>
      <c r="I21" s="18">
        <f t="shared" si="3"/>
        <v>961.3333333</v>
      </c>
      <c r="J21" s="19">
        <f t="shared" si="4"/>
        <v>970.6666667</v>
      </c>
      <c r="K21" s="19"/>
      <c r="L21" s="19">
        <f t="shared" si="5"/>
        <v>955.9166667</v>
      </c>
      <c r="M21" s="19">
        <f t="shared" si="6"/>
        <v>976.0833333</v>
      </c>
      <c r="N21" s="19">
        <f t="shared" si="7"/>
        <v>946.5833333</v>
      </c>
    </row>
    <row r="22" ht="24.75" customHeight="1">
      <c r="A22" s="12" t="s">
        <v>34</v>
      </c>
      <c r="B22" s="13">
        <f>IFERROR(__xludf.DUMMYFUNCTION("GOOGLEFINANCE(A22,""PRICE"")"),760.0)</f>
        <v>760</v>
      </c>
      <c r="C22" s="14">
        <f>IFERROR(__xludf.DUMMYFUNCTION("GOOGLEFINANCE(A22,""PRICEOPEN"")"),756.65)</f>
        <v>756.65</v>
      </c>
      <c r="D22" s="14">
        <f>IFERROR(__xludf.DUMMYFUNCTION("GOOGLEFINANCE(A22,""HIGH"")"),767.15)</f>
        <v>767.15</v>
      </c>
      <c r="E22" s="14">
        <f>IFERROR(__xludf.DUMMYFUNCTION("GOOGLEFINANCE(A22,""LOW"")"),754.95)</f>
        <v>754.95</v>
      </c>
      <c r="F22" s="15" t="str">
        <f t="shared" si="1"/>
        <v/>
      </c>
      <c r="G22" s="16">
        <f>IFERROR(__xludf.DUMMYFUNCTION("GOOGLEFINANCE(A22,""CLOSEYEST"")"),764.0)</f>
        <v>764</v>
      </c>
      <c r="H22" s="17" t="str">
        <f t="shared" si="2"/>
        <v/>
      </c>
      <c r="I22" s="18">
        <f t="shared" si="3"/>
        <v>762.0333333</v>
      </c>
      <c r="J22" s="19">
        <f t="shared" si="4"/>
        <v>769.1166667</v>
      </c>
      <c r="K22" s="19"/>
      <c r="L22" s="19">
        <f t="shared" si="5"/>
        <v>756.9166667</v>
      </c>
      <c r="M22" s="19">
        <f t="shared" si="6"/>
        <v>774.2333333</v>
      </c>
      <c r="N22" s="19">
        <f t="shared" si="7"/>
        <v>749.8333333</v>
      </c>
    </row>
    <row r="23" ht="24.75" customHeight="1">
      <c r="A23" s="12"/>
      <c r="B23" s="13"/>
      <c r="C23" s="14"/>
      <c r="D23" s="14"/>
      <c r="E23" s="14"/>
      <c r="F23" s="15"/>
      <c r="G23" s="16"/>
      <c r="H23" s="17"/>
      <c r="I23" s="18"/>
      <c r="J23" s="19"/>
      <c r="K23" s="19"/>
      <c r="L23" s="19"/>
      <c r="M23" s="20"/>
      <c r="N23" s="20"/>
    </row>
    <row r="24" ht="24.75" customHeight="1">
      <c r="A24" s="12" t="s">
        <v>35</v>
      </c>
      <c r="B24" s="13">
        <f>IFERROR(__xludf.DUMMYFUNCTION("GOOGLEFINANCE(A24,""PRICE"")"),5545.5)</f>
        <v>5545.5</v>
      </c>
      <c r="C24" s="14">
        <f>IFERROR(__xludf.DUMMYFUNCTION("GOOGLEFINANCE(A24,""PRICEOPEN"")"),5465.0)</f>
        <v>5465</v>
      </c>
      <c r="D24" s="14">
        <f>IFERROR(__xludf.DUMMYFUNCTION("GOOGLEFINANCE(A24,""HIGH"")"),5584.0)</f>
        <v>5584</v>
      </c>
      <c r="E24" s="14">
        <f>IFERROR(__xludf.DUMMYFUNCTION("GOOGLEFINANCE(A24,""LOW"")"),5370.5)</f>
        <v>5370.5</v>
      </c>
      <c r="F24" s="15" t="str">
        <f t="shared" ref="F24:F1592" si="8">IF(C24=D24,"SELL",IF(C24=E24,"BUY", ""))</f>
        <v/>
      </c>
      <c r="G24" s="16">
        <f>IFERROR(__xludf.DUMMYFUNCTION("GOOGLEFINANCE(A24,""CLOSEYEST"")"),5432.5)</f>
        <v>5432.5</v>
      </c>
      <c r="H24" s="17" t="str">
        <f>IF(C24&gt;=(G24+(G24*1%)),"GAP UP",IF(C24&lt;=(G24-(G24*1%)),"GAP DOWN",""))</f>
        <v/>
      </c>
      <c r="I24" s="18">
        <f t="shared" ref="I24:I1592" si="9">(D24+E24+G24)/3</f>
        <v>5462.333333</v>
      </c>
      <c r="J24" s="19">
        <f t="shared" ref="J24:J1592" si="10">(I24*2)-E24</f>
        <v>5554.166667</v>
      </c>
      <c r="K24" s="19"/>
      <c r="L24" s="19">
        <f t="shared" ref="L24:L1592" si="11">(I24*2)-D24</f>
        <v>5340.666667</v>
      </c>
      <c r="M24" s="19">
        <f t="shared" ref="M24:M1592" si="12">I24+(J24-L24)</f>
        <v>5675.833333</v>
      </c>
      <c r="N24" s="19">
        <f t="shared" ref="N24:N1592" si="13">I24-(J24-L24)</f>
        <v>5248.833333</v>
      </c>
    </row>
    <row r="25" ht="24.75" customHeight="1">
      <c r="A25" s="12" t="s">
        <v>36</v>
      </c>
      <c r="B25" s="13">
        <f>IFERROR(__xludf.DUMMYFUNCTION("GOOGLEFINANCE(A25,""PRICE"")"),780.0)</f>
        <v>780</v>
      </c>
      <c r="C25" s="14">
        <f>IFERROR(__xludf.DUMMYFUNCTION("GOOGLEFINANCE(A25,""PRICEOPEN"")"),766.0)</f>
        <v>766</v>
      </c>
      <c r="D25" s="14">
        <f>IFERROR(__xludf.DUMMYFUNCTION("GOOGLEFINANCE(A25,""HIGH"")"),790.6)</f>
        <v>790.6</v>
      </c>
      <c r="E25" s="14">
        <f>IFERROR(__xludf.DUMMYFUNCTION("GOOGLEFINANCE(A25,""LOW"")"),764.1)</f>
        <v>764.1</v>
      </c>
      <c r="F25" s="15" t="str">
        <f t="shared" si="8"/>
        <v/>
      </c>
      <c r="G25" s="16">
        <f>IFERROR(__xludf.DUMMYFUNCTION("GOOGLEFINANCE(A25,""CLOSEYEST"")"),765.95)</f>
        <v>765.95</v>
      </c>
      <c r="H25" s="17" t="s">
        <v>37</v>
      </c>
      <c r="I25" s="18">
        <f t="shared" si="9"/>
        <v>773.55</v>
      </c>
      <c r="J25" s="19">
        <f t="shared" si="10"/>
        <v>783</v>
      </c>
      <c r="K25" s="19"/>
      <c r="L25" s="19">
        <f t="shared" si="11"/>
        <v>756.5</v>
      </c>
      <c r="M25" s="19">
        <f t="shared" si="12"/>
        <v>800.05</v>
      </c>
      <c r="N25" s="19">
        <f t="shared" si="13"/>
        <v>747.05</v>
      </c>
    </row>
    <row r="26" ht="24.75" customHeight="1">
      <c r="A26" s="12" t="s">
        <v>38</v>
      </c>
      <c r="B26" s="13">
        <f>IFERROR(__xludf.DUMMYFUNCTION("GOOGLEFINANCE(A26,""PRICE"")"),2539.0)</f>
        <v>2539</v>
      </c>
      <c r="C26" s="14">
        <f>IFERROR(__xludf.DUMMYFUNCTION("GOOGLEFINANCE(A26,""PRICEOPEN"")"),2536.2)</f>
        <v>2536.2</v>
      </c>
      <c r="D26" s="14">
        <f>IFERROR(__xludf.DUMMYFUNCTION("GOOGLEFINANCE(A26,""HIGH"")"),2548.6)</f>
        <v>2548.6</v>
      </c>
      <c r="E26" s="14">
        <f>IFERROR(__xludf.DUMMYFUNCTION("GOOGLEFINANCE(A26,""LOW"")"),2508.3)</f>
        <v>2508.3</v>
      </c>
      <c r="F26" s="15" t="str">
        <f t="shared" si="8"/>
        <v/>
      </c>
      <c r="G26" s="16">
        <f>IFERROR(__xludf.DUMMYFUNCTION("GOOGLEFINANCE(A26,""CLOSEYEST"")"),2536.2)</f>
        <v>2536.2</v>
      </c>
      <c r="H26" s="17" t="str">
        <f t="shared" ref="H26:H1592" si="14">IF(C26&gt;=(G26+(G26*1%)),"GAP UP",IF(C26&lt;=(G26-(G26*1%)),"GAP DOWN",""))</f>
        <v/>
      </c>
      <c r="I26" s="18">
        <f t="shared" si="9"/>
        <v>2531.033333</v>
      </c>
      <c r="J26" s="19">
        <f t="shared" si="10"/>
        <v>2553.766667</v>
      </c>
      <c r="K26" s="19"/>
      <c r="L26" s="19">
        <f t="shared" si="11"/>
        <v>2513.466667</v>
      </c>
      <c r="M26" s="19">
        <f t="shared" si="12"/>
        <v>2571.333333</v>
      </c>
      <c r="N26" s="19">
        <f t="shared" si="13"/>
        <v>2490.733333</v>
      </c>
    </row>
    <row r="27" ht="24.75" customHeight="1">
      <c r="A27" s="12" t="s">
        <v>39</v>
      </c>
      <c r="B27" s="13" t="str">
        <f>IFERROR(__xludf.DUMMYFUNCTION("GOOGLEFINANCE(A27,""PRICE"")"),"#N/A")</f>
        <v>#N/A</v>
      </c>
      <c r="C27" s="14" t="str">
        <f>IFERROR(__xludf.DUMMYFUNCTION("GOOGLEFINANCE(A27,""PRICEOPEN"")"),"#N/A")</f>
        <v>#N/A</v>
      </c>
      <c r="D27" s="14" t="str">
        <f>IFERROR(__xludf.DUMMYFUNCTION("GOOGLEFINANCE(A27,""HIGH"")"),"#N/A")</f>
        <v>#N/A</v>
      </c>
      <c r="E27" s="14" t="str">
        <f>IFERROR(__xludf.DUMMYFUNCTION("GOOGLEFINANCE(A27,""LOW"")"),"#N/A")</f>
        <v>#N/A</v>
      </c>
      <c r="F27" s="15" t="str">
        <f t="shared" si="8"/>
        <v>#N/A</v>
      </c>
      <c r="G27" s="16" t="str">
        <f>IFERROR(__xludf.DUMMYFUNCTION("GOOGLEFINANCE(A27,""CLOSEYEST"")"),"#N/A")</f>
        <v>#N/A</v>
      </c>
      <c r="H27" s="17" t="str">
        <f t="shared" si="14"/>
        <v>#N/A</v>
      </c>
      <c r="I27" s="18" t="str">
        <f t="shared" si="9"/>
        <v>#N/A</v>
      </c>
      <c r="J27" s="19" t="str">
        <f t="shared" si="10"/>
        <v>#N/A</v>
      </c>
      <c r="K27" s="19"/>
      <c r="L27" s="19" t="str">
        <f t="shared" si="11"/>
        <v>#N/A</v>
      </c>
      <c r="M27" s="20" t="str">
        <f t="shared" si="12"/>
        <v>#N/A</v>
      </c>
      <c r="N27" s="20" t="str">
        <f t="shared" si="13"/>
        <v>#N/A</v>
      </c>
    </row>
    <row r="28" ht="24.75" customHeight="1">
      <c r="A28" s="12" t="s">
        <v>40</v>
      </c>
      <c r="B28" s="13">
        <f>IFERROR(__xludf.DUMMYFUNCTION("GOOGLEFINANCE(A28,""PRICE"")"),1365.0)</f>
        <v>1365</v>
      </c>
      <c r="C28" s="14">
        <f>IFERROR(__xludf.DUMMYFUNCTION("GOOGLEFINANCE(A28,""PRICEOPEN"")"),1371.9)</f>
        <v>1371.9</v>
      </c>
      <c r="D28" s="14">
        <f>IFERROR(__xludf.DUMMYFUNCTION("GOOGLEFINANCE(A28,""HIGH"")"),1371.9)</f>
        <v>1371.9</v>
      </c>
      <c r="E28" s="14">
        <f>IFERROR(__xludf.DUMMYFUNCTION("GOOGLEFINANCE(A28,""LOW"")"),1361.3)</f>
        <v>1361.3</v>
      </c>
      <c r="F28" s="15" t="str">
        <f t="shared" si="8"/>
        <v>SELL</v>
      </c>
      <c r="G28" s="16">
        <f>IFERROR(__xludf.DUMMYFUNCTION("GOOGLEFINANCE(A28,""CLOSEYEST"")"),1372.0)</f>
        <v>1372</v>
      </c>
      <c r="H28" s="17" t="str">
        <f t="shared" si="14"/>
        <v/>
      </c>
      <c r="I28" s="18">
        <f t="shared" si="9"/>
        <v>1368.4</v>
      </c>
      <c r="J28" s="19">
        <f t="shared" si="10"/>
        <v>1375.5</v>
      </c>
      <c r="K28" s="19"/>
      <c r="L28" s="19">
        <f t="shared" si="11"/>
        <v>1364.9</v>
      </c>
      <c r="M28" s="19">
        <f t="shared" si="12"/>
        <v>1379</v>
      </c>
      <c r="N28" s="19">
        <f t="shared" si="13"/>
        <v>1357.8</v>
      </c>
    </row>
    <row r="29" ht="24.75" customHeight="1">
      <c r="A29" s="12" t="s">
        <v>41</v>
      </c>
      <c r="B29" s="13" t="str">
        <f>IFERROR(__xludf.DUMMYFUNCTION("GOOGLEFINANCE(A29,""PRICE"")"),"#N/A")</f>
        <v>#N/A</v>
      </c>
      <c r="C29" s="14" t="str">
        <f>IFERROR(__xludf.DUMMYFUNCTION("GOOGLEFINANCE(A29,""PRICEOPEN"")"),"#N/A")</f>
        <v>#N/A</v>
      </c>
      <c r="D29" s="14" t="str">
        <f>IFERROR(__xludf.DUMMYFUNCTION("GOOGLEFINANCE(A29,""HIGH"")"),"#N/A")</f>
        <v>#N/A</v>
      </c>
      <c r="E29" s="14" t="str">
        <f>IFERROR(__xludf.DUMMYFUNCTION("GOOGLEFINANCE(A29,""LOW"")"),"#N/A")</f>
        <v>#N/A</v>
      </c>
      <c r="F29" s="15" t="str">
        <f t="shared" si="8"/>
        <v>#N/A</v>
      </c>
      <c r="G29" s="16" t="str">
        <f>IFERROR(__xludf.DUMMYFUNCTION("GOOGLEFINANCE(A29,""CLOSEYEST"")"),"#N/A")</f>
        <v>#N/A</v>
      </c>
      <c r="H29" s="17" t="str">
        <f t="shared" si="14"/>
        <v>#N/A</v>
      </c>
      <c r="I29" s="18" t="str">
        <f t="shared" si="9"/>
        <v>#N/A</v>
      </c>
      <c r="J29" s="19" t="str">
        <f t="shared" si="10"/>
        <v>#N/A</v>
      </c>
      <c r="K29" s="19"/>
      <c r="L29" s="19" t="str">
        <f t="shared" si="11"/>
        <v>#N/A</v>
      </c>
      <c r="M29" s="20" t="str">
        <f t="shared" si="12"/>
        <v>#N/A</v>
      </c>
      <c r="N29" s="20" t="str">
        <f t="shared" si="13"/>
        <v>#N/A</v>
      </c>
    </row>
    <row r="30" ht="24.75" customHeight="1">
      <c r="A30" s="12" t="s">
        <v>42</v>
      </c>
      <c r="B30" s="13">
        <f>IFERROR(__xludf.DUMMYFUNCTION("GOOGLEFINANCE(A30,""PRICE"")"),748.0)</f>
        <v>748</v>
      </c>
      <c r="C30" s="14">
        <f>IFERROR(__xludf.DUMMYFUNCTION("GOOGLEFINANCE(A30,""PRICEOPEN"")"),743.2)</f>
        <v>743.2</v>
      </c>
      <c r="D30" s="14">
        <f>IFERROR(__xludf.DUMMYFUNCTION("GOOGLEFINANCE(A30,""HIGH"")"),758.95)</f>
        <v>758.95</v>
      </c>
      <c r="E30" s="14">
        <f>IFERROR(__xludf.DUMMYFUNCTION("GOOGLEFINANCE(A30,""LOW"")"),741.75)</f>
        <v>741.75</v>
      </c>
      <c r="F30" s="15" t="str">
        <f t="shared" si="8"/>
        <v/>
      </c>
      <c r="G30" s="16">
        <f>IFERROR(__xludf.DUMMYFUNCTION("GOOGLEFINANCE(A30,""CLOSEYEST"")"),743.15)</f>
        <v>743.15</v>
      </c>
      <c r="H30" s="17" t="str">
        <f t="shared" si="14"/>
        <v/>
      </c>
      <c r="I30" s="18">
        <f t="shared" si="9"/>
        <v>747.95</v>
      </c>
      <c r="J30" s="19">
        <f t="shared" si="10"/>
        <v>754.15</v>
      </c>
      <c r="K30" s="19"/>
      <c r="L30" s="19">
        <f t="shared" si="11"/>
        <v>736.95</v>
      </c>
      <c r="M30" s="19">
        <f t="shared" si="12"/>
        <v>765.15</v>
      </c>
      <c r="N30" s="19">
        <f t="shared" si="13"/>
        <v>730.75</v>
      </c>
    </row>
    <row r="31" ht="24.75" customHeight="1">
      <c r="A31" s="12" t="s">
        <v>43</v>
      </c>
      <c r="B31" s="13">
        <f>IFERROR(__xludf.DUMMYFUNCTION("GOOGLEFINANCE(A31,""PRICE"")"),16.23)</f>
        <v>16.23</v>
      </c>
      <c r="C31" s="14">
        <f>IFERROR(__xludf.DUMMYFUNCTION("GOOGLEFINANCE(A31,""PRICEOPEN"")"),16.24)</f>
        <v>16.24</v>
      </c>
      <c r="D31" s="14">
        <f>IFERROR(__xludf.DUMMYFUNCTION("GOOGLEFINANCE(A31,""HIGH"")"),16.25)</f>
        <v>16.25</v>
      </c>
      <c r="E31" s="14">
        <f>IFERROR(__xludf.DUMMYFUNCTION("GOOGLEFINANCE(A31,""LOW"")"),16.07)</f>
        <v>16.07</v>
      </c>
      <c r="F31" s="15" t="str">
        <f t="shared" si="8"/>
        <v/>
      </c>
      <c r="G31" s="16">
        <f>IFERROR(__xludf.DUMMYFUNCTION("GOOGLEFINANCE(A31,""CLOSEYEST"")"),16.15)</f>
        <v>16.15</v>
      </c>
      <c r="H31" s="17" t="str">
        <f t="shared" si="14"/>
        <v/>
      </c>
      <c r="I31" s="18">
        <f t="shared" si="9"/>
        <v>16.15666667</v>
      </c>
      <c r="J31" s="19">
        <f t="shared" si="10"/>
        <v>16.24333333</v>
      </c>
      <c r="K31" s="19"/>
      <c r="L31" s="19">
        <f t="shared" si="11"/>
        <v>16.06333333</v>
      </c>
      <c r="M31" s="19">
        <f t="shared" si="12"/>
        <v>16.33666667</v>
      </c>
      <c r="N31" s="19">
        <f t="shared" si="13"/>
        <v>15.97666667</v>
      </c>
    </row>
    <row r="32" ht="24.75" customHeight="1">
      <c r="A32" s="12" t="s">
        <v>44</v>
      </c>
      <c r="B32" s="13">
        <f>IFERROR(__xludf.DUMMYFUNCTION("GOOGLEFINANCE(A32,""PRICE"")"),1160.8)</f>
        <v>1160.8</v>
      </c>
      <c r="C32" s="14">
        <f>IFERROR(__xludf.DUMMYFUNCTION("GOOGLEFINANCE(A32,""PRICEOPEN"")"),1146.1)</f>
        <v>1146.1</v>
      </c>
      <c r="D32" s="14">
        <f>IFERROR(__xludf.DUMMYFUNCTION("GOOGLEFINANCE(A32,""HIGH"")"),1175.8)</f>
        <v>1175.8</v>
      </c>
      <c r="E32" s="14">
        <f>IFERROR(__xludf.DUMMYFUNCTION("GOOGLEFINANCE(A32,""LOW"")"),1145.9)</f>
        <v>1145.9</v>
      </c>
      <c r="F32" s="15" t="str">
        <f t="shared" si="8"/>
        <v/>
      </c>
      <c r="G32" s="16">
        <f>IFERROR(__xludf.DUMMYFUNCTION("GOOGLEFINANCE(A32,""CLOSEYEST"")"),1146.1)</f>
        <v>1146.1</v>
      </c>
      <c r="H32" s="17" t="str">
        <f t="shared" si="14"/>
        <v/>
      </c>
      <c r="I32" s="18">
        <f t="shared" si="9"/>
        <v>1155.933333</v>
      </c>
      <c r="J32" s="19">
        <f t="shared" si="10"/>
        <v>1165.966667</v>
      </c>
      <c r="K32" s="19"/>
      <c r="L32" s="19">
        <f t="shared" si="11"/>
        <v>1136.066667</v>
      </c>
      <c r="M32" s="19">
        <f t="shared" si="12"/>
        <v>1185.833333</v>
      </c>
      <c r="N32" s="19">
        <f t="shared" si="13"/>
        <v>1126.033333</v>
      </c>
    </row>
    <row r="33" ht="24.75" customHeight="1">
      <c r="A33" s="12" t="s">
        <v>45</v>
      </c>
      <c r="B33" s="13">
        <f>IFERROR(__xludf.DUMMYFUNCTION("GOOGLEFINANCE(A33,""PRICE"")"),2108.0)</f>
        <v>2108</v>
      </c>
      <c r="C33" s="14">
        <f>IFERROR(__xludf.DUMMYFUNCTION("GOOGLEFINANCE(A33,""PRICEOPEN"")"),2063.3)</f>
        <v>2063.3</v>
      </c>
      <c r="D33" s="14">
        <f>IFERROR(__xludf.DUMMYFUNCTION("GOOGLEFINANCE(A33,""HIGH"")"),2108.0)</f>
        <v>2108</v>
      </c>
      <c r="E33" s="14">
        <f>IFERROR(__xludf.DUMMYFUNCTION("GOOGLEFINANCE(A33,""LOW"")"),2062.0)</f>
        <v>2062</v>
      </c>
      <c r="F33" s="15" t="str">
        <f t="shared" si="8"/>
        <v/>
      </c>
      <c r="G33" s="16">
        <f>IFERROR(__xludf.DUMMYFUNCTION("GOOGLEFINANCE(A33,""CLOSEYEST"")"),2063.3)</f>
        <v>2063.3</v>
      </c>
      <c r="H33" s="17" t="str">
        <f t="shared" si="14"/>
        <v/>
      </c>
      <c r="I33" s="18">
        <f t="shared" si="9"/>
        <v>2077.766667</v>
      </c>
      <c r="J33" s="19">
        <f t="shared" si="10"/>
        <v>2093.533333</v>
      </c>
      <c r="K33" s="19"/>
      <c r="L33" s="19">
        <f t="shared" si="11"/>
        <v>2047.533333</v>
      </c>
      <c r="M33" s="19">
        <f t="shared" si="12"/>
        <v>2123.766667</v>
      </c>
      <c r="N33" s="19">
        <f t="shared" si="13"/>
        <v>2031.766667</v>
      </c>
    </row>
    <row r="34" ht="24.75" customHeight="1">
      <c r="A34" s="12" t="s">
        <v>46</v>
      </c>
      <c r="B34" s="13">
        <f>IFERROR(__xludf.DUMMYFUNCTION("GOOGLEFINANCE(A34,""PRICE"")"),3742.9)</f>
        <v>3742.9</v>
      </c>
      <c r="C34" s="14">
        <f>IFERROR(__xludf.DUMMYFUNCTION("GOOGLEFINANCE(A34,""PRICEOPEN"")"),3690.0)</f>
        <v>3690</v>
      </c>
      <c r="D34" s="14">
        <f>IFERROR(__xludf.DUMMYFUNCTION("GOOGLEFINANCE(A34,""HIGH"")"),3746.0)</f>
        <v>3746</v>
      </c>
      <c r="E34" s="14">
        <f>IFERROR(__xludf.DUMMYFUNCTION("GOOGLEFINANCE(A34,""LOW"")"),3666.3)</f>
        <v>3666.3</v>
      </c>
      <c r="F34" s="15" t="str">
        <f t="shared" si="8"/>
        <v/>
      </c>
      <c r="G34" s="16">
        <f>IFERROR(__xludf.DUMMYFUNCTION("GOOGLEFINANCE(A34,""CLOSEYEST"")"),3670.3)</f>
        <v>3670.3</v>
      </c>
      <c r="H34" s="17" t="str">
        <f t="shared" si="14"/>
        <v/>
      </c>
      <c r="I34" s="18">
        <f t="shared" si="9"/>
        <v>3694.2</v>
      </c>
      <c r="J34" s="19">
        <f t="shared" si="10"/>
        <v>3722.1</v>
      </c>
      <c r="K34" s="19"/>
      <c r="L34" s="19">
        <f t="shared" si="11"/>
        <v>3642.4</v>
      </c>
      <c r="M34" s="19">
        <f t="shared" si="12"/>
        <v>3773.9</v>
      </c>
      <c r="N34" s="19">
        <f t="shared" si="13"/>
        <v>3614.5</v>
      </c>
    </row>
    <row r="35" ht="24.75" customHeight="1">
      <c r="A35" s="12" t="s">
        <v>47</v>
      </c>
      <c r="B35" s="13">
        <f>IFERROR(__xludf.DUMMYFUNCTION("GOOGLEFINANCE(A35,""PRICE"")"),3460.0)</f>
        <v>3460</v>
      </c>
      <c r="C35" s="14">
        <f>IFERROR(__xludf.DUMMYFUNCTION("GOOGLEFINANCE(A35,""PRICEOPEN"")"),3462.1)</f>
        <v>3462.1</v>
      </c>
      <c r="D35" s="14">
        <f>IFERROR(__xludf.DUMMYFUNCTION("GOOGLEFINANCE(A35,""HIGH"")"),3492.4)</f>
        <v>3492.4</v>
      </c>
      <c r="E35" s="14">
        <f>IFERROR(__xludf.DUMMYFUNCTION("GOOGLEFINANCE(A35,""LOW"")"),3404.2)</f>
        <v>3404.2</v>
      </c>
      <c r="F35" s="15" t="str">
        <f t="shared" si="8"/>
        <v/>
      </c>
      <c r="G35" s="16">
        <f>IFERROR(__xludf.DUMMYFUNCTION("GOOGLEFINANCE(A35,""CLOSEYEST"")"),3463.4)</f>
        <v>3463.4</v>
      </c>
      <c r="H35" s="17" t="str">
        <f t="shared" si="14"/>
        <v/>
      </c>
      <c r="I35" s="18">
        <f t="shared" si="9"/>
        <v>3453.333333</v>
      </c>
      <c r="J35" s="19">
        <f t="shared" si="10"/>
        <v>3502.466667</v>
      </c>
      <c r="K35" s="19"/>
      <c r="L35" s="19">
        <f t="shared" si="11"/>
        <v>3414.266667</v>
      </c>
      <c r="M35" s="19">
        <f t="shared" si="12"/>
        <v>3541.533333</v>
      </c>
      <c r="N35" s="19">
        <f t="shared" si="13"/>
        <v>3365.133333</v>
      </c>
    </row>
    <row r="36" ht="24.75" customHeight="1">
      <c r="A36" s="12" t="s">
        <v>48</v>
      </c>
      <c r="B36" s="13">
        <f>IFERROR(__xludf.DUMMYFUNCTION("GOOGLEFINANCE(A36,""PRICE"")"),15808.0)</f>
        <v>15808</v>
      </c>
      <c r="C36" s="14">
        <f>IFERROR(__xludf.DUMMYFUNCTION("GOOGLEFINANCE(A36,""PRICEOPEN"")"),15949.0)</f>
        <v>15949</v>
      </c>
      <c r="D36" s="14">
        <f>IFERROR(__xludf.DUMMYFUNCTION("GOOGLEFINANCE(A36,""HIGH"")"),16025.0)</f>
        <v>16025</v>
      </c>
      <c r="E36" s="14">
        <f>IFERROR(__xludf.DUMMYFUNCTION("GOOGLEFINANCE(A36,""LOW"")"),15736.0)</f>
        <v>15736</v>
      </c>
      <c r="F36" s="15" t="str">
        <f t="shared" si="8"/>
        <v/>
      </c>
      <c r="G36" s="16">
        <f>IFERROR(__xludf.DUMMYFUNCTION("GOOGLEFINANCE(A36,""CLOSEYEST"")"),15965.0)</f>
        <v>15965</v>
      </c>
      <c r="H36" s="17" t="str">
        <f t="shared" si="14"/>
        <v/>
      </c>
      <c r="I36" s="18">
        <f t="shared" si="9"/>
        <v>15908.66667</v>
      </c>
      <c r="J36" s="19">
        <f t="shared" si="10"/>
        <v>16081.33333</v>
      </c>
      <c r="K36" s="19"/>
      <c r="L36" s="19">
        <f t="shared" si="11"/>
        <v>15792.33333</v>
      </c>
      <c r="M36" s="19">
        <f t="shared" si="12"/>
        <v>16197.66667</v>
      </c>
      <c r="N36" s="19">
        <f t="shared" si="13"/>
        <v>15619.66667</v>
      </c>
    </row>
    <row r="37" ht="24.75" customHeight="1">
      <c r="A37" s="12" t="s">
        <v>49</v>
      </c>
      <c r="B37" s="13">
        <f>IFERROR(__xludf.DUMMYFUNCTION("GOOGLEFINANCE(A37,""PRICE"")"),341.8)</f>
        <v>341.8</v>
      </c>
      <c r="C37" s="14">
        <f>IFERROR(__xludf.DUMMYFUNCTION("GOOGLEFINANCE(A37,""PRICEOPEN"")"),340.25)</f>
        <v>340.25</v>
      </c>
      <c r="D37" s="14">
        <f>IFERROR(__xludf.DUMMYFUNCTION("GOOGLEFINANCE(A37,""HIGH"")"),343.5)</f>
        <v>343.5</v>
      </c>
      <c r="E37" s="14">
        <f>IFERROR(__xludf.DUMMYFUNCTION("GOOGLEFINANCE(A37,""LOW"")"),338.75)</f>
        <v>338.75</v>
      </c>
      <c r="F37" s="15" t="str">
        <f t="shared" si="8"/>
        <v/>
      </c>
      <c r="G37" s="16">
        <f>IFERROR(__xludf.DUMMYFUNCTION("GOOGLEFINANCE(A37,""CLOSEYEST"")"),340.25)</f>
        <v>340.25</v>
      </c>
      <c r="H37" s="17" t="str">
        <f t="shared" si="14"/>
        <v/>
      </c>
      <c r="I37" s="18">
        <f t="shared" si="9"/>
        <v>340.8333333</v>
      </c>
      <c r="J37" s="19">
        <f t="shared" si="10"/>
        <v>342.9166667</v>
      </c>
      <c r="K37" s="19"/>
      <c r="L37" s="19">
        <f t="shared" si="11"/>
        <v>338.1666667</v>
      </c>
      <c r="M37" s="19">
        <f t="shared" si="12"/>
        <v>345.5833333</v>
      </c>
      <c r="N37" s="19">
        <f t="shared" si="13"/>
        <v>336.0833333</v>
      </c>
    </row>
    <row r="38" ht="24.75" customHeight="1">
      <c r="A38" s="12" t="s">
        <v>50</v>
      </c>
      <c r="B38" s="13">
        <f>IFERROR(__xludf.DUMMYFUNCTION("GOOGLEFINANCE(A38,""PRICE"")"),1170.0)</f>
        <v>1170</v>
      </c>
      <c r="C38" s="14">
        <f>IFERROR(__xludf.DUMMYFUNCTION("GOOGLEFINANCE(A38,""PRICEOPEN"")"),1160.0)</f>
        <v>1160</v>
      </c>
      <c r="D38" s="14">
        <f>IFERROR(__xludf.DUMMYFUNCTION("GOOGLEFINANCE(A38,""HIGH"")"),1171.3)</f>
        <v>1171.3</v>
      </c>
      <c r="E38" s="14">
        <f>IFERROR(__xludf.DUMMYFUNCTION("GOOGLEFINANCE(A38,""LOW"")"),1154.4)</f>
        <v>1154.4</v>
      </c>
      <c r="F38" s="15" t="str">
        <f t="shared" si="8"/>
        <v/>
      </c>
      <c r="G38" s="16">
        <f>IFERROR(__xludf.DUMMYFUNCTION("GOOGLEFINANCE(A38,""CLOSEYEST"")"),1166.4)</f>
        <v>1166.4</v>
      </c>
      <c r="H38" s="17" t="str">
        <f t="shared" si="14"/>
        <v/>
      </c>
      <c r="I38" s="18">
        <f t="shared" si="9"/>
        <v>1164.033333</v>
      </c>
      <c r="J38" s="19">
        <f t="shared" si="10"/>
        <v>1173.666667</v>
      </c>
      <c r="K38" s="19"/>
      <c r="L38" s="19">
        <f t="shared" si="11"/>
        <v>1156.766667</v>
      </c>
      <c r="M38" s="19">
        <f t="shared" si="12"/>
        <v>1180.933333</v>
      </c>
      <c r="N38" s="19">
        <f t="shared" si="13"/>
        <v>1147.133333</v>
      </c>
    </row>
    <row r="39" ht="24.75" customHeight="1">
      <c r="A39" s="12" t="s">
        <v>51</v>
      </c>
      <c r="B39" s="13">
        <f>IFERROR(__xludf.DUMMYFUNCTION("GOOGLEFINANCE(A39,""PRICE"")"),243.78)</f>
        <v>243.78</v>
      </c>
      <c r="C39" s="14">
        <f>IFERROR(__xludf.DUMMYFUNCTION("GOOGLEFINANCE(A39,""PRICEOPEN"")"),242.5)</f>
        <v>242.5</v>
      </c>
      <c r="D39" s="14">
        <f>IFERROR(__xludf.DUMMYFUNCTION("GOOGLEFINANCE(A39,""HIGH"")"),244.2)</f>
        <v>244.2</v>
      </c>
      <c r="E39" s="14">
        <f>IFERROR(__xludf.DUMMYFUNCTION("GOOGLEFINANCE(A39,""LOW"")"),239.7)</f>
        <v>239.7</v>
      </c>
      <c r="F39" s="15" t="str">
        <f t="shared" si="8"/>
        <v/>
      </c>
      <c r="G39" s="16">
        <f>IFERROR(__xludf.DUMMYFUNCTION("GOOGLEFINANCE(A39,""CLOSEYEST"")"),243.04)</f>
        <v>243.04</v>
      </c>
      <c r="H39" s="17" t="str">
        <f t="shared" si="14"/>
        <v/>
      </c>
      <c r="I39" s="18">
        <f t="shared" si="9"/>
        <v>242.3133333</v>
      </c>
      <c r="J39" s="19">
        <f t="shared" si="10"/>
        <v>244.9266667</v>
      </c>
      <c r="K39" s="19"/>
      <c r="L39" s="19">
        <f t="shared" si="11"/>
        <v>240.4266667</v>
      </c>
      <c r="M39" s="19">
        <f t="shared" si="12"/>
        <v>246.8133333</v>
      </c>
      <c r="N39" s="19">
        <f t="shared" si="13"/>
        <v>237.8133333</v>
      </c>
    </row>
    <row r="40" ht="24.75" customHeight="1">
      <c r="A40" s="12" t="s">
        <v>52</v>
      </c>
      <c r="B40" s="13">
        <f>IFERROR(__xludf.DUMMYFUNCTION("GOOGLEFINANCE(A40,""PRICE"")"),288.65)</f>
        <v>288.65</v>
      </c>
      <c r="C40" s="14">
        <f>IFERROR(__xludf.DUMMYFUNCTION("GOOGLEFINANCE(A40,""PRICEOPEN"")"),283.35)</f>
        <v>283.35</v>
      </c>
      <c r="D40" s="14">
        <f>IFERROR(__xludf.DUMMYFUNCTION("GOOGLEFINANCE(A40,""HIGH"")"),290.0)</f>
        <v>290</v>
      </c>
      <c r="E40" s="14">
        <f>IFERROR(__xludf.DUMMYFUNCTION("GOOGLEFINANCE(A40,""LOW"")"),281.05)</f>
        <v>281.05</v>
      </c>
      <c r="F40" s="15" t="str">
        <f t="shared" si="8"/>
        <v/>
      </c>
      <c r="G40" s="16">
        <f>IFERROR(__xludf.DUMMYFUNCTION("GOOGLEFINANCE(A40,""CLOSEYEST"")"),280.65)</f>
        <v>280.65</v>
      </c>
      <c r="H40" s="17" t="str">
        <f t="shared" si="14"/>
        <v/>
      </c>
      <c r="I40" s="18">
        <f t="shared" si="9"/>
        <v>283.9</v>
      </c>
      <c r="J40" s="19">
        <f t="shared" si="10"/>
        <v>286.75</v>
      </c>
      <c r="K40" s="19"/>
      <c r="L40" s="19">
        <f t="shared" si="11"/>
        <v>277.8</v>
      </c>
      <c r="M40" s="19">
        <f t="shared" si="12"/>
        <v>292.85</v>
      </c>
      <c r="N40" s="19">
        <f t="shared" si="13"/>
        <v>274.95</v>
      </c>
    </row>
    <row r="41" ht="24.75" customHeight="1">
      <c r="A41" s="12" t="s">
        <v>53</v>
      </c>
      <c r="B41" s="13">
        <f>IFERROR(__xludf.DUMMYFUNCTION("GOOGLEFINANCE(A41,""PRICE"")"),1363.3)</f>
        <v>1363.3</v>
      </c>
      <c r="C41" s="14">
        <f>IFERROR(__xludf.DUMMYFUNCTION("GOOGLEFINANCE(A41,""PRICEOPEN"")"),1363.2)</f>
        <v>1363.2</v>
      </c>
      <c r="D41" s="14">
        <f>IFERROR(__xludf.DUMMYFUNCTION("GOOGLEFINANCE(A41,""HIGH"")"),1371.6)</f>
        <v>1371.6</v>
      </c>
      <c r="E41" s="14">
        <f>IFERROR(__xludf.DUMMYFUNCTION("GOOGLEFINANCE(A41,""LOW"")"),1356.9)</f>
        <v>1356.9</v>
      </c>
      <c r="F41" s="15" t="str">
        <f t="shared" si="8"/>
        <v/>
      </c>
      <c r="G41" s="16">
        <f>IFERROR(__xludf.DUMMYFUNCTION("GOOGLEFINANCE(A41,""CLOSEYEST"")"),1368.7)</f>
        <v>1368.7</v>
      </c>
      <c r="H41" s="17" t="str">
        <f t="shared" si="14"/>
        <v/>
      </c>
      <c r="I41" s="18">
        <f t="shared" si="9"/>
        <v>1365.733333</v>
      </c>
      <c r="J41" s="19">
        <f t="shared" si="10"/>
        <v>1374.566667</v>
      </c>
      <c r="K41" s="19"/>
      <c r="L41" s="19">
        <f t="shared" si="11"/>
        <v>1359.866667</v>
      </c>
      <c r="M41" s="19">
        <f t="shared" si="12"/>
        <v>1380.433333</v>
      </c>
      <c r="N41" s="19">
        <f t="shared" si="13"/>
        <v>1351.033333</v>
      </c>
    </row>
    <row r="42" ht="24.75" customHeight="1">
      <c r="A42" s="12" t="s">
        <v>54</v>
      </c>
      <c r="B42" s="13">
        <f>IFERROR(__xludf.DUMMYFUNCTION("GOOGLEFINANCE(A42,""PRICE"")"),1787.0)</f>
        <v>1787</v>
      </c>
      <c r="C42" s="14">
        <f>IFERROR(__xludf.DUMMYFUNCTION("GOOGLEFINANCE(A42,""PRICEOPEN"")"),1801.1)</f>
        <v>1801.1</v>
      </c>
      <c r="D42" s="14">
        <f>IFERROR(__xludf.DUMMYFUNCTION("GOOGLEFINANCE(A42,""HIGH"")"),1803.2)</f>
        <v>1803.2</v>
      </c>
      <c r="E42" s="14">
        <f>IFERROR(__xludf.DUMMYFUNCTION("GOOGLEFINANCE(A42,""LOW"")"),1766.2)</f>
        <v>1766.2</v>
      </c>
      <c r="F42" s="15" t="str">
        <f t="shared" si="8"/>
        <v/>
      </c>
      <c r="G42" s="16">
        <f>IFERROR(__xludf.DUMMYFUNCTION("GOOGLEFINANCE(A42,""CLOSEYEST"")"),1801.1)</f>
        <v>1801.1</v>
      </c>
      <c r="H42" s="17" t="str">
        <f t="shared" si="14"/>
        <v/>
      </c>
      <c r="I42" s="18">
        <f t="shared" si="9"/>
        <v>1790.166667</v>
      </c>
      <c r="J42" s="19">
        <f t="shared" si="10"/>
        <v>1814.133333</v>
      </c>
      <c r="K42" s="19"/>
      <c r="L42" s="19">
        <f t="shared" si="11"/>
        <v>1777.133333</v>
      </c>
      <c r="M42" s="19">
        <f t="shared" si="12"/>
        <v>1827.166667</v>
      </c>
      <c r="N42" s="19">
        <f t="shared" si="13"/>
        <v>1753.166667</v>
      </c>
    </row>
    <row r="43" ht="24.75" customHeight="1">
      <c r="A43" s="12" t="s">
        <v>55</v>
      </c>
      <c r="B43" s="13">
        <f>IFERROR(__xludf.DUMMYFUNCTION("GOOGLEFINANCE(A43,""PRICE"")"),867.7)</f>
        <v>867.7</v>
      </c>
      <c r="C43" s="14">
        <f>IFERROR(__xludf.DUMMYFUNCTION("GOOGLEFINANCE(A43,""PRICEOPEN"")"),865.15)</f>
        <v>865.15</v>
      </c>
      <c r="D43" s="14">
        <f>IFERROR(__xludf.DUMMYFUNCTION("GOOGLEFINANCE(A43,""HIGH"")"),873.0)</f>
        <v>873</v>
      </c>
      <c r="E43" s="14">
        <f>IFERROR(__xludf.DUMMYFUNCTION("GOOGLEFINANCE(A43,""LOW"")"),863.8)</f>
        <v>863.8</v>
      </c>
      <c r="F43" s="15" t="str">
        <f t="shared" si="8"/>
        <v/>
      </c>
      <c r="G43" s="16">
        <f>IFERROR(__xludf.DUMMYFUNCTION("GOOGLEFINANCE(A43,""CLOSEYEST"")"),864.1)</f>
        <v>864.1</v>
      </c>
      <c r="H43" s="17" t="str">
        <f t="shared" si="14"/>
        <v/>
      </c>
      <c r="I43" s="18">
        <f t="shared" si="9"/>
        <v>866.9666667</v>
      </c>
      <c r="J43" s="19">
        <f t="shared" si="10"/>
        <v>870.1333333</v>
      </c>
      <c r="K43" s="19"/>
      <c r="L43" s="19">
        <f t="shared" si="11"/>
        <v>860.9333333</v>
      </c>
      <c r="M43" s="19">
        <f t="shared" si="12"/>
        <v>876.1666667</v>
      </c>
      <c r="N43" s="19">
        <f t="shared" si="13"/>
        <v>857.7666667</v>
      </c>
    </row>
    <row r="44" ht="24.75" customHeight="1">
      <c r="A44" s="12" t="s">
        <v>56</v>
      </c>
      <c r="B44" s="13">
        <f>IFERROR(__xludf.DUMMYFUNCTION("GOOGLEFINANCE(A44,""PRICE"")"),1632.0)</f>
        <v>1632</v>
      </c>
      <c r="C44" s="14">
        <f>IFERROR(__xludf.DUMMYFUNCTION("GOOGLEFINANCE(A44,""PRICEOPEN"")"),1600.0)</f>
        <v>1600</v>
      </c>
      <c r="D44" s="14">
        <f>IFERROR(__xludf.DUMMYFUNCTION("GOOGLEFINANCE(A44,""HIGH"")"),1645.5)</f>
        <v>1645.5</v>
      </c>
      <c r="E44" s="14">
        <f>IFERROR(__xludf.DUMMYFUNCTION("GOOGLEFINANCE(A44,""LOW"")"),1600.0)</f>
        <v>1600</v>
      </c>
      <c r="F44" s="15" t="str">
        <f t="shared" si="8"/>
        <v>BUY</v>
      </c>
      <c r="G44" s="16">
        <f>IFERROR(__xludf.DUMMYFUNCTION("GOOGLEFINANCE(A44,""CLOSEYEST"")"),1636.2)</f>
        <v>1636.2</v>
      </c>
      <c r="H44" s="17" t="str">
        <f t="shared" si="14"/>
        <v>GAP DOWN</v>
      </c>
      <c r="I44" s="18">
        <f t="shared" si="9"/>
        <v>1627.233333</v>
      </c>
      <c r="J44" s="19">
        <f t="shared" si="10"/>
        <v>1654.466667</v>
      </c>
      <c r="K44" s="19"/>
      <c r="L44" s="19">
        <f t="shared" si="11"/>
        <v>1608.966667</v>
      </c>
      <c r="M44" s="19">
        <f t="shared" si="12"/>
        <v>1672.733333</v>
      </c>
      <c r="N44" s="19">
        <f t="shared" si="13"/>
        <v>1581.733333</v>
      </c>
    </row>
    <row r="45" ht="24.75" customHeight="1">
      <c r="A45" s="12" t="s">
        <v>57</v>
      </c>
      <c r="B45" s="13">
        <f>IFERROR(__xludf.DUMMYFUNCTION("GOOGLEFINANCE(A45,""PRICE"")"),35.67)</f>
        <v>35.67</v>
      </c>
      <c r="C45" s="14">
        <f>IFERROR(__xludf.DUMMYFUNCTION("GOOGLEFINANCE(A45,""PRICEOPEN"")"),34.95)</f>
        <v>34.95</v>
      </c>
      <c r="D45" s="14">
        <f>IFERROR(__xludf.DUMMYFUNCTION("GOOGLEFINANCE(A45,""HIGH"")"),35.63)</f>
        <v>35.63</v>
      </c>
      <c r="E45" s="14">
        <f>IFERROR(__xludf.DUMMYFUNCTION("GOOGLEFINANCE(A45,""LOW"")"),34.95)</f>
        <v>34.95</v>
      </c>
      <c r="F45" s="15" t="str">
        <f t="shared" si="8"/>
        <v>BUY</v>
      </c>
      <c r="G45" s="16">
        <f>IFERROR(__xludf.DUMMYFUNCTION("GOOGLEFINANCE(A45,""CLOSEYEST"")"),34.95)</f>
        <v>34.95</v>
      </c>
      <c r="H45" s="17" t="str">
        <f t="shared" si="14"/>
        <v/>
      </c>
      <c r="I45" s="18">
        <f t="shared" si="9"/>
        <v>35.17666667</v>
      </c>
      <c r="J45" s="19">
        <f t="shared" si="10"/>
        <v>35.40333333</v>
      </c>
      <c r="K45" s="19"/>
      <c r="L45" s="19">
        <f t="shared" si="11"/>
        <v>34.72333333</v>
      </c>
      <c r="M45" s="19">
        <f t="shared" si="12"/>
        <v>35.85666667</v>
      </c>
      <c r="N45" s="19">
        <f t="shared" si="13"/>
        <v>34.49666667</v>
      </c>
    </row>
    <row r="46" ht="24.75" customHeight="1">
      <c r="A46" s="12" t="s">
        <v>58</v>
      </c>
      <c r="B46" s="13">
        <f>IFERROR(__xludf.DUMMYFUNCTION("GOOGLEFINANCE(A46,""PRICE"")"),1138.5)</f>
        <v>1138.5</v>
      </c>
      <c r="C46" s="14">
        <f>IFERROR(__xludf.DUMMYFUNCTION("GOOGLEFINANCE(A46,""PRICEOPEN"")"),1146.0)</f>
        <v>1146</v>
      </c>
      <c r="D46" s="14">
        <f>IFERROR(__xludf.DUMMYFUNCTION("GOOGLEFINANCE(A46,""HIGH"")"),1150.0)</f>
        <v>1150</v>
      </c>
      <c r="E46" s="14">
        <f>IFERROR(__xludf.DUMMYFUNCTION("GOOGLEFINANCE(A46,""LOW"")"),1129.1)</f>
        <v>1129.1</v>
      </c>
      <c r="F46" s="15" t="str">
        <f t="shared" si="8"/>
        <v/>
      </c>
      <c r="G46" s="16">
        <f>IFERROR(__xludf.DUMMYFUNCTION("GOOGLEFINANCE(A46,""CLOSEYEST"")"),1144.8)</f>
        <v>1144.8</v>
      </c>
      <c r="H46" s="17" t="str">
        <f t="shared" si="14"/>
        <v/>
      </c>
      <c r="I46" s="18">
        <f t="shared" si="9"/>
        <v>1141.3</v>
      </c>
      <c r="J46" s="19">
        <f t="shared" si="10"/>
        <v>1153.5</v>
      </c>
      <c r="K46" s="19"/>
      <c r="L46" s="19">
        <f t="shared" si="11"/>
        <v>1132.6</v>
      </c>
      <c r="M46" s="19">
        <f t="shared" si="12"/>
        <v>1162.2</v>
      </c>
      <c r="N46" s="19">
        <f t="shared" si="13"/>
        <v>1120.4</v>
      </c>
    </row>
    <row r="47" ht="24.75" customHeight="1">
      <c r="A47" s="12" t="s">
        <v>59</v>
      </c>
      <c r="B47" s="13">
        <f>IFERROR(__xludf.DUMMYFUNCTION("GOOGLEFINANCE(A47,""PRICE"")"),715.85)</f>
        <v>715.85</v>
      </c>
      <c r="C47" s="14">
        <f>IFERROR(__xludf.DUMMYFUNCTION("GOOGLEFINANCE(A47,""PRICEOPEN"")"),718.5)</f>
        <v>718.5</v>
      </c>
      <c r="D47" s="14">
        <f>IFERROR(__xludf.DUMMYFUNCTION("GOOGLEFINANCE(A47,""HIGH"")"),739.7)</f>
        <v>739.7</v>
      </c>
      <c r="E47" s="14">
        <f>IFERROR(__xludf.DUMMYFUNCTION("GOOGLEFINANCE(A47,""LOW"")"),715.0)</f>
        <v>715</v>
      </c>
      <c r="F47" s="15" t="str">
        <f t="shared" si="8"/>
        <v/>
      </c>
      <c r="G47" s="16">
        <f>IFERROR(__xludf.DUMMYFUNCTION("GOOGLEFINANCE(A47,""CLOSEYEST"")"),718.35)</f>
        <v>718.35</v>
      </c>
      <c r="H47" s="17" t="str">
        <f t="shared" si="14"/>
        <v/>
      </c>
      <c r="I47" s="18">
        <f t="shared" si="9"/>
        <v>724.35</v>
      </c>
      <c r="J47" s="19">
        <f t="shared" si="10"/>
        <v>733.7</v>
      </c>
      <c r="K47" s="19"/>
      <c r="L47" s="19">
        <f t="shared" si="11"/>
        <v>709</v>
      </c>
      <c r="M47" s="19">
        <f t="shared" si="12"/>
        <v>749.05</v>
      </c>
      <c r="N47" s="19">
        <f t="shared" si="13"/>
        <v>699.65</v>
      </c>
    </row>
    <row r="48" ht="24.75" customHeight="1">
      <c r="A48" s="12" t="s">
        <v>60</v>
      </c>
      <c r="B48" s="13">
        <f>IFERROR(__xludf.DUMMYFUNCTION("GOOGLEFINANCE(A48,""PRICE"")"),173.29)</f>
        <v>173.29</v>
      </c>
      <c r="C48" s="14">
        <f>IFERROR(__xludf.DUMMYFUNCTION("GOOGLEFINANCE(A48,""PRICEOPEN"")"),168.12)</f>
        <v>168.12</v>
      </c>
      <c r="D48" s="14">
        <f>IFERROR(__xludf.DUMMYFUNCTION("GOOGLEFINANCE(A48,""HIGH"")"),174.74)</f>
        <v>174.74</v>
      </c>
      <c r="E48" s="14">
        <f>IFERROR(__xludf.DUMMYFUNCTION("GOOGLEFINANCE(A48,""LOW"")"),168.12)</f>
        <v>168.12</v>
      </c>
      <c r="F48" s="15" t="str">
        <f t="shared" si="8"/>
        <v>BUY</v>
      </c>
      <c r="G48" s="16">
        <f>IFERROR(__xludf.DUMMYFUNCTION("GOOGLEFINANCE(A48,""CLOSEYEST"")"),167.51)</f>
        <v>167.51</v>
      </c>
      <c r="H48" s="17" t="str">
        <f t="shared" si="14"/>
        <v/>
      </c>
      <c r="I48" s="18">
        <f t="shared" si="9"/>
        <v>170.1233333</v>
      </c>
      <c r="J48" s="19">
        <f t="shared" si="10"/>
        <v>172.1266667</v>
      </c>
      <c r="K48" s="19"/>
      <c r="L48" s="19">
        <f t="shared" si="11"/>
        <v>165.5066667</v>
      </c>
      <c r="M48" s="19">
        <f t="shared" si="12"/>
        <v>176.7433333</v>
      </c>
      <c r="N48" s="19">
        <f t="shared" si="13"/>
        <v>163.5033333</v>
      </c>
    </row>
    <row r="49" ht="24.75" customHeight="1">
      <c r="A49" s="12" t="s">
        <v>61</v>
      </c>
      <c r="B49" s="13">
        <f>IFERROR(__xludf.DUMMYFUNCTION("GOOGLEFINANCE(A49,""PRICE"")"),1398.0)</f>
        <v>1398</v>
      </c>
      <c r="C49" s="14">
        <f>IFERROR(__xludf.DUMMYFUNCTION("GOOGLEFINANCE(A49,""PRICEOPEN"")"),1423.0)</f>
        <v>1423</v>
      </c>
      <c r="D49" s="14">
        <f>IFERROR(__xludf.DUMMYFUNCTION("GOOGLEFINANCE(A49,""HIGH"")"),1423.8)</f>
        <v>1423.8</v>
      </c>
      <c r="E49" s="14">
        <f>IFERROR(__xludf.DUMMYFUNCTION("GOOGLEFINANCE(A49,""LOW"")"),1397.3)</f>
        <v>1397.3</v>
      </c>
      <c r="F49" s="15" t="str">
        <f t="shared" si="8"/>
        <v/>
      </c>
      <c r="G49" s="16">
        <f>IFERROR(__xludf.DUMMYFUNCTION("GOOGLEFINANCE(A49,""CLOSEYEST"")"),1416.0)</f>
        <v>1416</v>
      </c>
      <c r="H49" s="17" t="str">
        <f t="shared" si="14"/>
        <v/>
      </c>
      <c r="I49" s="18">
        <f t="shared" si="9"/>
        <v>1412.366667</v>
      </c>
      <c r="J49" s="19">
        <f t="shared" si="10"/>
        <v>1427.433333</v>
      </c>
      <c r="K49" s="19"/>
      <c r="L49" s="19">
        <f t="shared" si="11"/>
        <v>1400.933333</v>
      </c>
      <c r="M49" s="19">
        <f t="shared" si="12"/>
        <v>1438.866667</v>
      </c>
      <c r="N49" s="19">
        <f t="shared" si="13"/>
        <v>1385.866667</v>
      </c>
    </row>
    <row r="50" ht="24.75" customHeight="1">
      <c r="A50" s="12" t="s">
        <v>62</v>
      </c>
      <c r="B50" s="13">
        <f>IFERROR(__xludf.DUMMYFUNCTION("GOOGLEFINANCE(A50,""PRICE"")"),12018.0)</f>
        <v>12018</v>
      </c>
      <c r="C50" s="14">
        <f>IFERROR(__xludf.DUMMYFUNCTION("GOOGLEFINANCE(A50,""PRICEOPEN"")"),12095.0)</f>
        <v>12095</v>
      </c>
      <c r="D50" s="14">
        <f>IFERROR(__xludf.DUMMYFUNCTION("GOOGLEFINANCE(A50,""HIGH"")"),12139.0)</f>
        <v>12139</v>
      </c>
      <c r="E50" s="14">
        <f>IFERROR(__xludf.DUMMYFUNCTION("GOOGLEFINANCE(A50,""LOW"")"),11982.0)</f>
        <v>11982</v>
      </c>
      <c r="F50" s="15" t="str">
        <f t="shared" si="8"/>
        <v/>
      </c>
      <c r="G50" s="16">
        <f>IFERROR(__xludf.DUMMYFUNCTION("GOOGLEFINANCE(A50,""CLOSEYEST"")"),12095.0)</f>
        <v>12095</v>
      </c>
      <c r="H50" s="17" t="str">
        <f t="shared" si="14"/>
        <v/>
      </c>
      <c r="I50" s="18">
        <f t="shared" si="9"/>
        <v>12072</v>
      </c>
      <c r="J50" s="19">
        <f t="shared" si="10"/>
        <v>12162</v>
      </c>
      <c r="K50" s="19"/>
      <c r="L50" s="19">
        <f t="shared" si="11"/>
        <v>12005</v>
      </c>
      <c r="M50" s="19">
        <f t="shared" si="12"/>
        <v>12229</v>
      </c>
      <c r="N50" s="19">
        <f t="shared" si="13"/>
        <v>11915</v>
      </c>
    </row>
    <row r="51" ht="24.75" customHeight="1">
      <c r="A51" s="12" t="s">
        <v>63</v>
      </c>
      <c r="B51" s="13">
        <f>IFERROR(__xludf.DUMMYFUNCTION("GOOGLEFINANCE(A51,""PRICE"")"),241.2)</f>
        <v>241.2</v>
      </c>
      <c r="C51" s="14">
        <f>IFERROR(__xludf.DUMMYFUNCTION("GOOGLEFINANCE(A51,""PRICEOPEN"")"),240.98)</f>
        <v>240.98</v>
      </c>
      <c r="D51" s="14">
        <f>IFERROR(__xludf.DUMMYFUNCTION("GOOGLEFINANCE(A51,""HIGH"")"),241.4)</f>
        <v>241.4</v>
      </c>
      <c r="E51" s="14">
        <f>IFERROR(__xludf.DUMMYFUNCTION("GOOGLEFINANCE(A51,""LOW"")"),238.06)</f>
        <v>238.06</v>
      </c>
      <c r="F51" s="15" t="str">
        <f t="shared" si="8"/>
        <v/>
      </c>
      <c r="G51" s="16">
        <f>IFERROR(__xludf.DUMMYFUNCTION("GOOGLEFINANCE(A51,""CLOSEYEST"")"),241.07)</f>
        <v>241.07</v>
      </c>
      <c r="H51" s="17" t="str">
        <f t="shared" si="14"/>
        <v/>
      </c>
      <c r="I51" s="18">
        <f t="shared" si="9"/>
        <v>240.1766667</v>
      </c>
      <c r="J51" s="19">
        <f t="shared" si="10"/>
        <v>242.2933333</v>
      </c>
      <c r="K51" s="19"/>
      <c r="L51" s="19">
        <f t="shared" si="11"/>
        <v>238.9533333</v>
      </c>
      <c r="M51" s="19">
        <f t="shared" si="12"/>
        <v>243.5166667</v>
      </c>
      <c r="N51" s="19">
        <f t="shared" si="13"/>
        <v>236.8366667</v>
      </c>
    </row>
    <row r="52" ht="24.75" customHeight="1">
      <c r="A52" s="12" t="s">
        <v>64</v>
      </c>
      <c r="B52" s="13">
        <f>IFERROR(__xludf.DUMMYFUNCTION("GOOGLEFINANCE(A52,""PRICE"")"),114.15)</f>
        <v>114.15</v>
      </c>
      <c r="C52" s="14">
        <f>IFERROR(__xludf.DUMMYFUNCTION("GOOGLEFINANCE(A52,""PRICEOPEN"")"),114.49)</f>
        <v>114.49</v>
      </c>
      <c r="D52" s="14">
        <f>IFERROR(__xludf.DUMMYFUNCTION("GOOGLEFINANCE(A52,""HIGH"")"),115.07)</f>
        <v>115.07</v>
      </c>
      <c r="E52" s="14">
        <f>IFERROR(__xludf.DUMMYFUNCTION("GOOGLEFINANCE(A52,""LOW"")"),112.63)</f>
        <v>112.63</v>
      </c>
      <c r="F52" s="15" t="str">
        <f t="shared" si="8"/>
        <v/>
      </c>
      <c r="G52" s="16">
        <f>IFERROR(__xludf.DUMMYFUNCTION("GOOGLEFINANCE(A52,""CLOSEYEST"")"),114.21)</f>
        <v>114.21</v>
      </c>
      <c r="H52" s="17" t="str">
        <f t="shared" si="14"/>
        <v/>
      </c>
      <c r="I52" s="18">
        <f t="shared" si="9"/>
        <v>113.97</v>
      </c>
      <c r="J52" s="19">
        <f t="shared" si="10"/>
        <v>115.31</v>
      </c>
      <c r="K52" s="19"/>
      <c r="L52" s="19">
        <f t="shared" si="11"/>
        <v>112.87</v>
      </c>
      <c r="M52" s="19">
        <f t="shared" si="12"/>
        <v>116.41</v>
      </c>
      <c r="N52" s="19">
        <f t="shared" si="13"/>
        <v>111.53</v>
      </c>
    </row>
    <row r="53" ht="24.75" customHeight="1">
      <c r="A53" s="21" t="s">
        <v>65</v>
      </c>
      <c r="B53" s="13" t="str">
        <f>IFERROR(__xludf.DUMMYFUNCTION("GOOGLEFINANCE(A53,""PRICE"")"),"#N/A")</f>
        <v>#N/A</v>
      </c>
      <c r="C53" s="14" t="str">
        <f>IFERROR(__xludf.DUMMYFUNCTION("GOOGLEFINANCE(A53,""PRICEOPEN"")"),"#N/A")</f>
        <v>#N/A</v>
      </c>
      <c r="D53" s="14" t="str">
        <f>IFERROR(__xludf.DUMMYFUNCTION("GOOGLEFINANCE(A53,""HIGH"")"),"#N/A")</f>
        <v>#N/A</v>
      </c>
      <c r="E53" s="14" t="str">
        <f>IFERROR(__xludf.DUMMYFUNCTION("GOOGLEFINANCE(A53,""LOW"")"),"#N/A")</f>
        <v>#N/A</v>
      </c>
      <c r="F53" s="15" t="str">
        <f t="shared" si="8"/>
        <v>#N/A</v>
      </c>
      <c r="G53" s="16" t="str">
        <f>IFERROR(__xludf.DUMMYFUNCTION("GOOGLEFINANCE(A53,""CLOSEYEST"")"),"#N/A")</f>
        <v>#N/A</v>
      </c>
      <c r="H53" s="17" t="str">
        <f t="shared" si="14"/>
        <v>#N/A</v>
      </c>
      <c r="I53" s="18" t="str">
        <f t="shared" si="9"/>
        <v>#N/A</v>
      </c>
      <c r="J53" s="19" t="str">
        <f t="shared" si="10"/>
        <v>#N/A</v>
      </c>
      <c r="K53" s="19"/>
      <c r="L53" s="19" t="str">
        <f t="shared" si="11"/>
        <v>#N/A</v>
      </c>
      <c r="M53" s="19" t="str">
        <f t="shared" si="12"/>
        <v>#N/A</v>
      </c>
      <c r="N53" s="19" t="str">
        <f t="shared" si="13"/>
        <v>#N/A</v>
      </c>
    </row>
    <row r="54" ht="24.75" customHeight="1">
      <c r="A54" s="21" t="s">
        <v>53</v>
      </c>
      <c r="B54" s="13">
        <f>IFERROR(__xludf.DUMMYFUNCTION("GOOGLEFINANCE(A54,""PRICE"")"),1363.3)</f>
        <v>1363.3</v>
      </c>
      <c r="C54" s="14">
        <f>IFERROR(__xludf.DUMMYFUNCTION("GOOGLEFINANCE(A54,""PRICEOPEN"")"),1363.2)</f>
        <v>1363.2</v>
      </c>
      <c r="D54" s="14">
        <f>IFERROR(__xludf.DUMMYFUNCTION("GOOGLEFINANCE(A54,""HIGH"")"),1371.6)</f>
        <v>1371.6</v>
      </c>
      <c r="E54" s="14">
        <f>IFERROR(__xludf.DUMMYFUNCTION("GOOGLEFINANCE(A54,""LOW"")"),1356.9)</f>
        <v>1356.9</v>
      </c>
      <c r="F54" s="15" t="str">
        <f t="shared" si="8"/>
        <v/>
      </c>
      <c r="G54" s="16">
        <f>IFERROR(__xludf.DUMMYFUNCTION("GOOGLEFINANCE(A54,""CLOSEYEST"")"),1368.7)</f>
        <v>1368.7</v>
      </c>
      <c r="H54" s="17" t="str">
        <f t="shared" si="14"/>
        <v/>
      </c>
      <c r="I54" s="18">
        <f t="shared" si="9"/>
        <v>1365.733333</v>
      </c>
      <c r="J54" s="19">
        <f t="shared" si="10"/>
        <v>1374.566667</v>
      </c>
      <c r="K54" s="19"/>
      <c r="L54" s="19">
        <f t="shared" si="11"/>
        <v>1359.866667</v>
      </c>
      <c r="M54" s="19">
        <f t="shared" si="12"/>
        <v>1380.433333</v>
      </c>
      <c r="N54" s="19">
        <f t="shared" si="13"/>
        <v>1351.033333</v>
      </c>
    </row>
    <row r="55" ht="24.75" customHeight="1">
      <c r="A55" s="21" t="s">
        <v>57</v>
      </c>
      <c r="B55" s="13">
        <f>IFERROR(__xludf.DUMMYFUNCTION("GOOGLEFINANCE(A55,""PRICE"")"),35.67)</f>
        <v>35.67</v>
      </c>
      <c r="C55" s="14">
        <f>IFERROR(__xludf.DUMMYFUNCTION("GOOGLEFINANCE(A55,""PRICEOPEN"")"),34.95)</f>
        <v>34.95</v>
      </c>
      <c r="D55" s="14">
        <f>IFERROR(__xludf.DUMMYFUNCTION("GOOGLEFINANCE(A55,""HIGH"")"),35.63)</f>
        <v>35.63</v>
      </c>
      <c r="E55" s="14">
        <f>IFERROR(__xludf.DUMMYFUNCTION("GOOGLEFINANCE(A55,""LOW"")"),34.95)</f>
        <v>34.95</v>
      </c>
      <c r="F55" s="15" t="str">
        <f t="shared" si="8"/>
        <v>BUY</v>
      </c>
      <c r="G55" s="16">
        <f>IFERROR(__xludf.DUMMYFUNCTION("GOOGLEFINANCE(A55,""CLOSEYEST"")"),34.95)</f>
        <v>34.95</v>
      </c>
      <c r="H55" s="17" t="str">
        <f t="shared" si="14"/>
        <v/>
      </c>
      <c r="I55" s="18">
        <f t="shared" si="9"/>
        <v>35.17666667</v>
      </c>
      <c r="J55" s="19">
        <f t="shared" si="10"/>
        <v>35.40333333</v>
      </c>
      <c r="K55" s="19"/>
      <c r="L55" s="19">
        <f t="shared" si="11"/>
        <v>34.72333333</v>
      </c>
      <c r="M55" s="19">
        <f t="shared" si="12"/>
        <v>35.85666667</v>
      </c>
      <c r="N55" s="19">
        <f t="shared" si="13"/>
        <v>34.49666667</v>
      </c>
    </row>
    <row r="56" ht="24.75" customHeight="1">
      <c r="A56" s="21" t="s">
        <v>33</v>
      </c>
      <c r="B56" s="13">
        <f>IFERROR(__xludf.DUMMYFUNCTION("GOOGLEFINANCE(A56,""PRICE"")"),963.7)</f>
        <v>963.7</v>
      </c>
      <c r="C56" s="14">
        <f>IFERROR(__xludf.DUMMYFUNCTION("GOOGLEFINANCE(A56,""PRICEOPEN"")"),952.0)</f>
        <v>952</v>
      </c>
      <c r="D56" s="14">
        <f>IFERROR(__xludf.DUMMYFUNCTION("GOOGLEFINANCE(A56,""HIGH"")"),966.75)</f>
        <v>966.75</v>
      </c>
      <c r="E56" s="14">
        <f>IFERROR(__xludf.DUMMYFUNCTION("GOOGLEFINANCE(A56,""LOW"")"),952.0)</f>
        <v>952</v>
      </c>
      <c r="F56" s="15" t="str">
        <f t="shared" si="8"/>
        <v>BUY</v>
      </c>
      <c r="G56" s="16">
        <f>IFERROR(__xludf.DUMMYFUNCTION("GOOGLEFINANCE(A56,""CLOSEYEST"")"),965.25)</f>
        <v>965.25</v>
      </c>
      <c r="H56" s="17" t="str">
        <f t="shared" si="14"/>
        <v>GAP DOWN</v>
      </c>
      <c r="I56" s="18">
        <f t="shared" si="9"/>
        <v>961.3333333</v>
      </c>
      <c r="J56" s="19">
        <f t="shared" si="10"/>
        <v>970.6666667</v>
      </c>
      <c r="K56" s="19"/>
      <c r="L56" s="19">
        <f t="shared" si="11"/>
        <v>955.9166667</v>
      </c>
      <c r="M56" s="19">
        <f t="shared" si="12"/>
        <v>976.0833333</v>
      </c>
      <c r="N56" s="19">
        <f t="shared" si="13"/>
        <v>946.5833333</v>
      </c>
    </row>
    <row r="57" ht="24.75" customHeight="1">
      <c r="A57" s="21" t="s">
        <v>43</v>
      </c>
      <c r="B57" s="13">
        <f>IFERROR(__xludf.DUMMYFUNCTION("GOOGLEFINANCE(A57,""PRICE"")"),16.23)</f>
        <v>16.23</v>
      </c>
      <c r="C57" s="14">
        <f>IFERROR(__xludf.DUMMYFUNCTION("GOOGLEFINANCE(A57,""PRICEOPEN"")"),16.24)</f>
        <v>16.24</v>
      </c>
      <c r="D57" s="14">
        <f>IFERROR(__xludf.DUMMYFUNCTION("GOOGLEFINANCE(A57,""HIGH"")"),16.25)</f>
        <v>16.25</v>
      </c>
      <c r="E57" s="14">
        <f>IFERROR(__xludf.DUMMYFUNCTION("GOOGLEFINANCE(A57,""LOW"")"),16.07)</f>
        <v>16.07</v>
      </c>
      <c r="F57" s="15" t="str">
        <f t="shared" si="8"/>
        <v/>
      </c>
      <c r="G57" s="16">
        <f>IFERROR(__xludf.DUMMYFUNCTION("GOOGLEFINANCE(A57,""CLOSEYEST"")"),16.15)</f>
        <v>16.15</v>
      </c>
      <c r="H57" s="17" t="str">
        <f t="shared" si="14"/>
        <v/>
      </c>
      <c r="I57" s="18">
        <f t="shared" si="9"/>
        <v>16.15666667</v>
      </c>
      <c r="J57" s="19">
        <f t="shared" si="10"/>
        <v>16.24333333</v>
      </c>
      <c r="K57" s="19"/>
      <c r="L57" s="19">
        <f t="shared" si="11"/>
        <v>16.06333333</v>
      </c>
      <c r="M57" s="19">
        <f t="shared" si="12"/>
        <v>16.33666667</v>
      </c>
      <c r="N57" s="19">
        <f t="shared" si="13"/>
        <v>15.97666667</v>
      </c>
    </row>
    <row r="58" ht="24.75" customHeight="1">
      <c r="A58" s="21" t="s">
        <v>40</v>
      </c>
      <c r="B58" s="13">
        <f>IFERROR(__xludf.DUMMYFUNCTION("GOOGLEFINANCE(A58,""PRICE"")"),1365.0)</f>
        <v>1365</v>
      </c>
      <c r="C58" s="14">
        <f>IFERROR(__xludf.DUMMYFUNCTION("GOOGLEFINANCE(A58,""PRICEOPEN"")"),1371.9)</f>
        <v>1371.9</v>
      </c>
      <c r="D58" s="14">
        <f>IFERROR(__xludf.DUMMYFUNCTION("GOOGLEFINANCE(A58,""HIGH"")"),1371.9)</f>
        <v>1371.9</v>
      </c>
      <c r="E58" s="14">
        <f>IFERROR(__xludf.DUMMYFUNCTION("GOOGLEFINANCE(A58,""LOW"")"),1361.3)</f>
        <v>1361.3</v>
      </c>
      <c r="F58" s="15" t="str">
        <f t="shared" si="8"/>
        <v>SELL</v>
      </c>
      <c r="G58" s="16">
        <f>IFERROR(__xludf.DUMMYFUNCTION("GOOGLEFINANCE(A58,""CLOSEYEST"")"),1372.0)</f>
        <v>1372</v>
      </c>
      <c r="H58" s="17" t="str">
        <f t="shared" si="14"/>
        <v/>
      </c>
      <c r="I58" s="18">
        <f t="shared" si="9"/>
        <v>1368.4</v>
      </c>
      <c r="J58" s="19">
        <f t="shared" si="10"/>
        <v>1375.5</v>
      </c>
      <c r="K58" s="19"/>
      <c r="L58" s="19">
        <f t="shared" si="11"/>
        <v>1364.9</v>
      </c>
      <c r="M58" s="19">
        <f t="shared" si="12"/>
        <v>1379</v>
      </c>
      <c r="N58" s="19">
        <f t="shared" si="13"/>
        <v>1357.8</v>
      </c>
    </row>
    <row r="59" ht="24.75" customHeight="1">
      <c r="A59" s="21" t="s">
        <v>38</v>
      </c>
      <c r="B59" s="13">
        <f>IFERROR(__xludf.DUMMYFUNCTION("GOOGLEFINANCE(A59,""PRICE"")"),2539.0)</f>
        <v>2539</v>
      </c>
      <c r="C59" s="14">
        <f>IFERROR(__xludf.DUMMYFUNCTION("GOOGLEFINANCE(A59,""PRICEOPEN"")"),2536.2)</f>
        <v>2536.2</v>
      </c>
      <c r="D59" s="14">
        <f>IFERROR(__xludf.DUMMYFUNCTION("GOOGLEFINANCE(A59,""HIGH"")"),2548.6)</f>
        <v>2548.6</v>
      </c>
      <c r="E59" s="14">
        <f>IFERROR(__xludf.DUMMYFUNCTION("GOOGLEFINANCE(A59,""LOW"")"),2508.3)</f>
        <v>2508.3</v>
      </c>
      <c r="F59" s="15" t="str">
        <f t="shared" si="8"/>
        <v/>
      </c>
      <c r="G59" s="16">
        <f>IFERROR(__xludf.DUMMYFUNCTION("GOOGLEFINANCE(A59,""CLOSEYEST"")"),2536.2)</f>
        <v>2536.2</v>
      </c>
      <c r="H59" s="17" t="str">
        <f t="shared" si="14"/>
        <v/>
      </c>
      <c r="I59" s="18">
        <f t="shared" si="9"/>
        <v>2531.033333</v>
      </c>
      <c r="J59" s="19">
        <f t="shared" si="10"/>
        <v>2553.766667</v>
      </c>
      <c r="K59" s="19"/>
      <c r="L59" s="19">
        <f t="shared" si="11"/>
        <v>2513.466667</v>
      </c>
      <c r="M59" s="19">
        <f t="shared" si="12"/>
        <v>2571.333333</v>
      </c>
      <c r="N59" s="19">
        <f t="shared" si="13"/>
        <v>2490.733333</v>
      </c>
    </row>
    <row r="60" ht="24.75" customHeight="1">
      <c r="A60" s="21" t="s">
        <v>39</v>
      </c>
      <c r="B60" s="13" t="str">
        <f>IFERROR(__xludf.DUMMYFUNCTION("GOOGLEFINANCE(A60,""PRICE"")"),"#N/A")</f>
        <v>#N/A</v>
      </c>
      <c r="C60" s="14" t="str">
        <f>IFERROR(__xludf.DUMMYFUNCTION("GOOGLEFINANCE(A60,""PRICEOPEN"")"),"#N/A")</f>
        <v>#N/A</v>
      </c>
      <c r="D60" s="14" t="str">
        <f>IFERROR(__xludf.DUMMYFUNCTION("GOOGLEFINANCE(A60,""HIGH"")"),"#N/A")</f>
        <v>#N/A</v>
      </c>
      <c r="E60" s="14" t="str">
        <f>IFERROR(__xludf.DUMMYFUNCTION("GOOGLEFINANCE(A60,""LOW"")"),"#N/A")</f>
        <v>#N/A</v>
      </c>
      <c r="F60" s="15" t="str">
        <f t="shared" si="8"/>
        <v>#N/A</v>
      </c>
      <c r="G60" s="16" t="str">
        <f>IFERROR(__xludf.DUMMYFUNCTION("GOOGLEFINANCE(A60,""CLOSEYEST"")"),"#N/A")</f>
        <v>#N/A</v>
      </c>
      <c r="H60" s="17" t="str">
        <f t="shared" si="14"/>
        <v>#N/A</v>
      </c>
      <c r="I60" s="18" t="str">
        <f t="shared" si="9"/>
        <v>#N/A</v>
      </c>
      <c r="J60" s="19" t="str">
        <f t="shared" si="10"/>
        <v>#N/A</v>
      </c>
      <c r="K60" s="19"/>
      <c r="L60" s="19" t="str">
        <f t="shared" si="11"/>
        <v>#N/A</v>
      </c>
      <c r="M60" s="19" t="str">
        <f t="shared" si="12"/>
        <v>#N/A</v>
      </c>
      <c r="N60" s="19" t="str">
        <f t="shared" si="13"/>
        <v>#N/A</v>
      </c>
    </row>
    <row r="61" ht="24.75" customHeight="1">
      <c r="A61" s="21" t="s">
        <v>21</v>
      </c>
      <c r="B61" s="13">
        <f>IFERROR(__xludf.DUMMYFUNCTION("GOOGLEFINANCE(A61,""PRICE"")"),990.0)</f>
        <v>990</v>
      </c>
      <c r="C61" s="14">
        <f>IFERROR(__xludf.DUMMYFUNCTION("GOOGLEFINANCE(A61,""PRICEOPEN"")"),975.0)</f>
        <v>975</v>
      </c>
      <c r="D61" s="14">
        <f>IFERROR(__xludf.DUMMYFUNCTION("GOOGLEFINANCE(A61,""HIGH"")"),992.2)</f>
        <v>992.2</v>
      </c>
      <c r="E61" s="14">
        <f>IFERROR(__xludf.DUMMYFUNCTION("GOOGLEFINANCE(A61,""LOW"")"),972.0)</f>
        <v>972</v>
      </c>
      <c r="F61" s="15" t="str">
        <f t="shared" si="8"/>
        <v/>
      </c>
      <c r="G61" s="16">
        <f>IFERROR(__xludf.DUMMYFUNCTION("GOOGLEFINANCE(A61,""CLOSEYEST"")"),987.7)</f>
        <v>987.7</v>
      </c>
      <c r="H61" s="17" t="str">
        <f t="shared" si="14"/>
        <v>GAP DOWN</v>
      </c>
      <c r="I61" s="18">
        <f t="shared" si="9"/>
        <v>983.9666667</v>
      </c>
      <c r="J61" s="19">
        <f t="shared" si="10"/>
        <v>995.9333333</v>
      </c>
      <c r="K61" s="19"/>
      <c r="L61" s="19">
        <f t="shared" si="11"/>
        <v>975.7333333</v>
      </c>
      <c r="M61" s="19">
        <f t="shared" si="12"/>
        <v>1004.166667</v>
      </c>
      <c r="N61" s="19">
        <f t="shared" si="13"/>
        <v>963.7666667</v>
      </c>
    </row>
    <row r="62" ht="24.75" customHeight="1">
      <c r="A62" s="21" t="s">
        <v>55</v>
      </c>
      <c r="B62" s="13">
        <f>IFERROR(__xludf.DUMMYFUNCTION("GOOGLEFINANCE(A62,""PRICE"")"),867.7)</f>
        <v>867.7</v>
      </c>
      <c r="C62" s="14">
        <f>IFERROR(__xludf.DUMMYFUNCTION("GOOGLEFINANCE(A62,""PRICEOPEN"")"),865.15)</f>
        <v>865.15</v>
      </c>
      <c r="D62" s="14">
        <f>IFERROR(__xludf.DUMMYFUNCTION("GOOGLEFINANCE(A62,""HIGH"")"),873.0)</f>
        <v>873</v>
      </c>
      <c r="E62" s="14">
        <f>IFERROR(__xludf.DUMMYFUNCTION("GOOGLEFINANCE(A62,""LOW"")"),863.8)</f>
        <v>863.8</v>
      </c>
      <c r="F62" s="15" t="str">
        <f t="shared" si="8"/>
        <v/>
      </c>
      <c r="G62" s="16">
        <f>IFERROR(__xludf.DUMMYFUNCTION("GOOGLEFINANCE(A62,""CLOSEYEST"")"),864.1)</f>
        <v>864.1</v>
      </c>
      <c r="H62" s="17" t="str">
        <f t="shared" si="14"/>
        <v/>
      </c>
      <c r="I62" s="18">
        <f t="shared" si="9"/>
        <v>866.9666667</v>
      </c>
      <c r="J62" s="19">
        <f t="shared" si="10"/>
        <v>870.1333333</v>
      </c>
      <c r="K62" s="19"/>
      <c r="L62" s="19">
        <f t="shared" si="11"/>
        <v>860.9333333</v>
      </c>
      <c r="M62" s="19">
        <f t="shared" si="12"/>
        <v>876.1666667</v>
      </c>
      <c r="N62" s="19">
        <f t="shared" si="13"/>
        <v>857.7666667</v>
      </c>
    </row>
    <row r="63" ht="24.75" customHeight="1">
      <c r="A63" s="21" t="s">
        <v>24</v>
      </c>
      <c r="B63" s="13">
        <f>IFERROR(__xludf.DUMMYFUNCTION("GOOGLEFINANCE(A63,""PRICE"")"),1896.9)</f>
        <v>1896.9</v>
      </c>
      <c r="C63" s="14">
        <f>IFERROR(__xludf.DUMMYFUNCTION("GOOGLEFINANCE(A63,""PRICEOPEN"")"),1851.2)</f>
        <v>1851.2</v>
      </c>
      <c r="D63" s="14">
        <f>IFERROR(__xludf.DUMMYFUNCTION("GOOGLEFINANCE(A63,""HIGH"")"),1900.3)</f>
        <v>1900.3</v>
      </c>
      <c r="E63" s="14">
        <f>IFERROR(__xludf.DUMMYFUNCTION("GOOGLEFINANCE(A63,""LOW"")"),1848.1)</f>
        <v>1848.1</v>
      </c>
      <c r="F63" s="15" t="str">
        <f t="shared" si="8"/>
        <v/>
      </c>
      <c r="G63" s="16">
        <f>IFERROR(__xludf.DUMMYFUNCTION("GOOGLEFINANCE(A63,""CLOSEYEST"")"),1867.6)</f>
        <v>1867.6</v>
      </c>
      <c r="H63" s="17" t="str">
        <f t="shared" si="14"/>
        <v/>
      </c>
      <c r="I63" s="18">
        <f t="shared" si="9"/>
        <v>1872</v>
      </c>
      <c r="J63" s="19">
        <f t="shared" si="10"/>
        <v>1895.9</v>
      </c>
      <c r="K63" s="19"/>
      <c r="L63" s="19">
        <f t="shared" si="11"/>
        <v>1843.7</v>
      </c>
      <c r="M63" s="19">
        <f t="shared" si="12"/>
        <v>1924.2</v>
      </c>
      <c r="N63" s="19">
        <f t="shared" si="13"/>
        <v>1819.8</v>
      </c>
    </row>
    <row r="64" ht="24.75" customHeight="1">
      <c r="A64" s="21" t="s">
        <v>45</v>
      </c>
      <c r="B64" s="13">
        <f>IFERROR(__xludf.DUMMYFUNCTION("GOOGLEFINANCE(A64,""PRICE"")"),2108.0)</f>
        <v>2108</v>
      </c>
      <c r="C64" s="14">
        <f>IFERROR(__xludf.DUMMYFUNCTION("GOOGLEFINANCE(A64,""PRICEOPEN"")"),2063.3)</f>
        <v>2063.3</v>
      </c>
      <c r="D64" s="14">
        <f>IFERROR(__xludf.DUMMYFUNCTION("GOOGLEFINANCE(A64,""HIGH"")"),2108.0)</f>
        <v>2108</v>
      </c>
      <c r="E64" s="14">
        <f>IFERROR(__xludf.DUMMYFUNCTION("GOOGLEFINANCE(A64,""LOW"")"),2062.0)</f>
        <v>2062</v>
      </c>
      <c r="F64" s="15" t="str">
        <f t="shared" si="8"/>
        <v/>
      </c>
      <c r="G64" s="16">
        <f>IFERROR(__xludf.DUMMYFUNCTION("GOOGLEFINANCE(A64,""CLOSEYEST"")"),2063.3)</f>
        <v>2063.3</v>
      </c>
      <c r="H64" s="17" t="str">
        <f t="shared" si="14"/>
        <v/>
      </c>
      <c r="I64" s="18">
        <f t="shared" si="9"/>
        <v>2077.766667</v>
      </c>
      <c r="J64" s="19">
        <f t="shared" si="10"/>
        <v>2093.533333</v>
      </c>
      <c r="K64" s="19"/>
      <c r="L64" s="19">
        <f t="shared" si="11"/>
        <v>2047.533333</v>
      </c>
      <c r="M64" s="19">
        <f t="shared" si="12"/>
        <v>2123.766667</v>
      </c>
      <c r="N64" s="19">
        <f t="shared" si="13"/>
        <v>2031.766667</v>
      </c>
    </row>
    <row r="65" ht="24.75" customHeight="1">
      <c r="A65" s="21" t="s">
        <v>63</v>
      </c>
      <c r="B65" s="13">
        <f>IFERROR(__xludf.DUMMYFUNCTION("GOOGLEFINANCE(A65,""PRICE"")"),241.2)</f>
        <v>241.2</v>
      </c>
      <c r="C65" s="14">
        <f>IFERROR(__xludf.DUMMYFUNCTION("GOOGLEFINANCE(A65,""PRICEOPEN"")"),240.98)</f>
        <v>240.98</v>
      </c>
      <c r="D65" s="14">
        <f>IFERROR(__xludf.DUMMYFUNCTION("GOOGLEFINANCE(A65,""HIGH"")"),241.4)</f>
        <v>241.4</v>
      </c>
      <c r="E65" s="14">
        <f>IFERROR(__xludf.DUMMYFUNCTION("GOOGLEFINANCE(A65,""LOW"")"),238.06)</f>
        <v>238.06</v>
      </c>
      <c r="F65" s="15" t="str">
        <f t="shared" si="8"/>
        <v/>
      </c>
      <c r="G65" s="16">
        <f>IFERROR(__xludf.DUMMYFUNCTION("GOOGLEFINANCE(A65,""CLOSEYEST"")"),241.07)</f>
        <v>241.07</v>
      </c>
      <c r="H65" s="17" t="str">
        <f t="shared" si="14"/>
        <v/>
      </c>
      <c r="I65" s="18">
        <f t="shared" si="9"/>
        <v>240.1766667</v>
      </c>
      <c r="J65" s="19">
        <f t="shared" si="10"/>
        <v>242.2933333</v>
      </c>
      <c r="K65" s="19"/>
      <c r="L65" s="19">
        <f t="shared" si="11"/>
        <v>238.9533333</v>
      </c>
      <c r="M65" s="19">
        <f t="shared" si="12"/>
        <v>243.5166667</v>
      </c>
      <c r="N65" s="19">
        <f t="shared" si="13"/>
        <v>236.8366667</v>
      </c>
    </row>
    <row r="66" ht="24.75" customHeight="1">
      <c r="A66" s="21" t="s">
        <v>32</v>
      </c>
      <c r="B66" s="13">
        <f>IFERROR(__xludf.DUMMYFUNCTION("GOOGLEFINANCE(A66,""PRICE"")"),1392.8)</f>
        <v>1392.8</v>
      </c>
      <c r="C66" s="14">
        <f>IFERROR(__xludf.DUMMYFUNCTION("GOOGLEFINANCE(A66,""PRICEOPEN"")"),1396.5)</f>
        <v>1396.5</v>
      </c>
      <c r="D66" s="14">
        <f>IFERROR(__xludf.DUMMYFUNCTION("GOOGLEFINANCE(A66,""HIGH"")"),1399.8)</f>
        <v>1399.8</v>
      </c>
      <c r="E66" s="14">
        <f>IFERROR(__xludf.DUMMYFUNCTION("GOOGLEFINANCE(A66,""LOW"")"),1380.4)</f>
        <v>1380.4</v>
      </c>
      <c r="F66" s="15" t="str">
        <f t="shared" si="8"/>
        <v/>
      </c>
      <c r="G66" s="16">
        <f>IFERROR(__xludf.DUMMYFUNCTION("GOOGLEFINANCE(A66,""CLOSEYEST"")"),1389.5)</f>
        <v>1389.5</v>
      </c>
      <c r="H66" s="17" t="str">
        <f t="shared" si="14"/>
        <v/>
      </c>
      <c r="I66" s="18">
        <f t="shared" si="9"/>
        <v>1389.9</v>
      </c>
      <c r="J66" s="19">
        <f t="shared" si="10"/>
        <v>1399.4</v>
      </c>
      <c r="K66" s="19"/>
      <c r="L66" s="19">
        <f t="shared" si="11"/>
        <v>1380</v>
      </c>
      <c r="M66" s="19">
        <f t="shared" si="12"/>
        <v>1409.3</v>
      </c>
      <c r="N66" s="19">
        <f t="shared" si="13"/>
        <v>1370.5</v>
      </c>
    </row>
    <row r="67" ht="24.75" customHeight="1">
      <c r="A67" s="21" t="s">
        <v>18</v>
      </c>
      <c r="B67" s="13">
        <f>IFERROR(__xludf.DUMMYFUNCTION("GOOGLEFINANCE(A67,""PRICE"")"),2358.1)</f>
        <v>2358.1</v>
      </c>
      <c r="C67" s="14">
        <f>IFERROR(__xludf.DUMMYFUNCTION("GOOGLEFINANCE(A67,""PRICEOPEN"")"),2342.2)</f>
        <v>2342.2</v>
      </c>
      <c r="D67" s="14">
        <f>IFERROR(__xludf.DUMMYFUNCTION("GOOGLEFINANCE(A67,""HIGH"")"),2362.7)</f>
        <v>2362.7</v>
      </c>
      <c r="E67" s="14">
        <f>IFERROR(__xludf.DUMMYFUNCTION("GOOGLEFINANCE(A67,""LOW"")"),2336.1)</f>
        <v>2336.1</v>
      </c>
      <c r="F67" s="15" t="str">
        <f t="shared" si="8"/>
        <v/>
      </c>
      <c r="G67" s="16">
        <f>IFERROR(__xludf.DUMMYFUNCTION("GOOGLEFINANCE(A67,""CLOSEYEST"")"),2335.8)</f>
        <v>2335.8</v>
      </c>
      <c r="H67" s="17" t="str">
        <f t="shared" si="14"/>
        <v/>
      </c>
      <c r="I67" s="18">
        <f t="shared" si="9"/>
        <v>2344.866667</v>
      </c>
      <c r="J67" s="19">
        <f t="shared" si="10"/>
        <v>2353.633333</v>
      </c>
      <c r="K67" s="19"/>
      <c r="L67" s="19">
        <f t="shared" si="11"/>
        <v>2327.033333</v>
      </c>
      <c r="M67" s="19">
        <f t="shared" si="12"/>
        <v>2371.466667</v>
      </c>
      <c r="N67" s="19">
        <f t="shared" si="13"/>
        <v>2318.266667</v>
      </c>
    </row>
    <row r="68" ht="24.75" customHeight="1">
      <c r="A68" s="21" t="s">
        <v>22</v>
      </c>
      <c r="B68" s="13">
        <f>IFERROR(__xludf.DUMMYFUNCTION("GOOGLEFINANCE(A68,""PRICE"")"),1994.2)</f>
        <v>1994.2</v>
      </c>
      <c r="C68" s="14">
        <f>IFERROR(__xludf.DUMMYFUNCTION("GOOGLEFINANCE(A68,""PRICEOPEN"")"),2016.5)</f>
        <v>2016.5</v>
      </c>
      <c r="D68" s="14">
        <f>IFERROR(__xludf.DUMMYFUNCTION("GOOGLEFINANCE(A68,""HIGH"")"),2017.0)</f>
        <v>2017</v>
      </c>
      <c r="E68" s="14">
        <f>IFERROR(__xludf.DUMMYFUNCTION("GOOGLEFINANCE(A68,""LOW"")"),1968.0)</f>
        <v>1968</v>
      </c>
      <c r="F68" s="15" t="str">
        <f t="shared" si="8"/>
        <v/>
      </c>
      <c r="G68" s="16">
        <f>IFERROR(__xludf.DUMMYFUNCTION("GOOGLEFINANCE(A68,""CLOSEYEST"")"),2007.0)</f>
        <v>2007</v>
      </c>
      <c r="H68" s="17" t="str">
        <f t="shared" si="14"/>
        <v/>
      </c>
      <c r="I68" s="18">
        <f t="shared" si="9"/>
        <v>1997.333333</v>
      </c>
      <c r="J68" s="19">
        <f t="shared" si="10"/>
        <v>2026.666667</v>
      </c>
      <c r="K68" s="19"/>
      <c r="L68" s="19">
        <f t="shared" si="11"/>
        <v>1977.666667</v>
      </c>
      <c r="M68" s="19">
        <f t="shared" si="12"/>
        <v>2046.333333</v>
      </c>
      <c r="N68" s="19">
        <f t="shared" si="13"/>
        <v>1948.333333</v>
      </c>
    </row>
    <row r="69" ht="24.75" customHeight="1">
      <c r="A69" s="21" t="s">
        <v>66</v>
      </c>
      <c r="B69" s="13">
        <f>IFERROR(__xludf.DUMMYFUNCTION("GOOGLEFINANCE(A69,""PRICE"")"),4420.0)</f>
        <v>4420</v>
      </c>
      <c r="C69" s="14">
        <f>IFERROR(__xludf.DUMMYFUNCTION("GOOGLEFINANCE(A69,""PRICEOPEN"")"),4445.0)</f>
        <v>4445</v>
      </c>
      <c r="D69" s="14">
        <f>IFERROR(__xludf.DUMMYFUNCTION("GOOGLEFINANCE(A69,""HIGH"")"),4445.0)</f>
        <v>4445</v>
      </c>
      <c r="E69" s="14">
        <f>IFERROR(__xludf.DUMMYFUNCTION("GOOGLEFINANCE(A69,""LOW"")"),4387.1)</f>
        <v>4387.1</v>
      </c>
      <c r="F69" s="15" t="str">
        <f t="shared" si="8"/>
        <v>SELL</v>
      </c>
      <c r="G69" s="16">
        <f>IFERROR(__xludf.DUMMYFUNCTION("GOOGLEFINANCE(A69,""CLOSEYEST"")"),4449.9)</f>
        <v>4449.9</v>
      </c>
      <c r="H69" s="17" t="str">
        <f t="shared" si="14"/>
        <v/>
      </c>
      <c r="I69" s="18">
        <f t="shared" si="9"/>
        <v>4427.333333</v>
      </c>
      <c r="J69" s="19">
        <f t="shared" si="10"/>
        <v>4467.566667</v>
      </c>
      <c r="K69" s="19"/>
      <c r="L69" s="19">
        <f t="shared" si="11"/>
        <v>4409.666667</v>
      </c>
      <c r="M69" s="19">
        <f t="shared" si="12"/>
        <v>4485.233333</v>
      </c>
      <c r="N69" s="19">
        <f t="shared" si="13"/>
        <v>4369.433333</v>
      </c>
    </row>
    <row r="70" ht="24.75" customHeight="1">
      <c r="A70" s="21" t="s">
        <v>46</v>
      </c>
      <c r="B70" s="13">
        <f>IFERROR(__xludf.DUMMYFUNCTION("GOOGLEFINANCE(A70,""PRICE"")"),3742.9)</f>
        <v>3742.9</v>
      </c>
      <c r="C70" s="14">
        <f>IFERROR(__xludf.DUMMYFUNCTION("GOOGLEFINANCE(A70,""PRICEOPEN"")"),3690.0)</f>
        <v>3690</v>
      </c>
      <c r="D70" s="14">
        <f>IFERROR(__xludf.DUMMYFUNCTION("GOOGLEFINANCE(A70,""HIGH"")"),3746.0)</f>
        <v>3746</v>
      </c>
      <c r="E70" s="14">
        <f>IFERROR(__xludf.DUMMYFUNCTION("GOOGLEFINANCE(A70,""LOW"")"),3666.3)</f>
        <v>3666.3</v>
      </c>
      <c r="F70" s="15" t="str">
        <f t="shared" si="8"/>
        <v/>
      </c>
      <c r="G70" s="16">
        <f>IFERROR(__xludf.DUMMYFUNCTION("GOOGLEFINANCE(A70,""CLOSEYEST"")"),3670.3)</f>
        <v>3670.3</v>
      </c>
      <c r="H70" s="17" t="str">
        <f t="shared" si="14"/>
        <v/>
      </c>
      <c r="I70" s="18">
        <f t="shared" si="9"/>
        <v>3694.2</v>
      </c>
      <c r="J70" s="19">
        <f t="shared" si="10"/>
        <v>3722.1</v>
      </c>
      <c r="K70" s="19"/>
      <c r="L70" s="19">
        <f t="shared" si="11"/>
        <v>3642.4</v>
      </c>
      <c r="M70" s="19">
        <f t="shared" si="12"/>
        <v>3773.9</v>
      </c>
      <c r="N70" s="19">
        <f t="shared" si="13"/>
        <v>3614.5</v>
      </c>
    </row>
    <row r="71" ht="24.75" customHeight="1">
      <c r="A71" s="21" t="s">
        <v>41</v>
      </c>
      <c r="B71" s="13" t="str">
        <f>IFERROR(__xludf.DUMMYFUNCTION("GOOGLEFINANCE(A71,""PRICE"")"),"#N/A")</f>
        <v>#N/A</v>
      </c>
      <c r="C71" s="14" t="str">
        <f>IFERROR(__xludf.DUMMYFUNCTION("GOOGLEFINANCE(A71,""PRICEOPEN"")"),"#N/A")</f>
        <v>#N/A</v>
      </c>
      <c r="D71" s="14" t="str">
        <f>IFERROR(__xludf.DUMMYFUNCTION("GOOGLEFINANCE(A71,""HIGH"")"),"#N/A")</f>
        <v>#N/A</v>
      </c>
      <c r="E71" s="14" t="str">
        <f>IFERROR(__xludf.DUMMYFUNCTION("GOOGLEFINANCE(A71,""LOW"")"),"#N/A")</f>
        <v>#N/A</v>
      </c>
      <c r="F71" s="15" t="str">
        <f t="shared" si="8"/>
        <v>#N/A</v>
      </c>
      <c r="G71" s="16" t="str">
        <f>IFERROR(__xludf.DUMMYFUNCTION("GOOGLEFINANCE(A71,""CLOSEYEST"")"),"#N/A")</f>
        <v>#N/A</v>
      </c>
      <c r="H71" s="17" t="str">
        <f t="shared" si="14"/>
        <v>#N/A</v>
      </c>
      <c r="I71" s="18" t="str">
        <f t="shared" si="9"/>
        <v>#N/A</v>
      </c>
      <c r="J71" s="19" t="str">
        <f t="shared" si="10"/>
        <v>#N/A</v>
      </c>
      <c r="K71" s="19"/>
      <c r="L71" s="19" t="str">
        <f t="shared" si="11"/>
        <v>#N/A</v>
      </c>
      <c r="M71" s="19" t="str">
        <f t="shared" si="12"/>
        <v>#N/A</v>
      </c>
      <c r="N71" s="19" t="str">
        <f t="shared" si="13"/>
        <v>#N/A</v>
      </c>
    </row>
    <row r="72" ht="24.75" customHeight="1">
      <c r="A72" s="21" t="s">
        <v>67</v>
      </c>
      <c r="B72" s="13">
        <f>IFERROR(__xludf.DUMMYFUNCTION("GOOGLEFINANCE(A72,""PRICE"")"),1072.5)</f>
        <v>1072.5</v>
      </c>
      <c r="C72" s="14">
        <f>IFERROR(__xludf.DUMMYFUNCTION("GOOGLEFINANCE(A72,""PRICEOPEN"")"),1068.6)</f>
        <v>1068.6</v>
      </c>
      <c r="D72" s="14">
        <f>IFERROR(__xludf.DUMMYFUNCTION("GOOGLEFINANCE(A72,""HIGH"")"),1078.8)</f>
        <v>1078.8</v>
      </c>
      <c r="E72" s="14">
        <f>IFERROR(__xludf.DUMMYFUNCTION("GOOGLEFINANCE(A72,""LOW"")"),1054.3)</f>
        <v>1054.3</v>
      </c>
      <c r="F72" s="15" t="str">
        <f t="shared" si="8"/>
        <v/>
      </c>
      <c r="G72" s="16">
        <f>IFERROR(__xludf.DUMMYFUNCTION("GOOGLEFINANCE(A72,""CLOSEYEST"")"),1064.7)</f>
        <v>1064.7</v>
      </c>
      <c r="H72" s="17" t="str">
        <f t="shared" si="14"/>
        <v/>
      </c>
      <c r="I72" s="18">
        <f t="shared" si="9"/>
        <v>1065.933333</v>
      </c>
      <c r="J72" s="19">
        <f t="shared" si="10"/>
        <v>1077.566667</v>
      </c>
      <c r="K72" s="19"/>
      <c r="L72" s="19">
        <f t="shared" si="11"/>
        <v>1053.066667</v>
      </c>
      <c r="M72" s="19">
        <f t="shared" si="12"/>
        <v>1090.433333</v>
      </c>
      <c r="N72" s="19">
        <f t="shared" si="13"/>
        <v>1041.433333</v>
      </c>
    </row>
    <row r="73" ht="24.75" customHeight="1">
      <c r="A73" s="21" t="s">
        <v>48</v>
      </c>
      <c r="B73" s="13">
        <f>IFERROR(__xludf.DUMMYFUNCTION("GOOGLEFINANCE(A73,""PRICE"")"),15808.0)</f>
        <v>15808</v>
      </c>
      <c r="C73" s="14">
        <f>IFERROR(__xludf.DUMMYFUNCTION("GOOGLEFINANCE(A73,""PRICEOPEN"")"),15949.0)</f>
        <v>15949</v>
      </c>
      <c r="D73" s="14">
        <f>IFERROR(__xludf.DUMMYFUNCTION("GOOGLEFINANCE(A73,""HIGH"")"),16025.0)</f>
        <v>16025</v>
      </c>
      <c r="E73" s="14">
        <f>IFERROR(__xludf.DUMMYFUNCTION("GOOGLEFINANCE(A73,""LOW"")"),15736.0)</f>
        <v>15736</v>
      </c>
      <c r="F73" s="15" t="str">
        <f t="shared" si="8"/>
        <v/>
      </c>
      <c r="G73" s="16">
        <f>IFERROR(__xludf.DUMMYFUNCTION("GOOGLEFINANCE(A73,""CLOSEYEST"")"),15965.0)</f>
        <v>15965</v>
      </c>
      <c r="H73" s="17" t="str">
        <f t="shared" si="14"/>
        <v/>
      </c>
      <c r="I73" s="18">
        <f t="shared" si="9"/>
        <v>15908.66667</v>
      </c>
      <c r="J73" s="19">
        <f t="shared" si="10"/>
        <v>16081.33333</v>
      </c>
      <c r="K73" s="19"/>
      <c r="L73" s="19">
        <f t="shared" si="11"/>
        <v>15792.33333</v>
      </c>
      <c r="M73" s="19">
        <f t="shared" si="12"/>
        <v>16197.66667</v>
      </c>
      <c r="N73" s="19">
        <f t="shared" si="13"/>
        <v>15619.66667</v>
      </c>
    </row>
    <row r="74" ht="24.75" customHeight="1">
      <c r="A74" s="21" t="s">
        <v>68</v>
      </c>
      <c r="B74" s="13">
        <f>IFERROR(__xludf.DUMMYFUNCTION("GOOGLEFINANCE(A74,""PRICE"")"),6.32)</f>
        <v>6.32</v>
      </c>
      <c r="C74" s="14">
        <f>IFERROR(__xludf.DUMMYFUNCTION("GOOGLEFINANCE(A74,""PRICEOPEN"")"),6.32)</f>
        <v>6.32</v>
      </c>
      <c r="D74" s="14">
        <f>IFERROR(__xludf.DUMMYFUNCTION("GOOGLEFINANCE(A74,""HIGH"")"),6.32)</f>
        <v>6.32</v>
      </c>
      <c r="E74" s="14">
        <f>IFERROR(__xludf.DUMMYFUNCTION("GOOGLEFINANCE(A74,""LOW"")"),6.24)</f>
        <v>6.24</v>
      </c>
      <c r="F74" s="15" t="str">
        <f t="shared" si="8"/>
        <v>SELL</v>
      </c>
      <c r="G74" s="16">
        <f>IFERROR(__xludf.DUMMYFUNCTION("GOOGLEFINANCE(A74,""CLOSEYEST"")"),6.32)</f>
        <v>6.32</v>
      </c>
      <c r="H74" s="17" t="str">
        <f t="shared" si="14"/>
        <v/>
      </c>
      <c r="I74" s="18">
        <f t="shared" si="9"/>
        <v>6.293333333</v>
      </c>
      <c r="J74" s="19">
        <f t="shared" si="10"/>
        <v>6.346666667</v>
      </c>
      <c r="K74" s="19"/>
      <c r="L74" s="19">
        <f t="shared" si="11"/>
        <v>6.266666667</v>
      </c>
      <c r="M74" s="19">
        <f t="shared" si="12"/>
        <v>6.373333333</v>
      </c>
      <c r="N74" s="19">
        <f t="shared" si="13"/>
        <v>6.213333333</v>
      </c>
    </row>
    <row r="75" ht="24.75" customHeight="1">
      <c r="A75" s="21" t="s">
        <v>19</v>
      </c>
      <c r="B75" s="13">
        <f>IFERROR(__xludf.DUMMYFUNCTION("GOOGLEFINANCE(A75,""PRICE"")"),1183.0)</f>
        <v>1183</v>
      </c>
      <c r="C75" s="14">
        <f>IFERROR(__xludf.DUMMYFUNCTION("GOOGLEFINANCE(A75,""PRICEOPEN"")"),1171.0)</f>
        <v>1171</v>
      </c>
      <c r="D75" s="14">
        <f>IFERROR(__xludf.DUMMYFUNCTION("GOOGLEFINANCE(A75,""HIGH"")"),1188.0)</f>
        <v>1188</v>
      </c>
      <c r="E75" s="14">
        <f>IFERROR(__xludf.DUMMYFUNCTION("GOOGLEFINANCE(A75,""LOW"")"),1169.5)</f>
        <v>1169.5</v>
      </c>
      <c r="F75" s="15" t="str">
        <f t="shared" si="8"/>
        <v/>
      </c>
      <c r="G75" s="16">
        <f>IFERROR(__xludf.DUMMYFUNCTION("GOOGLEFINANCE(A75,""CLOSEYEST"")"),1159.5)</f>
        <v>1159.5</v>
      </c>
      <c r="H75" s="17" t="str">
        <f t="shared" si="14"/>
        <v/>
      </c>
      <c r="I75" s="18">
        <f t="shared" si="9"/>
        <v>1172.333333</v>
      </c>
      <c r="J75" s="19">
        <f t="shared" si="10"/>
        <v>1175.166667</v>
      </c>
      <c r="K75" s="19"/>
      <c r="L75" s="19">
        <f t="shared" si="11"/>
        <v>1156.666667</v>
      </c>
      <c r="M75" s="19">
        <f t="shared" si="12"/>
        <v>1190.833333</v>
      </c>
      <c r="N75" s="19">
        <f t="shared" si="13"/>
        <v>1153.833333</v>
      </c>
    </row>
    <row r="76" ht="24.75" customHeight="1">
      <c r="A76" s="21" t="s">
        <v>62</v>
      </c>
      <c r="B76" s="13">
        <f>IFERROR(__xludf.DUMMYFUNCTION("GOOGLEFINANCE(A76,""PRICE"")"),12018.0)</f>
        <v>12018</v>
      </c>
      <c r="C76" s="14">
        <f>IFERROR(__xludf.DUMMYFUNCTION("GOOGLEFINANCE(A76,""PRICEOPEN"")"),12095.0)</f>
        <v>12095</v>
      </c>
      <c r="D76" s="14">
        <f>IFERROR(__xludf.DUMMYFUNCTION("GOOGLEFINANCE(A76,""HIGH"")"),12139.0)</f>
        <v>12139</v>
      </c>
      <c r="E76" s="14">
        <f>IFERROR(__xludf.DUMMYFUNCTION("GOOGLEFINANCE(A76,""LOW"")"),11982.0)</f>
        <v>11982</v>
      </c>
      <c r="F76" s="15" t="str">
        <f t="shared" si="8"/>
        <v/>
      </c>
      <c r="G76" s="16">
        <f>IFERROR(__xludf.DUMMYFUNCTION("GOOGLEFINANCE(A76,""CLOSEYEST"")"),12095.0)</f>
        <v>12095</v>
      </c>
      <c r="H76" s="17" t="str">
        <f t="shared" si="14"/>
        <v/>
      </c>
      <c r="I76" s="18">
        <f t="shared" si="9"/>
        <v>12072</v>
      </c>
      <c r="J76" s="19">
        <f t="shared" si="10"/>
        <v>12162</v>
      </c>
      <c r="K76" s="19"/>
      <c r="L76" s="19">
        <f t="shared" si="11"/>
        <v>12005</v>
      </c>
      <c r="M76" s="19">
        <f t="shared" si="12"/>
        <v>12229</v>
      </c>
      <c r="N76" s="19">
        <f t="shared" si="13"/>
        <v>11915</v>
      </c>
    </row>
    <row r="77" ht="24.75" customHeight="1">
      <c r="A77" s="21" t="s">
        <v>69</v>
      </c>
      <c r="B77" s="13" t="str">
        <f>IFERROR(__xludf.DUMMYFUNCTION("GOOGLEFINANCE(A77,""PRICE"")"),"#N/A")</f>
        <v>#N/A</v>
      </c>
      <c r="C77" s="14" t="str">
        <f>IFERROR(__xludf.DUMMYFUNCTION("GOOGLEFINANCE(A77,""PRICEOPEN"")"),"#N/A")</f>
        <v>#N/A</v>
      </c>
      <c r="D77" s="14" t="str">
        <f>IFERROR(__xludf.DUMMYFUNCTION("GOOGLEFINANCE(A77,""HIGH"")"),"#N/A")</f>
        <v>#N/A</v>
      </c>
      <c r="E77" s="14" t="str">
        <f>IFERROR(__xludf.DUMMYFUNCTION("GOOGLEFINANCE(A77,""LOW"")"),"#N/A")</f>
        <v>#N/A</v>
      </c>
      <c r="F77" s="15" t="str">
        <f t="shared" si="8"/>
        <v>#N/A</v>
      </c>
      <c r="G77" s="16" t="str">
        <f>IFERROR(__xludf.DUMMYFUNCTION("GOOGLEFINANCE(A77,""CLOSEYEST"")"),"#N/A")</f>
        <v>#N/A</v>
      </c>
      <c r="H77" s="17" t="str">
        <f t="shared" si="14"/>
        <v>#N/A</v>
      </c>
      <c r="I77" s="18" t="str">
        <f t="shared" si="9"/>
        <v>#N/A</v>
      </c>
      <c r="J77" s="19" t="str">
        <f t="shared" si="10"/>
        <v>#N/A</v>
      </c>
      <c r="K77" s="19"/>
      <c r="L77" s="19" t="str">
        <f t="shared" si="11"/>
        <v>#N/A</v>
      </c>
      <c r="M77" s="19" t="str">
        <f t="shared" si="12"/>
        <v>#N/A</v>
      </c>
      <c r="N77" s="19" t="str">
        <f t="shared" si="13"/>
        <v>#N/A</v>
      </c>
    </row>
    <row r="78" ht="24.75" customHeight="1">
      <c r="A78" s="21" t="s">
        <v>51</v>
      </c>
      <c r="B78" s="13">
        <f>IFERROR(__xludf.DUMMYFUNCTION("GOOGLEFINANCE(A78,""PRICE"")"),243.78)</f>
        <v>243.78</v>
      </c>
      <c r="C78" s="14">
        <f>IFERROR(__xludf.DUMMYFUNCTION("GOOGLEFINANCE(A78,""PRICEOPEN"")"),242.5)</f>
        <v>242.5</v>
      </c>
      <c r="D78" s="14">
        <f>IFERROR(__xludf.DUMMYFUNCTION("GOOGLEFINANCE(A78,""HIGH"")"),244.2)</f>
        <v>244.2</v>
      </c>
      <c r="E78" s="14">
        <f>IFERROR(__xludf.DUMMYFUNCTION("GOOGLEFINANCE(A78,""LOW"")"),239.7)</f>
        <v>239.7</v>
      </c>
      <c r="F78" s="15" t="str">
        <f t="shared" si="8"/>
        <v/>
      </c>
      <c r="G78" s="16">
        <f>IFERROR(__xludf.DUMMYFUNCTION("GOOGLEFINANCE(A78,""CLOSEYEST"")"),243.04)</f>
        <v>243.04</v>
      </c>
      <c r="H78" s="17" t="str">
        <f t="shared" si="14"/>
        <v/>
      </c>
      <c r="I78" s="18">
        <f t="shared" si="9"/>
        <v>242.3133333</v>
      </c>
      <c r="J78" s="19">
        <f t="shared" si="10"/>
        <v>244.9266667</v>
      </c>
      <c r="K78" s="19"/>
      <c r="L78" s="19">
        <f t="shared" si="11"/>
        <v>240.4266667</v>
      </c>
      <c r="M78" s="19">
        <f t="shared" si="12"/>
        <v>246.8133333</v>
      </c>
      <c r="N78" s="19">
        <f t="shared" si="13"/>
        <v>237.8133333</v>
      </c>
    </row>
    <row r="79" ht="24.75" customHeight="1">
      <c r="A79" s="21" t="s">
        <v>15</v>
      </c>
      <c r="B79" s="13">
        <f>IFERROR(__xludf.DUMMYFUNCTION("GOOGLEFINANCE(A79,""PRICE"")"),2586.1)</f>
        <v>2586.1</v>
      </c>
      <c r="C79" s="14">
        <f>IFERROR(__xludf.DUMMYFUNCTION("GOOGLEFINANCE(A79,""PRICEOPEN"")"),2595.0)</f>
        <v>2595</v>
      </c>
      <c r="D79" s="14">
        <f>IFERROR(__xludf.DUMMYFUNCTION("GOOGLEFINANCE(A79,""HIGH"")"),2612.9)</f>
        <v>2612.9</v>
      </c>
      <c r="E79" s="14">
        <f>IFERROR(__xludf.DUMMYFUNCTION("GOOGLEFINANCE(A79,""LOW"")"),2564.4)</f>
        <v>2564.4</v>
      </c>
      <c r="F79" s="15" t="str">
        <f t="shared" si="8"/>
        <v/>
      </c>
      <c r="G79" s="16">
        <f>IFERROR(__xludf.DUMMYFUNCTION("GOOGLEFINANCE(A79,""CLOSEYEST"")"),2592.7)</f>
        <v>2592.7</v>
      </c>
      <c r="H79" s="17" t="str">
        <f t="shared" si="14"/>
        <v/>
      </c>
      <c r="I79" s="18">
        <f t="shared" si="9"/>
        <v>2590</v>
      </c>
      <c r="J79" s="19">
        <f t="shared" si="10"/>
        <v>2615.6</v>
      </c>
      <c r="K79" s="19"/>
      <c r="L79" s="19">
        <f t="shared" si="11"/>
        <v>2567.1</v>
      </c>
      <c r="M79" s="19">
        <f t="shared" si="12"/>
        <v>2638.5</v>
      </c>
      <c r="N79" s="19">
        <f t="shared" si="13"/>
        <v>2541.5</v>
      </c>
    </row>
    <row r="80" ht="24.75" customHeight="1">
      <c r="A80" s="21" t="s">
        <v>56</v>
      </c>
      <c r="B80" s="13">
        <f>IFERROR(__xludf.DUMMYFUNCTION("GOOGLEFINANCE(A80,""PRICE"")"),1632.0)</f>
        <v>1632</v>
      </c>
      <c r="C80" s="14">
        <f>IFERROR(__xludf.DUMMYFUNCTION("GOOGLEFINANCE(A80,""PRICEOPEN"")"),1600.0)</f>
        <v>1600</v>
      </c>
      <c r="D80" s="14">
        <f>IFERROR(__xludf.DUMMYFUNCTION("GOOGLEFINANCE(A80,""HIGH"")"),1645.5)</f>
        <v>1645.5</v>
      </c>
      <c r="E80" s="14">
        <f>IFERROR(__xludf.DUMMYFUNCTION("GOOGLEFINANCE(A80,""LOW"")"),1600.0)</f>
        <v>1600</v>
      </c>
      <c r="F80" s="15" t="str">
        <f t="shared" si="8"/>
        <v>BUY</v>
      </c>
      <c r="G80" s="16">
        <f>IFERROR(__xludf.DUMMYFUNCTION("GOOGLEFINANCE(A80,""CLOSEYEST"")"),1636.2)</f>
        <v>1636.2</v>
      </c>
      <c r="H80" s="17" t="str">
        <f t="shared" si="14"/>
        <v>GAP DOWN</v>
      </c>
      <c r="I80" s="18">
        <f t="shared" si="9"/>
        <v>1627.233333</v>
      </c>
      <c r="J80" s="19">
        <f t="shared" si="10"/>
        <v>1654.466667</v>
      </c>
      <c r="K80" s="19"/>
      <c r="L80" s="19">
        <f t="shared" si="11"/>
        <v>1608.966667</v>
      </c>
      <c r="M80" s="19">
        <f t="shared" si="12"/>
        <v>1672.733333</v>
      </c>
      <c r="N80" s="19">
        <f t="shared" si="13"/>
        <v>1581.733333</v>
      </c>
    </row>
    <row r="81" ht="24.75" customHeight="1">
      <c r="A81" s="21" t="s">
        <v>70</v>
      </c>
      <c r="B81" s="13">
        <f>IFERROR(__xludf.DUMMYFUNCTION("GOOGLEFINANCE(A81,""PRICE"")"),23.17)</f>
        <v>23.17</v>
      </c>
      <c r="C81" s="14">
        <f>IFERROR(__xludf.DUMMYFUNCTION("GOOGLEFINANCE(A81,""PRICEOPEN"")"),23.17)</f>
        <v>23.17</v>
      </c>
      <c r="D81" s="14">
        <f>IFERROR(__xludf.DUMMYFUNCTION("GOOGLEFINANCE(A81,""HIGH"")"),23.17)</f>
        <v>23.17</v>
      </c>
      <c r="E81" s="14">
        <f>IFERROR(__xludf.DUMMYFUNCTION("GOOGLEFINANCE(A81,""LOW"")"),23.17)</f>
        <v>23.17</v>
      </c>
      <c r="F81" s="15" t="str">
        <f t="shared" si="8"/>
        <v>SELL</v>
      </c>
      <c r="G81" s="16">
        <f>IFERROR(__xludf.DUMMYFUNCTION("GOOGLEFINANCE(A81,""CLOSEYEST"")"),25.44)</f>
        <v>25.44</v>
      </c>
      <c r="H81" s="17" t="str">
        <f t="shared" si="14"/>
        <v>GAP DOWN</v>
      </c>
      <c r="I81" s="18">
        <f t="shared" si="9"/>
        <v>23.92666667</v>
      </c>
      <c r="J81" s="19">
        <f t="shared" si="10"/>
        <v>24.68333333</v>
      </c>
      <c r="K81" s="19"/>
      <c r="L81" s="19">
        <f t="shared" si="11"/>
        <v>24.68333333</v>
      </c>
      <c r="M81" s="19">
        <f t="shared" si="12"/>
        <v>23.92666667</v>
      </c>
      <c r="N81" s="19">
        <f t="shared" si="13"/>
        <v>23.92666667</v>
      </c>
    </row>
    <row r="82" ht="24.75" customHeight="1">
      <c r="A82" s="21" t="s">
        <v>50</v>
      </c>
      <c r="B82" s="13">
        <f>IFERROR(__xludf.DUMMYFUNCTION("GOOGLEFINANCE(A82,""PRICE"")"),1170.0)</f>
        <v>1170</v>
      </c>
      <c r="C82" s="14">
        <f>IFERROR(__xludf.DUMMYFUNCTION("GOOGLEFINANCE(A82,""PRICEOPEN"")"),1160.0)</f>
        <v>1160</v>
      </c>
      <c r="D82" s="14">
        <f>IFERROR(__xludf.DUMMYFUNCTION("GOOGLEFINANCE(A82,""HIGH"")"),1171.3)</f>
        <v>1171.3</v>
      </c>
      <c r="E82" s="14">
        <f>IFERROR(__xludf.DUMMYFUNCTION("GOOGLEFINANCE(A82,""LOW"")"),1154.4)</f>
        <v>1154.4</v>
      </c>
      <c r="F82" s="15" t="str">
        <f t="shared" si="8"/>
        <v/>
      </c>
      <c r="G82" s="16">
        <f>IFERROR(__xludf.DUMMYFUNCTION("GOOGLEFINANCE(A82,""CLOSEYEST"")"),1166.4)</f>
        <v>1166.4</v>
      </c>
      <c r="H82" s="17" t="str">
        <f t="shared" si="14"/>
        <v/>
      </c>
      <c r="I82" s="18">
        <f t="shared" si="9"/>
        <v>1164.033333</v>
      </c>
      <c r="J82" s="19">
        <f t="shared" si="10"/>
        <v>1173.666667</v>
      </c>
      <c r="K82" s="19"/>
      <c r="L82" s="19">
        <f t="shared" si="11"/>
        <v>1156.766667</v>
      </c>
      <c r="M82" s="19">
        <f t="shared" si="12"/>
        <v>1180.933333</v>
      </c>
      <c r="N82" s="19">
        <f t="shared" si="13"/>
        <v>1147.133333</v>
      </c>
    </row>
    <row r="83" ht="24.75" customHeight="1">
      <c r="A83" s="21" t="s">
        <v>59</v>
      </c>
      <c r="B83" s="13">
        <f>IFERROR(__xludf.DUMMYFUNCTION("GOOGLEFINANCE(A83,""PRICE"")"),715.85)</f>
        <v>715.85</v>
      </c>
      <c r="C83" s="14">
        <f>IFERROR(__xludf.DUMMYFUNCTION("GOOGLEFINANCE(A83,""PRICEOPEN"")"),718.5)</f>
        <v>718.5</v>
      </c>
      <c r="D83" s="14">
        <f>IFERROR(__xludf.DUMMYFUNCTION("GOOGLEFINANCE(A83,""HIGH"")"),739.7)</f>
        <v>739.7</v>
      </c>
      <c r="E83" s="14">
        <f>IFERROR(__xludf.DUMMYFUNCTION("GOOGLEFINANCE(A83,""LOW"")"),715.0)</f>
        <v>715</v>
      </c>
      <c r="F83" s="15" t="str">
        <f t="shared" si="8"/>
        <v/>
      </c>
      <c r="G83" s="16">
        <f>IFERROR(__xludf.DUMMYFUNCTION("GOOGLEFINANCE(A83,""CLOSEYEST"")"),718.35)</f>
        <v>718.35</v>
      </c>
      <c r="H83" s="17" t="str">
        <f t="shared" si="14"/>
        <v/>
      </c>
      <c r="I83" s="18">
        <f t="shared" si="9"/>
        <v>724.35</v>
      </c>
      <c r="J83" s="19">
        <f t="shared" si="10"/>
        <v>733.7</v>
      </c>
      <c r="K83" s="19"/>
      <c r="L83" s="19">
        <f t="shared" si="11"/>
        <v>709</v>
      </c>
      <c r="M83" s="19">
        <f t="shared" si="12"/>
        <v>749.05</v>
      </c>
      <c r="N83" s="19">
        <f t="shared" si="13"/>
        <v>699.65</v>
      </c>
    </row>
    <row r="84" ht="24.75" customHeight="1">
      <c r="A84" s="21" t="s">
        <v>71</v>
      </c>
      <c r="B84" s="13" t="str">
        <f>IFERROR(__xludf.DUMMYFUNCTION("GOOGLEFINANCE(A84,""PRICE"")"),"#N/A")</f>
        <v>#N/A</v>
      </c>
      <c r="C84" s="14" t="str">
        <f>IFERROR(__xludf.DUMMYFUNCTION("GOOGLEFINANCE(A84,""PRICEOPEN"")"),"#N/A")</f>
        <v>#N/A</v>
      </c>
      <c r="D84" s="14" t="str">
        <f>IFERROR(__xludf.DUMMYFUNCTION("GOOGLEFINANCE(A84,""HIGH"")"),"#N/A")</f>
        <v>#N/A</v>
      </c>
      <c r="E84" s="14" t="str">
        <f>IFERROR(__xludf.DUMMYFUNCTION("GOOGLEFINANCE(A84,""LOW"")"),"#N/A")</f>
        <v>#N/A</v>
      </c>
      <c r="F84" s="15" t="str">
        <f t="shared" si="8"/>
        <v>#N/A</v>
      </c>
      <c r="G84" s="16" t="str">
        <f>IFERROR(__xludf.DUMMYFUNCTION("GOOGLEFINANCE(A84,""CLOSEYEST"")"),"#N/A")</f>
        <v>#N/A</v>
      </c>
      <c r="H84" s="17" t="str">
        <f t="shared" si="14"/>
        <v>#N/A</v>
      </c>
      <c r="I84" s="18" t="str">
        <f t="shared" si="9"/>
        <v>#N/A</v>
      </c>
      <c r="J84" s="19" t="str">
        <f t="shared" si="10"/>
        <v>#N/A</v>
      </c>
      <c r="K84" s="19"/>
      <c r="L84" s="19" t="str">
        <f t="shared" si="11"/>
        <v>#N/A</v>
      </c>
      <c r="M84" s="19" t="str">
        <f t="shared" si="12"/>
        <v>#N/A</v>
      </c>
      <c r="N84" s="19" t="str">
        <f t="shared" si="13"/>
        <v>#N/A</v>
      </c>
    </row>
    <row r="85" ht="24.75" customHeight="1">
      <c r="A85" s="21" t="s">
        <v>61</v>
      </c>
      <c r="B85" s="13">
        <f>IFERROR(__xludf.DUMMYFUNCTION("GOOGLEFINANCE(A85,""PRICE"")"),1398.0)</f>
        <v>1398</v>
      </c>
      <c r="C85" s="14">
        <f>IFERROR(__xludf.DUMMYFUNCTION("GOOGLEFINANCE(A85,""PRICEOPEN"")"),1423.0)</f>
        <v>1423</v>
      </c>
      <c r="D85" s="14">
        <f>IFERROR(__xludf.DUMMYFUNCTION("GOOGLEFINANCE(A85,""HIGH"")"),1423.8)</f>
        <v>1423.8</v>
      </c>
      <c r="E85" s="14">
        <f>IFERROR(__xludf.DUMMYFUNCTION("GOOGLEFINANCE(A85,""LOW"")"),1397.3)</f>
        <v>1397.3</v>
      </c>
      <c r="F85" s="15" t="str">
        <f t="shared" si="8"/>
        <v/>
      </c>
      <c r="G85" s="16">
        <f>IFERROR(__xludf.DUMMYFUNCTION("GOOGLEFINANCE(A85,""CLOSEYEST"")"),1416.0)</f>
        <v>1416</v>
      </c>
      <c r="H85" s="17" t="str">
        <f t="shared" si="14"/>
        <v/>
      </c>
      <c r="I85" s="18">
        <f t="shared" si="9"/>
        <v>1412.366667</v>
      </c>
      <c r="J85" s="19">
        <f t="shared" si="10"/>
        <v>1427.433333</v>
      </c>
      <c r="K85" s="19"/>
      <c r="L85" s="19">
        <f t="shared" si="11"/>
        <v>1400.933333</v>
      </c>
      <c r="M85" s="19">
        <f t="shared" si="12"/>
        <v>1438.866667</v>
      </c>
      <c r="N85" s="19">
        <f t="shared" si="13"/>
        <v>1385.866667</v>
      </c>
    </row>
    <row r="86" ht="24.75" customHeight="1">
      <c r="A86" s="21" t="s">
        <v>44</v>
      </c>
      <c r="B86" s="13">
        <f>IFERROR(__xludf.DUMMYFUNCTION("GOOGLEFINANCE(A86,""PRICE"")"),1160.8)</f>
        <v>1160.8</v>
      </c>
      <c r="C86" s="14">
        <f>IFERROR(__xludf.DUMMYFUNCTION("GOOGLEFINANCE(A86,""PRICEOPEN"")"),1146.1)</f>
        <v>1146.1</v>
      </c>
      <c r="D86" s="14">
        <f>IFERROR(__xludf.DUMMYFUNCTION("GOOGLEFINANCE(A86,""HIGH"")"),1175.8)</f>
        <v>1175.8</v>
      </c>
      <c r="E86" s="14">
        <f>IFERROR(__xludf.DUMMYFUNCTION("GOOGLEFINANCE(A86,""LOW"")"),1145.9)</f>
        <v>1145.9</v>
      </c>
      <c r="F86" s="15" t="str">
        <f t="shared" si="8"/>
        <v/>
      </c>
      <c r="G86" s="16">
        <f>IFERROR(__xludf.DUMMYFUNCTION("GOOGLEFINANCE(A86,""CLOSEYEST"")"),1146.1)</f>
        <v>1146.1</v>
      </c>
      <c r="H86" s="17" t="str">
        <f t="shared" si="14"/>
        <v/>
      </c>
      <c r="I86" s="18">
        <f t="shared" si="9"/>
        <v>1155.933333</v>
      </c>
      <c r="J86" s="19">
        <f t="shared" si="10"/>
        <v>1165.966667</v>
      </c>
      <c r="K86" s="19"/>
      <c r="L86" s="19">
        <f t="shared" si="11"/>
        <v>1136.066667</v>
      </c>
      <c r="M86" s="19">
        <f t="shared" si="12"/>
        <v>1185.833333</v>
      </c>
      <c r="N86" s="19">
        <f t="shared" si="13"/>
        <v>1126.033333</v>
      </c>
    </row>
    <row r="87" ht="24.75" customHeight="1">
      <c r="A87" s="21" t="s">
        <v>16</v>
      </c>
      <c r="B87" s="13">
        <f>IFERROR(__xludf.DUMMYFUNCTION("GOOGLEFINANCE(A87,""PRICE"")"),1419.9)</f>
        <v>1419.9</v>
      </c>
      <c r="C87" s="14">
        <f>IFERROR(__xludf.DUMMYFUNCTION("GOOGLEFINANCE(A87,""PRICEOPEN"")"),1413.0)</f>
        <v>1413</v>
      </c>
      <c r="D87" s="14">
        <f>IFERROR(__xludf.DUMMYFUNCTION("GOOGLEFINANCE(A87,""HIGH"")"),1431.0)</f>
        <v>1431</v>
      </c>
      <c r="E87" s="14">
        <f>IFERROR(__xludf.DUMMYFUNCTION("GOOGLEFINANCE(A87,""LOW"")"),1412.5)</f>
        <v>1412.5</v>
      </c>
      <c r="F87" s="15" t="str">
        <f t="shared" si="8"/>
        <v/>
      </c>
      <c r="G87" s="16">
        <f>IFERROR(__xludf.DUMMYFUNCTION("GOOGLEFINANCE(A87,""CLOSEYEST"")"),1422.7)</f>
        <v>1422.7</v>
      </c>
      <c r="H87" s="17" t="str">
        <f t="shared" si="14"/>
        <v/>
      </c>
      <c r="I87" s="18">
        <f t="shared" si="9"/>
        <v>1422.066667</v>
      </c>
      <c r="J87" s="19">
        <f t="shared" si="10"/>
        <v>1431.633333</v>
      </c>
      <c r="K87" s="19"/>
      <c r="L87" s="19">
        <f t="shared" si="11"/>
        <v>1413.133333</v>
      </c>
      <c r="M87" s="19">
        <f t="shared" si="12"/>
        <v>1440.566667</v>
      </c>
      <c r="N87" s="19">
        <f t="shared" si="13"/>
        <v>1403.566667</v>
      </c>
    </row>
    <row r="88" ht="24.75" customHeight="1">
      <c r="A88" s="21" t="s">
        <v>60</v>
      </c>
      <c r="B88" s="13">
        <f>IFERROR(__xludf.DUMMYFUNCTION("GOOGLEFINANCE(A88,""PRICE"")"),173.29)</f>
        <v>173.29</v>
      </c>
      <c r="C88" s="14">
        <f>IFERROR(__xludf.DUMMYFUNCTION("GOOGLEFINANCE(A88,""PRICEOPEN"")"),168.12)</f>
        <v>168.12</v>
      </c>
      <c r="D88" s="14">
        <f>IFERROR(__xludf.DUMMYFUNCTION("GOOGLEFINANCE(A88,""HIGH"")"),174.74)</f>
        <v>174.74</v>
      </c>
      <c r="E88" s="14">
        <f>IFERROR(__xludf.DUMMYFUNCTION("GOOGLEFINANCE(A88,""LOW"")"),168.12)</f>
        <v>168.12</v>
      </c>
      <c r="F88" s="15" t="str">
        <f t="shared" si="8"/>
        <v>BUY</v>
      </c>
      <c r="G88" s="16">
        <f>IFERROR(__xludf.DUMMYFUNCTION("GOOGLEFINANCE(A88,""CLOSEYEST"")"),167.51)</f>
        <v>167.51</v>
      </c>
      <c r="H88" s="17" t="str">
        <f t="shared" si="14"/>
        <v/>
      </c>
      <c r="I88" s="18">
        <f t="shared" si="9"/>
        <v>170.1233333</v>
      </c>
      <c r="J88" s="19">
        <f t="shared" si="10"/>
        <v>172.1266667</v>
      </c>
      <c r="K88" s="19"/>
      <c r="L88" s="19">
        <f t="shared" si="11"/>
        <v>165.5066667</v>
      </c>
      <c r="M88" s="19">
        <f t="shared" si="12"/>
        <v>176.7433333</v>
      </c>
      <c r="N88" s="19">
        <f t="shared" si="13"/>
        <v>163.5033333</v>
      </c>
    </row>
    <row r="89" ht="24.75" customHeight="1">
      <c r="A89" s="21" t="s">
        <v>52</v>
      </c>
      <c r="B89" s="13">
        <f>IFERROR(__xludf.DUMMYFUNCTION("GOOGLEFINANCE(A89,""PRICE"")"),288.65)</f>
        <v>288.65</v>
      </c>
      <c r="C89" s="14">
        <f>IFERROR(__xludf.DUMMYFUNCTION("GOOGLEFINANCE(A89,""PRICEOPEN"")"),283.35)</f>
        <v>283.35</v>
      </c>
      <c r="D89" s="14">
        <f>IFERROR(__xludf.DUMMYFUNCTION("GOOGLEFINANCE(A89,""HIGH"")"),290.0)</f>
        <v>290</v>
      </c>
      <c r="E89" s="14">
        <f>IFERROR(__xludf.DUMMYFUNCTION("GOOGLEFINANCE(A89,""LOW"")"),281.05)</f>
        <v>281.05</v>
      </c>
      <c r="F89" s="15" t="str">
        <f t="shared" si="8"/>
        <v/>
      </c>
      <c r="G89" s="16">
        <f>IFERROR(__xludf.DUMMYFUNCTION("GOOGLEFINANCE(A89,""CLOSEYEST"")"),280.65)</f>
        <v>280.65</v>
      </c>
      <c r="H89" s="17" t="str">
        <f t="shared" si="14"/>
        <v/>
      </c>
      <c r="I89" s="18">
        <f t="shared" si="9"/>
        <v>283.9</v>
      </c>
      <c r="J89" s="19">
        <f t="shared" si="10"/>
        <v>286.75</v>
      </c>
      <c r="K89" s="19"/>
      <c r="L89" s="19">
        <f t="shared" si="11"/>
        <v>277.8</v>
      </c>
      <c r="M89" s="19">
        <f t="shared" si="12"/>
        <v>292.85</v>
      </c>
      <c r="N89" s="19">
        <f t="shared" si="13"/>
        <v>274.95</v>
      </c>
    </row>
    <row r="90" ht="24.75" customHeight="1">
      <c r="A90" s="21" t="s">
        <v>72</v>
      </c>
      <c r="B90" s="13">
        <f>IFERROR(__xludf.DUMMYFUNCTION("GOOGLEFINANCE(A90,""PRICE"")"),492.3)</f>
        <v>492.3</v>
      </c>
      <c r="C90" s="14">
        <f>IFERROR(__xludf.DUMMYFUNCTION("GOOGLEFINANCE(A90,""PRICEOPEN"")"),483.0)</f>
        <v>483</v>
      </c>
      <c r="D90" s="14">
        <f>IFERROR(__xludf.DUMMYFUNCTION("GOOGLEFINANCE(A90,""HIGH"")"),496.6)</f>
        <v>496.6</v>
      </c>
      <c r="E90" s="14">
        <f>IFERROR(__xludf.DUMMYFUNCTION("GOOGLEFINANCE(A90,""LOW"")"),478.9)</f>
        <v>478.9</v>
      </c>
      <c r="F90" s="15" t="str">
        <f t="shared" si="8"/>
        <v/>
      </c>
      <c r="G90" s="16">
        <f>IFERROR(__xludf.DUMMYFUNCTION("GOOGLEFINANCE(A90,""CLOSEYEST"")"),481.35)</f>
        <v>481.35</v>
      </c>
      <c r="H90" s="17" t="str">
        <f t="shared" si="14"/>
        <v/>
      </c>
      <c r="I90" s="18">
        <f t="shared" si="9"/>
        <v>485.6166667</v>
      </c>
      <c r="J90" s="19">
        <f t="shared" si="10"/>
        <v>492.3333333</v>
      </c>
      <c r="K90" s="19"/>
      <c r="L90" s="19">
        <f t="shared" si="11"/>
        <v>474.6333333</v>
      </c>
      <c r="M90" s="19">
        <f t="shared" si="12"/>
        <v>503.3166667</v>
      </c>
      <c r="N90" s="19">
        <f t="shared" si="13"/>
        <v>467.9166667</v>
      </c>
    </row>
    <row r="91" ht="24.75" customHeight="1">
      <c r="A91" s="21" t="s">
        <v>34</v>
      </c>
      <c r="B91" s="13">
        <f>IFERROR(__xludf.DUMMYFUNCTION("GOOGLEFINANCE(A91,""PRICE"")"),760.0)</f>
        <v>760</v>
      </c>
      <c r="C91" s="14">
        <f>IFERROR(__xludf.DUMMYFUNCTION("GOOGLEFINANCE(A91,""PRICEOPEN"")"),756.65)</f>
        <v>756.65</v>
      </c>
      <c r="D91" s="14">
        <f>IFERROR(__xludf.DUMMYFUNCTION("GOOGLEFINANCE(A91,""HIGH"")"),767.15)</f>
        <v>767.15</v>
      </c>
      <c r="E91" s="14">
        <f>IFERROR(__xludf.DUMMYFUNCTION("GOOGLEFINANCE(A91,""LOW"")"),754.95)</f>
        <v>754.95</v>
      </c>
      <c r="F91" s="15" t="str">
        <f t="shared" si="8"/>
        <v/>
      </c>
      <c r="G91" s="16">
        <f>IFERROR(__xludf.DUMMYFUNCTION("GOOGLEFINANCE(A91,""CLOSEYEST"")"),764.0)</f>
        <v>764</v>
      </c>
      <c r="H91" s="17" t="str">
        <f t="shared" si="14"/>
        <v/>
      </c>
      <c r="I91" s="18">
        <f t="shared" si="9"/>
        <v>762.0333333</v>
      </c>
      <c r="J91" s="19">
        <f t="shared" si="10"/>
        <v>769.1166667</v>
      </c>
      <c r="K91" s="19"/>
      <c r="L91" s="19">
        <f t="shared" si="11"/>
        <v>756.9166667</v>
      </c>
      <c r="M91" s="19">
        <f t="shared" si="12"/>
        <v>774.2333333</v>
      </c>
      <c r="N91" s="19">
        <f t="shared" si="13"/>
        <v>749.8333333</v>
      </c>
    </row>
    <row r="92" ht="24.75" customHeight="1">
      <c r="A92" s="21" t="s">
        <v>73</v>
      </c>
      <c r="B92" s="13">
        <f>IFERROR(__xludf.DUMMYFUNCTION("GOOGLEFINANCE(A92,""PRICE"")"),1485.8)</f>
        <v>1485.8</v>
      </c>
      <c r="C92" s="14">
        <f>IFERROR(__xludf.DUMMYFUNCTION("GOOGLEFINANCE(A92,""PRICEOPEN"")"),1475.6)</f>
        <v>1475.6</v>
      </c>
      <c r="D92" s="14">
        <f>IFERROR(__xludf.DUMMYFUNCTION("GOOGLEFINANCE(A92,""HIGH"")"),1493.6)</f>
        <v>1493.6</v>
      </c>
      <c r="E92" s="14">
        <f>IFERROR(__xludf.DUMMYFUNCTION("GOOGLEFINANCE(A92,""LOW"")"),1471.3)</f>
        <v>1471.3</v>
      </c>
      <c r="F92" s="15" t="str">
        <f t="shared" si="8"/>
        <v/>
      </c>
      <c r="G92" s="16">
        <f>IFERROR(__xludf.DUMMYFUNCTION("GOOGLEFINANCE(A92,""CLOSEYEST"")"),1475.4)</f>
        <v>1475.4</v>
      </c>
      <c r="H92" s="17" t="str">
        <f t="shared" si="14"/>
        <v/>
      </c>
      <c r="I92" s="18">
        <f t="shared" si="9"/>
        <v>1480.1</v>
      </c>
      <c r="J92" s="19">
        <f t="shared" si="10"/>
        <v>1488.9</v>
      </c>
      <c r="K92" s="19"/>
      <c r="L92" s="19">
        <f t="shared" si="11"/>
        <v>1466.6</v>
      </c>
      <c r="M92" s="19">
        <f t="shared" si="12"/>
        <v>1502.4</v>
      </c>
      <c r="N92" s="19">
        <f t="shared" si="13"/>
        <v>1457.8</v>
      </c>
    </row>
    <row r="93" ht="24.75" customHeight="1">
      <c r="A93" s="21" t="s">
        <v>49</v>
      </c>
      <c r="B93" s="13">
        <f>IFERROR(__xludf.DUMMYFUNCTION("GOOGLEFINANCE(A93,""PRICE"")"),341.8)</f>
        <v>341.8</v>
      </c>
      <c r="C93" s="14">
        <f>IFERROR(__xludf.DUMMYFUNCTION("GOOGLEFINANCE(A93,""PRICEOPEN"")"),340.25)</f>
        <v>340.25</v>
      </c>
      <c r="D93" s="14">
        <f>IFERROR(__xludf.DUMMYFUNCTION("GOOGLEFINANCE(A93,""HIGH"")"),343.5)</f>
        <v>343.5</v>
      </c>
      <c r="E93" s="14">
        <f>IFERROR(__xludf.DUMMYFUNCTION("GOOGLEFINANCE(A93,""LOW"")"),338.75)</f>
        <v>338.75</v>
      </c>
      <c r="F93" s="15" t="str">
        <f t="shared" si="8"/>
        <v/>
      </c>
      <c r="G93" s="16">
        <f>IFERROR(__xludf.DUMMYFUNCTION("GOOGLEFINANCE(A93,""CLOSEYEST"")"),340.25)</f>
        <v>340.25</v>
      </c>
      <c r="H93" s="17" t="str">
        <f t="shared" si="14"/>
        <v/>
      </c>
      <c r="I93" s="18">
        <f t="shared" si="9"/>
        <v>340.8333333</v>
      </c>
      <c r="J93" s="19">
        <f t="shared" si="10"/>
        <v>342.9166667</v>
      </c>
      <c r="K93" s="19"/>
      <c r="L93" s="19">
        <f t="shared" si="11"/>
        <v>338.1666667</v>
      </c>
      <c r="M93" s="19">
        <f t="shared" si="12"/>
        <v>345.5833333</v>
      </c>
      <c r="N93" s="19">
        <f t="shared" si="13"/>
        <v>336.0833333</v>
      </c>
    </row>
    <row r="94" ht="24.75" customHeight="1">
      <c r="A94" s="21" t="s">
        <v>74</v>
      </c>
      <c r="B94" s="13">
        <f>IFERROR(__xludf.DUMMYFUNCTION("GOOGLEFINANCE(A94,""PRICE"")"),7.2)</f>
        <v>7.2</v>
      </c>
      <c r="C94" s="14">
        <f>IFERROR(__xludf.DUMMYFUNCTION("GOOGLEFINANCE(A94,""PRICEOPEN"")"),7.2)</f>
        <v>7.2</v>
      </c>
      <c r="D94" s="14">
        <f>IFERROR(__xludf.DUMMYFUNCTION("GOOGLEFINANCE(A94,""HIGH"")"),7.5)</f>
        <v>7.5</v>
      </c>
      <c r="E94" s="14">
        <f>IFERROR(__xludf.DUMMYFUNCTION("GOOGLEFINANCE(A94,""LOW"")"),7.0)</f>
        <v>7</v>
      </c>
      <c r="F94" s="15" t="str">
        <f t="shared" si="8"/>
        <v/>
      </c>
      <c r="G94" s="16">
        <f>IFERROR(__xludf.DUMMYFUNCTION("GOOGLEFINANCE(A94,""CLOSEYEST"")"),7.25)</f>
        <v>7.25</v>
      </c>
      <c r="H94" s="17" t="str">
        <f t="shared" si="14"/>
        <v/>
      </c>
      <c r="I94" s="18">
        <f t="shared" si="9"/>
        <v>7.25</v>
      </c>
      <c r="J94" s="19">
        <f t="shared" si="10"/>
        <v>7.5</v>
      </c>
      <c r="K94" s="19"/>
      <c r="L94" s="19">
        <f t="shared" si="11"/>
        <v>7</v>
      </c>
      <c r="M94" s="19">
        <f t="shared" si="12"/>
        <v>7.75</v>
      </c>
      <c r="N94" s="19">
        <f t="shared" si="13"/>
        <v>6.75</v>
      </c>
    </row>
    <row r="95" ht="24.75" customHeight="1">
      <c r="A95" s="21" t="s">
        <v>54</v>
      </c>
      <c r="B95" s="13">
        <f>IFERROR(__xludf.DUMMYFUNCTION("GOOGLEFINANCE(A95,""PRICE"")"),1787.0)</f>
        <v>1787</v>
      </c>
      <c r="C95" s="14">
        <f>IFERROR(__xludf.DUMMYFUNCTION("GOOGLEFINANCE(A95,""PRICEOPEN"")"),1801.1)</f>
        <v>1801.1</v>
      </c>
      <c r="D95" s="14">
        <f>IFERROR(__xludf.DUMMYFUNCTION("GOOGLEFINANCE(A95,""HIGH"")"),1803.2)</f>
        <v>1803.2</v>
      </c>
      <c r="E95" s="14">
        <f>IFERROR(__xludf.DUMMYFUNCTION("GOOGLEFINANCE(A95,""LOW"")"),1766.2)</f>
        <v>1766.2</v>
      </c>
      <c r="F95" s="15" t="str">
        <f t="shared" si="8"/>
        <v/>
      </c>
      <c r="G95" s="16">
        <f>IFERROR(__xludf.DUMMYFUNCTION("GOOGLEFINANCE(A95,""CLOSEYEST"")"),1801.1)</f>
        <v>1801.1</v>
      </c>
      <c r="H95" s="17" t="str">
        <f t="shared" si="14"/>
        <v/>
      </c>
      <c r="I95" s="18">
        <f t="shared" si="9"/>
        <v>1790.166667</v>
      </c>
      <c r="J95" s="19">
        <f t="shared" si="10"/>
        <v>1814.133333</v>
      </c>
      <c r="K95" s="19"/>
      <c r="L95" s="19">
        <f t="shared" si="11"/>
        <v>1777.133333</v>
      </c>
      <c r="M95" s="19">
        <f t="shared" si="12"/>
        <v>1827.166667</v>
      </c>
      <c r="N95" s="19">
        <f t="shared" si="13"/>
        <v>1753.166667</v>
      </c>
    </row>
    <row r="96" ht="24.75" customHeight="1">
      <c r="A96" s="21" t="s">
        <v>75</v>
      </c>
      <c r="B96" s="13">
        <f>IFERROR(__xludf.DUMMYFUNCTION("GOOGLEFINANCE(A96,""PRICE"")"),471.5)</f>
        <v>471.5</v>
      </c>
      <c r="C96" s="14">
        <f>IFERROR(__xludf.DUMMYFUNCTION("GOOGLEFINANCE(A96,""PRICEOPEN"")"),464.85)</f>
        <v>464.85</v>
      </c>
      <c r="D96" s="14">
        <f>IFERROR(__xludf.DUMMYFUNCTION("GOOGLEFINANCE(A96,""HIGH"")"),479.9)</f>
        <v>479.9</v>
      </c>
      <c r="E96" s="14">
        <f>IFERROR(__xludf.DUMMYFUNCTION("GOOGLEFINANCE(A96,""LOW"")"),464.5)</f>
        <v>464.5</v>
      </c>
      <c r="F96" s="15" t="str">
        <f t="shared" si="8"/>
        <v/>
      </c>
      <c r="G96" s="16">
        <f>IFERROR(__xludf.DUMMYFUNCTION("GOOGLEFINANCE(A96,""CLOSEYEST"")"),464.85)</f>
        <v>464.85</v>
      </c>
      <c r="H96" s="17" t="str">
        <f t="shared" si="14"/>
        <v/>
      </c>
      <c r="I96" s="18">
        <f t="shared" si="9"/>
        <v>469.75</v>
      </c>
      <c r="J96" s="19">
        <f t="shared" si="10"/>
        <v>475</v>
      </c>
      <c r="K96" s="19"/>
      <c r="L96" s="19">
        <f t="shared" si="11"/>
        <v>459.6</v>
      </c>
      <c r="M96" s="19">
        <f t="shared" si="12"/>
        <v>485.15</v>
      </c>
      <c r="N96" s="19">
        <f t="shared" si="13"/>
        <v>454.35</v>
      </c>
    </row>
    <row r="97" ht="24.75" customHeight="1">
      <c r="A97" s="21" t="s">
        <v>31</v>
      </c>
      <c r="B97" s="13">
        <f>IFERROR(__xludf.DUMMYFUNCTION("GOOGLEFINANCE(A97,""PRICE"")"),2799.3)</f>
        <v>2799.3</v>
      </c>
      <c r="C97" s="14">
        <f>IFERROR(__xludf.DUMMYFUNCTION("GOOGLEFINANCE(A97,""PRICEOPEN"")"),2800.0)</f>
        <v>2800</v>
      </c>
      <c r="D97" s="14">
        <f>IFERROR(__xludf.DUMMYFUNCTION("GOOGLEFINANCE(A97,""HIGH"")"),2806.8)</f>
        <v>2806.8</v>
      </c>
      <c r="E97" s="14">
        <f>IFERROR(__xludf.DUMMYFUNCTION("GOOGLEFINANCE(A97,""LOW"")"),2766.0)</f>
        <v>2766</v>
      </c>
      <c r="F97" s="15" t="str">
        <f t="shared" si="8"/>
        <v/>
      </c>
      <c r="G97" s="16">
        <f>IFERROR(__xludf.DUMMYFUNCTION("GOOGLEFINANCE(A97,""CLOSEYEST"")"),2789.7)</f>
        <v>2789.7</v>
      </c>
      <c r="H97" s="17" t="str">
        <f t="shared" si="14"/>
        <v/>
      </c>
      <c r="I97" s="18">
        <f t="shared" si="9"/>
        <v>2787.5</v>
      </c>
      <c r="J97" s="19">
        <f t="shared" si="10"/>
        <v>2809</v>
      </c>
      <c r="K97" s="19"/>
      <c r="L97" s="19">
        <f t="shared" si="11"/>
        <v>2768.2</v>
      </c>
      <c r="M97" s="19">
        <f t="shared" si="12"/>
        <v>2828.3</v>
      </c>
      <c r="N97" s="19">
        <f t="shared" si="13"/>
        <v>2746.7</v>
      </c>
    </row>
    <row r="98" ht="24.75" customHeight="1">
      <c r="A98" s="21" t="s">
        <v>28</v>
      </c>
      <c r="B98" s="13">
        <f>IFERROR(__xludf.DUMMYFUNCTION("GOOGLEFINANCE(A98,""PRICE"")"),5851.5)</f>
        <v>5851.5</v>
      </c>
      <c r="C98" s="14">
        <f>IFERROR(__xludf.DUMMYFUNCTION("GOOGLEFINANCE(A98,""PRICEOPEN"")"),5759.5)</f>
        <v>5759.5</v>
      </c>
      <c r="D98" s="14">
        <f>IFERROR(__xludf.DUMMYFUNCTION("GOOGLEFINANCE(A98,""HIGH"")"),5932.0)</f>
        <v>5932</v>
      </c>
      <c r="E98" s="14">
        <f>IFERROR(__xludf.DUMMYFUNCTION("GOOGLEFINANCE(A98,""LOW"")"),5746.0)</f>
        <v>5746</v>
      </c>
      <c r="F98" s="15" t="str">
        <f t="shared" si="8"/>
        <v/>
      </c>
      <c r="G98" s="16">
        <f>IFERROR(__xludf.DUMMYFUNCTION("GOOGLEFINANCE(A98,""CLOSEYEST"")"),5710.0)</f>
        <v>5710</v>
      </c>
      <c r="H98" s="17" t="str">
        <f t="shared" si="14"/>
        <v/>
      </c>
      <c r="I98" s="18">
        <f t="shared" si="9"/>
        <v>5796</v>
      </c>
      <c r="J98" s="19">
        <f t="shared" si="10"/>
        <v>5846</v>
      </c>
      <c r="K98" s="19"/>
      <c r="L98" s="19">
        <f t="shared" si="11"/>
        <v>5660</v>
      </c>
      <c r="M98" s="19">
        <f t="shared" si="12"/>
        <v>5982</v>
      </c>
      <c r="N98" s="19">
        <f t="shared" si="13"/>
        <v>5610</v>
      </c>
    </row>
    <row r="99" ht="24.75" customHeight="1">
      <c r="A99" s="21" t="s">
        <v>76</v>
      </c>
      <c r="B99" s="13">
        <f>IFERROR(__xludf.DUMMYFUNCTION("GOOGLEFINANCE(A99,""PRICE"")"),48.6)</f>
        <v>48.6</v>
      </c>
      <c r="C99" s="14">
        <f>IFERROR(__xludf.DUMMYFUNCTION("GOOGLEFINANCE(A99,""PRICEOPEN"")"),48.2)</f>
        <v>48.2</v>
      </c>
      <c r="D99" s="14">
        <f>IFERROR(__xludf.DUMMYFUNCTION("GOOGLEFINANCE(A99,""HIGH"")"),48.6)</f>
        <v>48.6</v>
      </c>
      <c r="E99" s="14">
        <f>IFERROR(__xludf.DUMMYFUNCTION("GOOGLEFINANCE(A99,""LOW"")"),48.2)</f>
        <v>48.2</v>
      </c>
      <c r="F99" s="15" t="str">
        <f t="shared" si="8"/>
        <v>BUY</v>
      </c>
      <c r="G99" s="16">
        <f>IFERROR(__xludf.DUMMYFUNCTION("GOOGLEFINANCE(A99,""CLOSEYEST"")"),48.5)</f>
        <v>48.5</v>
      </c>
      <c r="H99" s="17" t="str">
        <f t="shared" si="14"/>
        <v/>
      </c>
      <c r="I99" s="18">
        <f t="shared" si="9"/>
        <v>48.43333333</v>
      </c>
      <c r="J99" s="19">
        <f t="shared" si="10"/>
        <v>48.66666667</v>
      </c>
      <c r="K99" s="19"/>
      <c r="L99" s="19">
        <f t="shared" si="11"/>
        <v>48.26666667</v>
      </c>
      <c r="M99" s="19">
        <f t="shared" si="12"/>
        <v>48.83333333</v>
      </c>
      <c r="N99" s="19">
        <f t="shared" si="13"/>
        <v>48.03333333</v>
      </c>
    </row>
    <row r="100" ht="24.75" customHeight="1">
      <c r="A100" s="21" t="s">
        <v>36</v>
      </c>
      <c r="B100" s="13">
        <f>IFERROR(__xludf.DUMMYFUNCTION("GOOGLEFINANCE(A100,""PRICE"")"),780.0)</f>
        <v>780</v>
      </c>
      <c r="C100" s="14">
        <f>IFERROR(__xludf.DUMMYFUNCTION("GOOGLEFINANCE(A100,""PRICEOPEN"")"),766.0)</f>
        <v>766</v>
      </c>
      <c r="D100" s="14">
        <f>IFERROR(__xludf.DUMMYFUNCTION("GOOGLEFINANCE(A100,""HIGH"")"),790.6)</f>
        <v>790.6</v>
      </c>
      <c r="E100" s="14">
        <f>IFERROR(__xludf.DUMMYFUNCTION("GOOGLEFINANCE(A100,""LOW"")"),764.1)</f>
        <v>764.1</v>
      </c>
      <c r="F100" s="15" t="str">
        <f t="shared" si="8"/>
        <v/>
      </c>
      <c r="G100" s="16">
        <f>IFERROR(__xludf.DUMMYFUNCTION("GOOGLEFINANCE(A100,""CLOSEYEST"")"),765.95)</f>
        <v>765.95</v>
      </c>
      <c r="H100" s="17" t="str">
        <f t="shared" si="14"/>
        <v/>
      </c>
      <c r="I100" s="18">
        <f t="shared" si="9"/>
        <v>773.55</v>
      </c>
      <c r="J100" s="19">
        <f t="shared" si="10"/>
        <v>783</v>
      </c>
      <c r="K100" s="19"/>
      <c r="L100" s="19">
        <f t="shared" si="11"/>
        <v>756.5</v>
      </c>
      <c r="M100" s="19">
        <f t="shared" si="12"/>
        <v>800.05</v>
      </c>
      <c r="N100" s="19">
        <f t="shared" si="13"/>
        <v>747.05</v>
      </c>
    </row>
    <row r="101" ht="24.75" customHeight="1">
      <c r="A101" s="21" t="s">
        <v>47</v>
      </c>
      <c r="B101" s="13">
        <f>IFERROR(__xludf.DUMMYFUNCTION("GOOGLEFINANCE(A101,""PRICE"")"),3460.0)</f>
        <v>3460</v>
      </c>
      <c r="C101" s="14">
        <f>IFERROR(__xludf.DUMMYFUNCTION("GOOGLEFINANCE(A101,""PRICEOPEN"")"),3462.1)</f>
        <v>3462.1</v>
      </c>
      <c r="D101" s="14">
        <f>IFERROR(__xludf.DUMMYFUNCTION("GOOGLEFINANCE(A101,""HIGH"")"),3492.4)</f>
        <v>3492.4</v>
      </c>
      <c r="E101" s="14">
        <f>IFERROR(__xludf.DUMMYFUNCTION("GOOGLEFINANCE(A101,""LOW"")"),3404.2)</f>
        <v>3404.2</v>
      </c>
      <c r="F101" s="15" t="str">
        <f t="shared" si="8"/>
        <v/>
      </c>
      <c r="G101" s="16">
        <f>IFERROR(__xludf.DUMMYFUNCTION("GOOGLEFINANCE(A101,""CLOSEYEST"")"),3463.4)</f>
        <v>3463.4</v>
      </c>
      <c r="H101" s="17" t="str">
        <f t="shared" si="14"/>
        <v/>
      </c>
      <c r="I101" s="18">
        <f t="shared" si="9"/>
        <v>3453.333333</v>
      </c>
      <c r="J101" s="19">
        <f t="shared" si="10"/>
        <v>3502.466667</v>
      </c>
      <c r="K101" s="19"/>
      <c r="L101" s="19">
        <f t="shared" si="11"/>
        <v>3414.266667</v>
      </c>
      <c r="M101" s="19">
        <f t="shared" si="12"/>
        <v>3541.533333</v>
      </c>
      <c r="N101" s="19">
        <f t="shared" si="13"/>
        <v>3365.133333</v>
      </c>
    </row>
    <row r="102" ht="24.75" customHeight="1">
      <c r="A102" s="21" t="s">
        <v>77</v>
      </c>
      <c r="B102" s="13" t="str">
        <f>IFERROR(__xludf.DUMMYFUNCTION("GOOGLEFINANCE(A102,""PRICE"")"),"#N/A")</f>
        <v>#N/A</v>
      </c>
      <c r="C102" s="14" t="str">
        <f>IFERROR(__xludf.DUMMYFUNCTION("GOOGLEFINANCE(A102,""PRICEOPEN"")"),"#N/A")</f>
        <v>#N/A</v>
      </c>
      <c r="D102" s="14" t="str">
        <f>IFERROR(__xludf.DUMMYFUNCTION("GOOGLEFINANCE(A102,""HIGH"")"),"#N/A")</f>
        <v>#N/A</v>
      </c>
      <c r="E102" s="14" t="str">
        <f>IFERROR(__xludf.DUMMYFUNCTION("GOOGLEFINANCE(A102,""LOW"")"),"#N/A")</f>
        <v>#N/A</v>
      </c>
      <c r="F102" s="15" t="str">
        <f t="shared" si="8"/>
        <v>#N/A</v>
      </c>
      <c r="G102" s="16" t="str">
        <f>IFERROR(__xludf.DUMMYFUNCTION("GOOGLEFINANCE(A102,""CLOSEYEST"")"),"#N/A")</f>
        <v>#N/A</v>
      </c>
      <c r="H102" s="17" t="str">
        <f t="shared" si="14"/>
        <v>#N/A</v>
      </c>
      <c r="I102" s="18" t="str">
        <f t="shared" si="9"/>
        <v>#N/A</v>
      </c>
      <c r="J102" s="19" t="str">
        <f t="shared" si="10"/>
        <v>#N/A</v>
      </c>
      <c r="K102" s="19"/>
      <c r="L102" s="19" t="str">
        <f t="shared" si="11"/>
        <v>#N/A</v>
      </c>
      <c r="M102" s="19" t="str">
        <f t="shared" si="12"/>
        <v>#N/A</v>
      </c>
      <c r="N102" s="19" t="str">
        <f t="shared" si="13"/>
        <v>#N/A</v>
      </c>
    </row>
    <row r="103" ht="24.75" customHeight="1">
      <c r="A103" s="21" t="s">
        <v>78</v>
      </c>
      <c r="B103" s="13">
        <f>IFERROR(__xludf.DUMMYFUNCTION("GOOGLEFINANCE(A103,""PRICE"")"),496.0)</f>
        <v>496</v>
      </c>
      <c r="C103" s="14">
        <f>IFERROR(__xludf.DUMMYFUNCTION("GOOGLEFINANCE(A103,""PRICEOPEN"")"),495.05)</f>
        <v>495.05</v>
      </c>
      <c r="D103" s="14">
        <f>IFERROR(__xludf.DUMMYFUNCTION("GOOGLEFINANCE(A103,""HIGH"")"),497.8)</f>
        <v>497.8</v>
      </c>
      <c r="E103" s="14">
        <f>IFERROR(__xludf.DUMMYFUNCTION("GOOGLEFINANCE(A103,""LOW"")"),490.75)</f>
        <v>490.75</v>
      </c>
      <c r="F103" s="15" t="str">
        <f t="shared" si="8"/>
        <v/>
      </c>
      <c r="G103" s="16">
        <f>IFERROR(__xludf.DUMMYFUNCTION("GOOGLEFINANCE(A103,""CLOSEYEST"")"),495.05)</f>
        <v>495.05</v>
      </c>
      <c r="H103" s="17" t="str">
        <f t="shared" si="14"/>
        <v/>
      </c>
      <c r="I103" s="18">
        <f t="shared" si="9"/>
        <v>494.5333333</v>
      </c>
      <c r="J103" s="19">
        <f t="shared" si="10"/>
        <v>498.3166667</v>
      </c>
      <c r="K103" s="19"/>
      <c r="L103" s="19">
        <f t="shared" si="11"/>
        <v>491.2666667</v>
      </c>
      <c r="M103" s="19">
        <f t="shared" si="12"/>
        <v>501.5833333</v>
      </c>
      <c r="N103" s="19">
        <f t="shared" si="13"/>
        <v>487.4833333</v>
      </c>
    </row>
    <row r="104" ht="24.75" customHeight="1">
      <c r="A104" s="21" t="s">
        <v>79</v>
      </c>
      <c r="B104" s="13">
        <f>IFERROR(__xludf.DUMMYFUNCTION("GOOGLEFINANCE(A104,""PRICE"")"),727.5)</f>
        <v>727.5</v>
      </c>
      <c r="C104" s="14">
        <f>IFERROR(__xludf.DUMMYFUNCTION("GOOGLEFINANCE(A104,""PRICEOPEN"")"),724.4)</f>
        <v>724.4</v>
      </c>
      <c r="D104" s="14">
        <f>IFERROR(__xludf.DUMMYFUNCTION("GOOGLEFINANCE(A104,""HIGH"")"),730.5)</f>
        <v>730.5</v>
      </c>
      <c r="E104" s="14">
        <f>IFERROR(__xludf.DUMMYFUNCTION("GOOGLEFINANCE(A104,""LOW"")"),719.2)</f>
        <v>719.2</v>
      </c>
      <c r="F104" s="15" t="str">
        <f t="shared" si="8"/>
        <v/>
      </c>
      <c r="G104" s="16">
        <f>IFERROR(__xludf.DUMMYFUNCTION("GOOGLEFINANCE(A104,""CLOSEYEST"")"),722.3)</f>
        <v>722.3</v>
      </c>
      <c r="H104" s="17" t="str">
        <f t="shared" si="14"/>
        <v/>
      </c>
      <c r="I104" s="18">
        <f t="shared" si="9"/>
        <v>724</v>
      </c>
      <c r="J104" s="19">
        <f t="shared" si="10"/>
        <v>728.8</v>
      </c>
      <c r="K104" s="19"/>
      <c r="L104" s="19">
        <f t="shared" si="11"/>
        <v>717.5</v>
      </c>
      <c r="M104" s="19">
        <f t="shared" si="12"/>
        <v>735.3</v>
      </c>
      <c r="N104" s="19">
        <f t="shared" si="13"/>
        <v>712.7</v>
      </c>
    </row>
    <row r="105" ht="24.75" customHeight="1">
      <c r="A105" s="21" t="s">
        <v>20</v>
      </c>
      <c r="B105" s="13">
        <f>IFERROR(__xludf.DUMMYFUNCTION("GOOGLEFINANCE(A105,""PRICE"")"),8685.0)</f>
        <v>8685</v>
      </c>
      <c r="C105" s="14">
        <f>IFERROR(__xludf.DUMMYFUNCTION("GOOGLEFINANCE(A105,""PRICEOPEN"")"),8626.5)</f>
        <v>8626.5</v>
      </c>
      <c r="D105" s="14">
        <f>IFERROR(__xludf.DUMMYFUNCTION("GOOGLEFINANCE(A105,""HIGH"")"),8698.5)</f>
        <v>8698.5</v>
      </c>
      <c r="E105" s="14">
        <f>IFERROR(__xludf.DUMMYFUNCTION("GOOGLEFINANCE(A105,""LOW"")"),8491.5)</f>
        <v>8491.5</v>
      </c>
      <c r="F105" s="15" t="str">
        <f t="shared" si="8"/>
        <v/>
      </c>
      <c r="G105" s="16">
        <f>IFERROR(__xludf.DUMMYFUNCTION("GOOGLEFINANCE(A105,""CLOSEYEST"")"),8626.5)</f>
        <v>8626.5</v>
      </c>
      <c r="H105" s="17" t="str">
        <f t="shared" si="14"/>
        <v/>
      </c>
      <c r="I105" s="18">
        <f t="shared" si="9"/>
        <v>8605.5</v>
      </c>
      <c r="J105" s="19">
        <f t="shared" si="10"/>
        <v>8719.5</v>
      </c>
      <c r="K105" s="19"/>
      <c r="L105" s="19">
        <f t="shared" si="11"/>
        <v>8512.5</v>
      </c>
      <c r="M105" s="19">
        <f t="shared" si="12"/>
        <v>8812.5</v>
      </c>
      <c r="N105" s="19">
        <f t="shared" si="13"/>
        <v>8398.5</v>
      </c>
    </row>
    <row r="106" ht="24.75" customHeight="1">
      <c r="A106" s="21" t="s">
        <v>27</v>
      </c>
      <c r="B106" s="13">
        <f>IFERROR(__xludf.DUMMYFUNCTION("GOOGLEFINANCE(A106,""PRICE"")"),383.9)</f>
        <v>383.9</v>
      </c>
      <c r="C106" s="14">
        <f>IFERROR(__xludf.DUMMYFUNCTION("GOOGLEFINANCE(A106,""PRICEOPEN"")"),388.5)</f>
        <v>388.5</v>
      </c>
      <c r="D106" s="14">
        <f>IFERROR(__xludf.DUMMYFUNCTION("GOOGLEFINANCE(A106,""HIGH"")"),389.1)</f>
        <v>389.1</v>
      </c>
      <c r="E106" s="14">
        <f>IFERROR(__xludf.DUMMYFUNCTION("GOOGLEFINANCE(A106,""LOW"")"),381.5)</f>
        <v>381.5</v>
      </c>
      <c r="F106" s="15" t="str">
        <f t="shared" si="8"/>
        <v/>
      </c>
      <c r="G106" s="16">
        <f>IFERROR(__xludf.DUMMYFUNCTION("GOOGLEFINANCE(A106,""CLOSEYEST"")"),388.5)</f>
        <v>388.5</v>
      </c>
      <c r="H106" s="17" t="str">
        <f t="shared" si="14"/>
        <v/>
      </c>
      <c r="I106" s="18">
        <f t="shared" si="9"/>
        <v>386.3666667</v>
      </c>
      <c r="J106" s="19">
        <f t="shared" si="10"/>
        <v>391.2333333</v>
      </c>
      <c r="K106" s="19"/>
      <c r="L106" s="19">
        <f t="shared" si="11"/>
        <v>383.6333333</v>
      </c>
      <c r="M106" s="19">
        <f t="shared" si="12"/>
        <v>393.9666667</v>
      </c>
      <c r="N106" s="19">
        <f t="shared" si="13"/>
        <v>378.7666667</v>
      </c>
    </row>
    <row r="107" ht="24.75" customHeight="1">
      <c r="A107" s="21" t="s">
        <v>80</v>
      </c>
      <c r="B107" s="13">
        <f>IFERROR(__xludf.DUMMYFUNCTION("GOOGLEFINANCE(A107,""PRICE"")"),29165.0)</f>
        <v>29165</v>
      </c>
      <c r="C107" s="14">
        <f>IFERROR(__xludf.DUMMYFUNCTION("GOOGLEFINANCE(A107,""PRICEOPEN"")"),29300.0)</f>
        <v>29300</v>
      </c>
      <c r="D107" s="14">
        <f>IFERROR(__xludf.DUMMYFUNCTION("GOOGLEFINANCE(A107,""HIGH"")"),29375.0)</f>
        <v>29375</v>
      </c>
      <c r="E107" s="14">
        <f>IFERROR(__xludf.DUMMYFUNCTION("GOOGLEFINANCE(A107,""LOW"")"),28990.0)</f>
        <v>28990</v>
      </c>
      <c r="F107" s="15" t="str">
        <f t="shared" si="8"/>
        <v/>
      </c>
      <c r="G107" s="16">
        <f>IFERROR(__xludf.DUMMYFUNCTION("GOOGLEFINANCE(A107,""CLOSEYEST"")"),29295.0)</f>
        <v>29295</v>
      </c>
      <c r="H107" s="17" t="str">
        <f t="shared" si="14"/>
        <v/>
      </c>
      <c r="I107" s="18">
        <f t="shared" si="9"/>
        <v>29220</v>
      </c>
      <c r="J107" s="19">
        <f t="shared" si="10"/>
        <v>29450</v>
      </c>
      <c r="K107" s="19"/>
      <c r="L107" s="19">
        <f t="shared" si="11"/>
        <v>29065</v>
      </c>
      <c r="M107" s="19">
        <f t="shared" si="12"/>
        <v>29605</v>
      </c>
      <c r="N107" s="19">
        <f t="shared" si="13"/>
        <v>28835</v>
      </c>
    </row>
    <row r="108" ht="24.75" customHeight="1">
      <c r="A108" s="21" t="s">
        <v>81</v>
      </c>
      <c r="B108" s="13">
        <f>IFERROR(__xludf.DUMMYFUNCTION("GOOGLEFINANCE(A108,""PRICE"")"),1148.0)</f>
        <v>1148</v>
      </c>
      <c r="C108" s="14">
        <f>IFERROR(__xludf.DUMMYFUNCTION("GOOGLEFINANCE(A108,""PRICEOPEN"")"),1148.6)</f>
        <v>1148.6</v>
      </c>
      <c r="D108" s="14">
        <f>IFERROR(__xludf.DUMMYFUNCTION("GOOGLEFINANCE(A108,""HIGH"")"),1152.4)</f>
        <v>1152.4</v>
      </c>
      <c r="E108" s="14">
        <f>IFERROR(__xludf.DUMMYFUNCTION("GOOGLEFINANCE(A108,""LOW"")"),1135.0)</f>
        <v>1135</v>
      </c>
      <c r="F108" s="15" t="str">
        <f t="shared" si="8"/>
        <v/>
      </c>
      <c r="G108" s="16">
        <f>IFERROR(__xludf.DUMMYFUNCTION("GOOGLEFINANCE(A108,""CLOSEYEST"")"),1148.6)</f>
        <v>1148.6</v>
      </c>
      <c r="H108" s="17" t="str">
        <f t="shared" si="14"/>
        <v/>
      </c>
      <c r="I108" s="18">
        <f t="shared" si="9"/>
        <v>1145.333333</v>
      </c>
      <c r="J108" s="19">
        <f t="shared" si="10"/>
        <v>1155.666667</v>
      </c>
      <c r="K108" s="19"/>
      <c r="L108" s="19">
        <f t="shared" si="11"/>
        <v>1138.266667</v>
      </c>
      <c r="M108" s="19">
        <f t="shared" si="12"/>
        <v>1162.733333</v>
      </c>
      <c r="N108" s="19">
        <f t="shared" si="13"/>
        <v>1127.933333</v>
      </c>
    </row>
    <row r="109" ht="24.75" customHeight="1">
      <c r="A109" s="21" t="s">
        <v>25</v>
      </c>
      <c r="B109" s="13">
        <f>IFERROR(__xludf.DUMMYFUNCTION("GOOGLEFINANCE(A109,""PRICE"")"),5985.0)</f>
        <v>5985</v>
      </c>
      <c r="C109" s="14">
        <f>IFERROR(__xludf.DUMMYFUNCTION("GOOGLEFINANCE(A109,""PRICEOPEN"")"),5965.0)</f>
        <v>5965</v>
      </c>
      <c r="D109" s="14">
        <f>IFERROR(__xludf.DUMMYFUNCTION("GOOGLEFINANCE(A109,""HIGH"")"),6014.0)</f>
        <v>6014</v>
      </c>
      <c r="E109" s="14">
        <f>IFERROR(__xludf.DUMMYFUNCTION("GOOGLEFINANCE(A109,""LOW"")"),5931.5)</f>
        <v>5931.5</v>
      </c>
      <c r="F109" s="15" t="str">
        <f t="shared" si="8"/>
        <v/>
      </c>
      <c r="G109" s="16">
        <f>IFERROR(__xludf.DUMMYFUNCTION("GOOGLEFINANCE(A109,""CLOSEYEST"")"),5966.5)</f>
        <v>5966.5</v>
      </c>
      <c r="H109" s="17" t="str">
        <f t="shared" si="14"/>
        <v/>
      </c>
      <c r="I109" s="18">
        <f t="shared" si="9"/>
        <v>5970.666667</v>
      </c>
      <c r="J109" s="19">
        <f t="shared" si="10"/>
        <v>6009.833333</v>
      </c>
      <c r="K109" s="19"/>
      <c r="L109" s="19">
        <f t="shared" si="11"/>
        <v>5927.333333</v>
      </c>
      <c r="M109" s="19">
        <f t="shared" si="12"/>
        <v>6053.166667</v>
      </c>
      <c r="N109" s="19">
        <f t="shared" si="13"/>
        <v>5888.166667</v>
      </c>
    </row>
    <row r="110" ht="24.75" customHeight="1">
      <c r="A110" s="21" t="s">
        <v>23</v>
      </c>
      <c r="B110" s="13">
        <f>IFERROR(__xludf.DUMMYFUNCTION("GOOGLEFINANCE(A110,""PRICE"")"),342.0)</f>
        <v>342</v>
      </c>
      <c r="C110" s="14">
        <f>IFERROR(__xludf.DUMMYFUNCTION("GOOGLEFINANCE(A110,""PRICEOPEN"")"),344.0)</f>
        <v>344</v>
      </c>
      <c r="D110" s="14">
        <f>IFERROR(__xludf.DUMMYFUNCTION("GOOGLEFINANCE(A110,""HIGH"")"),344.9)</f>
        <v>344.9</v>
      </c>
      <c r="E110" s="14">
        <f>IFERROR(__xludf.DUMMYFUNCTION("GOOGLEFINANCE(A110,""LOW"")"),337.6)</f>
        <v>337.6</v>
      </c>
      <c r="F110" s="15" t="str">
        <f t="shared" si="8"/>
        <v/>
      </c>
      <c r="G110" s="16">
        <f>IFERROR(__xludf.DUMMYFUNCTION("GOOGLEFINANCE(A110,""CLOSEYEST"")"),339.7)</f>
        <v>339.7</v>
      </c>
      <c r="H110" s="17" t="str">
        <f t="shared" si="14"/>
        <v>GAP UP</v>
      </c>
      <c r="I110" s="18">
        <f t="shared" si="9"/>
        <v>340.7333333</v>
      </c>
      <c r="J110" s="19">
        <f t="shared" si="10"/>
        <v>343.8666667</v>
      </c>
      <c r="K110" s="19"/>
      <c r="L110" s="19">
        <f t="shared" si="11"/>
        <v>336.5666667</v>
      </c>
      <c r="M110" s="19">
        <f t="shared" si="12"/>
        <v>348.0333333</v>
      </c>
      <c r="N110" s="19">
        <f t="shared" si="13"/>
        <v>333.4333333</v>
      </c>
    </row>
    <row r="111" ht="24.75" customHeight="1">
      <c r="A111" s="21" t="s">
        <v>82</v>
      </c>
      <c r="B111" s="13">
        <f>IFERROR(__xludf.DUMMYFUNCTION("GOOGLEFINANCE(A111,""PRICE"")"),899.0)</f>
        <v>899</v>
      </c>
      <c r="C111" s="14">
        <f>IFERROR(__xludf.DUMMYFUNCTION("GOOGLEFINANCE(A111,""PRICEOPEN"")"),875.7)</f>
        <v>875.7</v>
      </c>
      <c r="D111" s="14">
        <f>IFERROR(__xludf.DUMMYFUNCTION("GOOGLEFINANCE(A111,""HIGH"")"),899.0)</f>
        <v>899</v>
      </c>
      <c r="E111" s="14">
        <f>IFERROR(__xludf.DUMMYFUNCTION("GOOGLEFINANCE(A111,""LOW"")"),866.7)</f>
        <v>866.7</v>
      </c>
      <c r="F111" s="15" t="str">
        <f t="shared" si="8"/>
        <v/>
      </c>
      <c r="G111" s="16">
        <f>IFERROR(__xludf.DUMMYFUNCTION("GOOGLEFINANCE(A111,""CLOSEYEST"")"),875.7)</f>
        <v>875.7</v>
      </c>
      <c r="H111" s="17" t="str">
        <f t="shared" si="14"/>
        <v/>
      </c>
      <c r="I111" s="18">
        <f t="shared" si="9"/>
        <v>880.4666667</v>
      </c>
      <c r="J111" s="19">
        <f t="shared" si="10"/>
        <v>894.2333333</v>
      </c>
      <c r="K111" s="19"/>
      <c r="L111" s="19">
        <f t="shared" si="11"/>
        <v>861.9333333</v>
      </c>
      <c r="M111" s="19">
        <f t="shared" si="12"/>
        <v>912.7666667</v>
      </c>
      <c r="N111" s="19">
        <f t="shared" si="13"/>
        <v>848.1666667</v>
      </c>
    </row>
    <row r="112" ht="24.75" customHeight="1">
      <c r="A112" s="21" t="s">
        <v>83</v>
      </c>
      <c r="B112" s="13">
        <f>IFERROR(__xludf.DUMMYFUNCTION("GOOGLEFINANCE(A112,""PRICE"")"),1490.0)</f>
        <v>1490</v>
      </c>
      <c r="C112" s="14">
        <f>IFERROR(__xludf.DUMMYFUNCTION("GOOGLEFINANCE(A112,""PRICEOPEN"")"),1480.0)</f>
        <v>1480</v>
      </c>
      <c r="D112" s="14">
        <f>IFERROR(__xludf.DUMMYFUNCTION("GOOGLEFINANCE(A112,""HIGH"")"),1491.4)</f>
        <v>1491.4</v>
      </c>
      <c r="E112" s="14">
        <f>IFERROR(__xludf.DUMMYFUNCTION("GOOGLEFINANCE(A112,""LOW"")"),1472.0)</f>
        <v>1472</v>
      </c>
      <c r="F112" s="15" t="str">
        <f t="shared" si="8"/>
        <v/>
      </c>
      <c r="G112" s="16">
        <f>IFERROR(__xludf.DUMMYFUNCTION("GOOGLEFINANCE(A112,""CLOSEYEST"")"),1485.2)</f>
        <v>1485.2</v>
      </c>
      <c r="H112" s="17" t="str">
        <f t="shared" si="14"/>
        <v/>
      </c>
      <c r="I112" s="18">
        <f t="shared" si="9"/>
        <v>1482.866667</v>
      </c>
      <c r="J112" s="19">
        <f t="shared" si="10"/>
        <v>1493.733333</v>
      </c>
      <c r="K112" s="19"/>
      <c r="L112" s="19">
        <f t="shared" si="11"/>
        <v>1474.333333</v>
      </c>
      <c r="M112" s="19">
        <f t="shared" si="12"/>
        <v>1502.266667</v>
      </c>
      <c r="N112" s="19">
        <f t="shared" si="13"/>
        <v>1463.466667</v>
      </c>
    </row>
    <row r="113" ht="24.75" customHeight="1">
      <c r="A113" s="21" t="s">
        <v>84</v>
      </c>
      <c r="B113" s="13">
        <f>IFERROR(__xludf.DUMMYFUNCTION("GOOGLEFINANCE(A113,""PRICE"")"),602.0)</f>
        <v>602</v>
      </c>
      <c r="C113" s="14">
        <f>IFERROR(__xludf.DUMMYFUNCTION("GOOGLEFINANCE(A113,""PRICEOPEN"")"),596.5)</f>
        <v>596.5</v>
      </c>
      <c r="D113" s="14">
        <f>IFERROR(__xludf.DUMMYFUNCTION("GOOGLEFINANCE(A113,""HIGH"")"),602.4)</f>
        <v>602.4</v>
      </c>
      <c r="E113" s="14">
        <f>IFERROR(__xludf.DUMMYFUNCTION("GOOGLEFINANCE(A113,""LOW"")"),594.95)</f>
        <v>594.95</v>
      </c>
      <c r="F113" s="15" t="str">
        <f t="shared" si="8"/>
        <v/>
      </c>
      <c r="G113" s="16">
        <f>IFERROR(__xludf.DUMMYFUNCTION("GOOGLEFINANCE(A113,""CLOSEYEST"")"),596.6)</f>
        <v>596.6</v>
      </c>
      <c r="H113" s="17" t="str">
        <f t="shared" si="14"/>
        <v/>
      </c>
      <c r="I113" s="18">
        <f t="shared" si="9"/>
        <v>597.9833333</v>
      </c>
      <c r="J113" s="19">
        <f t="shared" si="10"/>
        <v>601.0166667</v>
      </c>
      <c r="K113" s="19"/>
      <c r="L113" s="19">
        <f t="shared" si="11"/>
        <v>593.5666667</v>
      </c>
      <c r="M113" s="19">
        <f t="shared" si="12"/>
        <v>605.4333333</v>
      </c>
      <c r="N113" s="19">
        <f t="shared" si="13"/>
        <v>590.5333333</v>
      </c>
    </row>
    <row r="114" ht="24.75" customHeight="1">
      <c r="A114" s="21" t="s">
        <v>85</v>
      </c>
      <c r="B114" s="13">
        <f>IFERROR(__xludf.DUMMYFUNCTION("GOOGLEFINANCE(A114,""PRICE"")"),3168.0)</f>
        <v>3168</v>
      </c>
      <c r="C114" s="14">
        <f>IFERROR(__xludf.DUMMYFUNCTION("GOOGLEFINANCE(A114,""PRICEOPEN"")"),3121.5)</f>
        <v>3121.5</v>
      </c>
      <c r="D114" s="14">
        <f>IFERROR(__xludf.DUMMYFUNCTION("GOOGLEFINANCE(A114,""HIGH"")"),3174.8)</f>
        <v>3174.8</v>
      </c>
      <c r="E114" s="14">
        <f>IFERROR(__xludf.DUMMYFUNCTION("GOOGLEFINANCE(A114,""LOW"")"),3107.3)</f>
        <v>3107.3</v>
      </c>
      <c r="F114" s="15" t="str">
        <f t="shared" si="8"/>
        <v/>
      </c>
      <c r="G114" s="16">
        <f>IFERROR(__xludf.DUMMYFUNCTION("GOOGLEFINANCE(A114,""CLOSEYEST"")"),3121.5)</f>
        <v>3121.5</v>
      </c>
      <c r="H114" s="17" t="str">
        <f t="shared" si="14"/>
        <v/>
      </c>
      <c r="I114" s="18">
        <f t="shared" si="9"/>
        <v>3134.533333</v>
      </c>
      <c r="J114" s="19">
        <f t="shared" si="10"/>
        <v>3161.766667</v>
      </c>
      <c r="K114" s="19"/>
      <c r="L114" s="19">
        <f t="shared" si="11"/>
        <v>3094.266667</v>
      </c>
      <c r="M114" s="19">
        <f t="shared" si="12"/>
        <v>3202.033333</v>
      </c>
      <c r="N114" s="19">
        <f t="shared" si="13"/>
        <v>3067.033333</v>
      </c>
    </row>
    <row r="115" ht="24.75" customHeight="1">
      <c r="A115" s="21" t="s">
        <v>86</v>
      </c>
      <c r="B115" s="13">
        <f>IFERROR(__xludf.DUMMYFUNCTION("GOOGLEFINANCE(A115,""PRICE"")"),5652.0)</f>
        <v>5652</v>
      </c>
      <c r="C115" s="14">
        <f>IFERROR(__xludf.DUMMYFUNCTION("GOOGLEFINANCE(A115,""PRICEOPEN"")"),5602.0)</f>
        <v>5602</v>
      </c>
      <c r="D115" s="14">
        <f>IFERROR(__xludf.DUMMYFUNCTION("GOOGLEFINANCE(A115,""HIGH"")"),5690.0)</f>
        <v>5690</v>
      </c>
      <c r="E115" s="14">
        <f>IFERROR(__xludf.DUMMYFUNCTION("GOOGLEFINANCE(A115,""LOW"")"),5602.0)</f>
        <v>5602</v>
      </c>
      <c r="F115" s="15" t="str">
        <f t="shared" si="8"/>
        <v>BUY</v>
      </c>
      <c r="G115" s="16">
        <f>IFERROR(__xludf.DUMMYFUNCTION("GOOGLEFINANCE(A115,""CLOSEYEST"")"),5606.0)</f>
        <v>5606</v>
      </c>
      <c r="H115" s="17" t="str">
        <f t="shared" si="14"/>
        <v/>
      </c>
      <c r="I115" s="18">
        <f t="shared" si="9"/>
        <v>5632.666667</v>
      </c>
      <c r="J115" s="19">
        <f t="shared" si="10"/>
        <v>5663.333333</v>
      </c>
      <c r="K115" s="19"/>
      <c r="L115" s="19">
        <f t="shared" si="11"/>
        <v>5575.333333</v>
      </c>
      <c r="M115" s="19">
        <f t="shared" si="12"/>
        <v>5720.666667</v>
      </c>
      <c r="N115" s="19">
        <f t="shared" si="13"/>
        <v>5544.666667</v>
      </c>
    </row>
    <row r="116" ht="24.75" customHeight="1">
      <c r="A116" s="21" t="s">
        <v>87</v>
      </c>
      <c r="B116" s="13">
        <f>IFERROR(__xludf.DUMMYFUNCTION("GOOGLEFINANCE(A116,""PRICE"")"),575.6)</f>
        <v>575.6</v>
      </c>
      <c r="C116" s="14">
        <f>IFERROR(__xludf.DUMMYFUNCTION("GOOGLEFINANCE(A116,""PRICEOPEN"")"),573.9)</f>
        <v>573.9</v>
      </c>
      <c r="D116" s="14">
        <f>IFERROR(__xludf.DUMMYFUNCTION("GOOGLEFINANCE(A116,""HIGH"")"),579.95)</f>
        <v>579.95</v>
      </c>
      <c r="E116" s="14">
        <f>IFERROR(__xludf.DUMMYFUNCTION("GOOGLEFINANCE(A116,""LOW"")"),570.3)</f>
        <v>570.3</v>
      </c>
      <c r="F116" s="15" t="str">
        <f t="shared" si="8"/>
        <v/>
      </c>
      <c r="G116" s="16">
        <f>IFERROR(__xludf.DUMMYFUNCTION("GOOGLEFINANCE(A116,""CLOSEYEST"")"),571.1)</f>
        <v>571.1</v>
      </c>
      <c r="H116" s="17" t="str">
        <f t="shared" si="14"/>
        <v/>
      </c>
      <c r="I116" s="18">
        <f t="shared" si="9"/>
        <v>573.7833333</v>
      </c>
      <c r="J116" s="19">
        <f t="shared" si="10"/>
        <v>577.2666667</v>
      </c>
      <c r="K116" s="19"/>
      <c r="L116" s="19">
        <f t="shared" si="11"/>
        <v>567.6166667</v>
      </c>
      <c r="M116" s="19">
        <f t="shared" si="12"/>
        <v>583.4333333</v>
      </c>
      <c r="N116" s="19">
        <f t="shared" si="13"/>
        <v>564.1333333</v>
      </c>
    </row>
    <row r="117" ht="24.75" customHeight="1">
      <c r="A117" s="21" t="s">
        <v>88</v>
      </c>
      <c r="B117" s="13" t="str">
        <f>IFERROR(__xludf.DUMMYFUNCTION("GOOGLEFINANCE(A117,""PRICE"")"),"#N/A")</f>
        <v>#N/A</v>
      </c>
      <c r="C117" s="14" t="str">
        <f>IFERROR(__xludf.DUMMYFUNCTION("GOOGLEFINANCE(A117,""PRICEOPEN"")"),"#N/A")</f>
        <v>#N/A</v>
      </c>
      <c r="D117" s="14" t="str">
        <f>IFERROR(__xludf.DUMMYFUNCTION("GOOGLEFINANCE(A117,""HIGH"")"),"#N/A")</f>
        <v>#N/A</v>
      </c>
      <c r="E117" s="14" t="str">
        <f>IFERROR(__xludf.DUMMYFUNCTION("GOOGLEFINANCE(A117,""LOW"")"),"#N/A")</f>
        <v>#N/A</v>
      </c>
      <c r="F117" s="15" t="str">
        <f t="shared" si="8"/>
        <v>#N/A</v>
      </c>
      <c r="G117" s="16" t="str">
        <f>IFERROR(__xludf.DUMMYFUNCTION("GOOGLEFINANCE(A117,""CLOSEYEST"")"),"#N/A")</f>
        <v>#N/A</v>
      </c>
      <c r="H117" s="17" t="str">
        <f t="shared" si="14"/>
        <v>#N/A</v>
      </c>
      <c r="I117" s="18" t="str">
        <f t="shared" si="9"/>
        <v>#N/A</v>
      </c>
      <c r="J117" s="19" t="str">
        <f t="shared" si="10"/>
        <v>#N/A</v>
      </c>
      <c r="K117" s="19"/>
      <c r="L117" s="19" t="str">
        <f t="shared" si="11"/>
        <v>#N/A</v>
      </c>
      <c r="M117" s="19" t="str">
        <f t="shared" si="12"/>
        <v>#N/A</v>
      </c>
      <c r="N117" s="19" t="str">
        <f t="shared" si="13"/>
        <v>#N/A</v>
      </c>
    </row>
    <row r="118" ht="24.75" customHeight="1">
      <c r="A118" s="21" t="s">
        <v>29</v>
      </c>
      <c r="B118" s="13">
        <f>IFERROR(__xludf.DUMMYFUNCTION("GOOGLEFINANCE(A118,""PRICE"")"),1247.8)</f>
        <v>1247.8</v>
      </c>
      <c r="C118" s="14">
        <f>IFERROR(__xludf.DUMMYFUNCTION("GOOGLEFINANCE(A118,""PRICEOPEN"")"),1243.9)</f>
        <v>1243.9</v>
      </c>
      <c r="D118" s="14">
        <f>IFERROR(__xludf.DUMMYFUNCTION("GOOGLEFINANCE(A118,""HIGH"")"),1265.4)</f>
        <v>1265.4</v>
      </c>
      <c r="E118" s="14">
        <f>IFERROR(__xludf.DUMMYFUNCTION("GOOGLEFINANCE(A118,""LOW"")"),1240.0)</f>
        <v>1240</v>
      </c>
      <c r="F118" s="15" t="str">
        <f t="shared" si="8"/>
        <v/>
      </c>
      <c r="G118" s="16">
        <f>IFERROR(__xludf.DUMMYFUNCTION("GOOGLEFINANCE(A118,""CLOSEYEST"")"),1244.7)</f>
        <v>1244.7</v>
      </c>
      <c r="H118" s="17" t="str">
        <f t="shared" si="14"/>
        <v/>
      </c>
      <c r="I118" s="18">
        <f t="shared" si="9"/>
        <v>1250.033333</v>
      </c>
      <c r="J118" s="19">
        <f t="shared" si="10"/>
        <v>1260.066667</v>
      </c>
      <c r="K118" s="19"/>
      <c r="L118" s="19">
        <f t="shared" si="11"/>
        <v>1234.666667</v>
      </c>
      <c r="M118" s="19">
        <f t="shared" si="12"/>
        <v>1275.433333</v>
      </c>
      <c r="N118" s="19">
        <f t="shared" si="13"/>
        <v>1224.633333</v>
      </c>
    </row>
    <row r="119" ht="24.75" customHeight="1">
      <c r="A119" s="21" t="s">
        <v>30</v>
      </c>
      <c r="B119" s="13">
        <f>IFERROR(__xludf.DUMMYFUNCTION("GOOGLEFINANCE(A119,""PRICE"")"),6935.0)</f>
        <v>6935</v>
      </c>
      <c r="C119" s="14">
        <f>IFERROR(__xludf.DUMMYFUNCTION("GOOGLEFINANCE(A119,""PRICEOPEN"")"),7000.0)</f>
        <v>7000</v>
      </c>
      <c r="D119" s="14">
        <f>IFERROR(__xludf.DUMMYFUNCTION("GOOGLEFINANCE(A119,""HIGH"")"),7008.5)</f>
        <v>7008.5</v>
      </c>
      <c r="E119" s="14">
        <f>IFERROR(__xludf.DUMMYFUNCTION("GOOGLEFINANCE(A119,""LOW"")"),6850.0)</f>
        <v>6850</v>
      </c>
      <c r="F119" s="15" t="str">
        <f t="shared" si="8"/>
        <v/>
      </c>
      <c r="G119" s="16">
        <f>IFERROR(__xludf.DUMMYFUNCTION("GOOGLEFINANCE(A119,""CLOSEYEST"")"),7021.5)</f>
        <v>7021.5</v>
      </c>
      <c r="H119" s="17" t="str">
        <f t="shared" si="14"/>
        <v/>
      </c>
      <c r="I119" s="18">
        <f t="shared" si="9"/>
        <v>6960</v>
      </c>
      <c r="J119" s="19">
        <f t="shared" si="10"/>
        <v>7070</v>
      </c>
      <c r="K119" s="19"/>
      <c r="L119" s="19">
        <f t="shared" si="11"/>
        <v>6911.5</v>
      </c>
      <c r="M119" s="19">
        <f t="shared" si="12"/>
        <v>7118.5</v>
      </c>
      <c r="N119" s="19">
        <f t="shared" si="13"/>
        <v>6801.5</v>
      </c>
    </row>
    <row r="120" ht="24.75" customHeight="1">
      <c r="A120" s="21" t="s">
        <v>89</v>
      </c>
      <c r="B120" s="13">
        <f>IFERROR(__xludf.DUMMYFUNCTION("GOOGLEFINANCE(A120,""PRICE"")"),543.0)</f>
        <v>543</v>
      </c>
      <c r="C120" s="14">
        <f>IFERROR(__xludf.DUMMYFUNCTION("GOOGLEFINANCE(A120,""PRICEOPEN"")"),528.0)</f>
        <v>528</v>
      </c>
      <c r="D120" s="14">
        <f>IFERROR(__xludf.DUMMYFUNCTION("GOOGLEFINANCE(A120,""HIGH"")"),543.45)</f>
        <v>543.45</v>
      </c>
      <c r="E120" s="14">
        <f>IFERROR(__xludf.DUMMYFUNCTION("GOOGLEFINANCE(A120,""LOW"")"),527.0)</f>
        <v>527</v>
      </c>
      <c r="F120" s="15" t="str">
        <f t="shared" si="8"/>
        <v/>
      </c>
      <c r="G120" s="16">
        <f>IFERROR(__xludf.DUMMYFUNCTION("GOOGLEFINANCE(A120,""CLOSEYEST"")"),529.65)</f>
        <v>529.65</v>
      </c>
      <c r="H120" s="17" t="str">
        <f t="shared" si="14"/>
        <v/>
      </c>
      <c r="I120" s="18">
        <f t="shared" si="9"/>
        <v>533.3666667</v>
      </c>
      <c r="J120" s="19">
        <f t="shared" si="10"/>
        <v>539.7333333</v>
      </c>
      <c r="K120" s="19"/>
      <c r="L120" s="19">
        <f t="shared" si="11"/>
        <v>523.2833333</v>
      </c>
      <c r="M120" s="19">
        <f t="shared" si="12"/>
        <v>549.8166667</v>
      </c>
      <c r="N120" s="19">
        <f t="shared" si="13"/>
        <v>516.9166667</v>
      </c>
    </row>
    <row r="121" ht="24.75" customHeight="1">
      <c r="A121" s="21" t="s">
        <v>90</v>
      </c>
      <c r="B121" s="13" t="str">
        <f>IFERROR(__xludf.DUMMYFUNCTION("GOOGLEFINANCE(A121,""PRICE"")"),"#N/A")</f>
        <v>#N/A</v>
      </c>
      <c r="C121" s="14" t="str">
        <f>IFERROR(__xludf.DUMMYFUNCTION("GOOGLEFINANCE(A121,""PRICEOPEN"")"),"#N/A")</f>
        <v>#N/A</v>
      </c>
      <c r="D121" s="14" t="str">
        <f>IFERROR(__xludf.DUMMYFUNCTION("GOOGLEFINANCE(A121,""HIGH"")"),"#N/A")</f>
        <v>#N/A</v>
      </c>
      <c r="E121" s="14" t="str">
        <f>IFERROR(__xludf.DUMMYFUNCTION("GOOGLEFINANCE(A121,""LOW"")"),"#N/A")</f>
        <v>#N/A</v>
      </c>
      <c r="F121" s="15" t="str">
        <f t="shared" si="8"/>
        <v>#N/A</v>
      </c>
      <c r="G121" s="16" t="str">
        <f>IFERROR(__xludf.DUMMYFUNCTION("GOOGLEFINANCE(A121,""CLOSEYEST"")"),"#N/A")</f>
        <v>#N/A</v>
      </c>
      <c r="H121" s="17" t="str">
        <f t="shared" si="14"/>
        <v>#N/A</v>
      </c>
      <c r="I121" s="18" t="str">
        <f t="shared" si="9"/>
        <v>#N/A</v>
      </c>
      <c r="J121" s="19" t="str">
        <f t="shared" si="10"/>
        <v>#N/A</v>
      </c>
      <c r="K121" s="19"/>
      <c r="L121" s="19" t="str">
        <f t="shared" si="11"/>
        <v>#N/A</v>
      </c>
      <c r="M121" s="19" t="str">
        <f t="shared" si="12"/>
        <v>#N/A</v>
      </c>
      <c r="N121" s="19" t="str">
        <f t="shared" si="13"/>
        <v>#N/A</v>
      </c>
    </row>
    <row r="122" ht="24.75" customHeight="1">
      <c r="A122" s="21" t="s">
        <v>91</v>
      </c>
      <c r="B122" s="13">
        <f>IFERROR(__xludf.DUMMYFUNCTION("GOOGLEFINANCE(A122,""PRICE"")"),395.0)</f>
        <v>395</v>
      </c>
      <c r="C122" s="14">
        <f>IFERROR(__xludf.DUMMYFUNCTION("GOOGLEFINANCE(A122,""PRICEOPEN"")"),392.0)</f>
        <v>392</v>
      </c>
      <c r="D122" s="14">
        <f>IFERROR(__xludf.DUMMYFUNCTION("GOOGLEFINANCE(A122,""HIGH"")"),395.5)</f>
        <v>395.5</v>
      </c>
      <c r="E122" s="14">
        <f>IFERROR(__xludf.DUMMYFUNCTION("GOOGLEFINANCE(A122,""LOW"")"),390.0)</f>
        <v>390</v>
      </c>
      <c r="F122" s="15" t="str">
        <f t="shared" si="8"/>
        <v/>
      </c>
      <c r="G122" s="16">
        <f>IFERROR(__xludf.DUMMYFUNCTION("GOOGLEFINANCE(A122,""CLOSEYEST"")"),391.15)</f>
        <v>391.15</v>
      </c>
      <c r="H122" s="17" t="str">
        <f t="shared" si="14"/>
        <v/>
      </c>
      <c r="I122" s="18">
        <f t="shared" si="9"/>
        <v>392.2166667</v>
      </c>
      <c r="J122" s="19">
        <f t="shared" si="10"/>
        <v>394.4333333</v>
      </c>
      <c r="K122" s="19"/>
      <c r="L122" s="19">
        <f t="shared" si="11"/>
        <v>388.9333333</v>
      </c>
      <c r="M122" s="19">
        <f t="shared" si="12"/>
        <v>397.7166667</v>
      </c>
      <c r="N122" s="19">
        <f t="shared" si="13"/>
        <v>386.7166667</v>
      </c>
    </row>
    <row r="123" ht="24.75" customHeight="1">
      <c r="A123" s="21" t="s">
        <v>92</v>
      </c>
      <c r="B123" s="13">
        <f>IFERROR(__xludf.DUMMYFUNCTION("GOOGLEFINANCE(A123,""PRICE"")"),2918.0)</f>
        <v>2918</v>
      </c>
      <c r="C123" s="14">
        <f>IFERROR(__xludf.DUMMYFUNCTION("GOOGLEFINANCE(A123,""PRICEOPEN"")"),2890.1)</f>
        <v>2890.1</v>
      </c>
      <c r="D123" s="14">
        <f>IFERROR(__xludf.DUMMYFUNCTION("GOOGLEFINANCE(A123,""HIGH"")"),2925.3)</f>
        <v>2925.3</v>
      </c>
      <c r="E123" s="14">
        <f>IFERROR(__xludf.DUMMYFUNCTION("GOOGLEFINANCE(A123,""LOW"")"),2885.3)</f>
        <v>2885.3</v>
      </c>
      <c r="F123" s="15" t="str">
        <f t="shared" si="8"/>
        <v/>
      </c>
      <c r="G123" s="16">
        <f>IFERROR(__xludf.DUMMYFUNCTION("GOOGLEFINANCE(A123,""CLOSEYEST"")"),2907.1)</f>
        <v>2907.1</v>
      </c>
      <c r="H123" s="17" t="str">
        <f t="shared" si="14"/>
        <v/>
      </c>
      <c r="I123" s="18">
        <f t="shared" si="9"/>
        <v>2905.9</v>
      </c>
      <c r="J123" s="19">
        <f t="shared" si="10"/>
        <v>2926.5</v>
      </c>
      <c r="K123" s="19"/>
      <c r="L123" s="19">
        <f t="shared" si="11"/>
        <v>2886.5</v>
      </c>
      <c r="M123" s="19">
        <f t="shared" si="12"/>
        <v>2945.9</v>
      </c>
      <c r="N123" s="19">
        <f t="shared" si="13"/>
        <v>2865.9</v>
      </c>
    </row>
    <row r="124" ht="24.75" customHeight="1">
      <c r="A124" s="21" t="s">
        <v>26</v>
      </c>
      <c r="B124" s="13">
        <f>IFERROR(__xludf.DUMMYFUNCTION("GOOGLEFINANCE(A124,""PRICE"")"),1517.5)</f>
        <v>1517.5</v>
      </c>
      <c r="C124" s="14">
        <f>IFERROR(__xludf.DUMMYFUNCTION("GOOGLEFINANCE(A124,""PRICEOPEN"")"),1522.0)</f>
        <v>1522</v>
      </c>
      <c r="D124" s="14">
        <f>IFERROR(__xludf.DUMMYFUNCTION("GOOGLEFINANCE(A124,""HIGH"")"),1537.8)</f>
        <v>1537.8</v>
      </c>
      <c r="E124" s="14">
        <f>IFERROR(__xludf.DUMMYFUNCTION("GOOGLEFINANCE(A124,""LOW"")"),1509.5)</f>
        <v>1509.5</v>
      </c>
      <c r="F124" s="15" t="str">
        <f t="shared" si="8"/>
        <v/>
      </c>
      <c r="G124" s="16">
        <f>IFERROR(__xludf.DUMMYFUNCTION("GOOGLEFINANCE(A124,""CLOSEYEST"")"),1513.0)</f>
        <v>1513</v>
      </c>
      <c r="H124" s="17" t="str">
        <f t="shared" si="14"/>
        <v/>
      </c>
      <c r="I124" s="18">
        <f t="shared" si="9"/>
        <v>1520.1</v>
      </c>
      <c r="J124" s="19">
        <f t="shared" si="10"/>
        <v>1530.7</v>
      </c>
      <c r="K124" s="19"/>
      <c r="L124" s="19">
        <f t="shared" si="11"/>
        <v>1502.4</v>
      </c>
      <c r="M124" s="19">
        <f t="shared" si="12"/>
        <v>1548.4</v>
      </c>
      <c r="N124" s="19">
        <f t="shared" si="13"/>
        <v>1491.8</v>
      </c>
    </row>
    <row r="125" ht="24.75" customHeight="1">
      <c r="A125" s="21" t="s">
        <v>93</v>
      </c>
      <c r="B125" s="13">
        <f>IFERROR(__xludf.DUMMYFUNCTION("GOOGLEFINANCE(A125,""PRICE"")"),354.6)</f>
        <v>354.6</v>
      </c>
      <c r="C125" s="14">
        <f>IFERROR(__xludf.DUMMYFUNCTION("GOOGLEFINANCE(A125,""PRICEOPEN"")"),350.1)</f>
        <v>350.1</v>
      </c>
      <c r="D125" s="14">
        <f>IFERROR(__xludf.DUMMYFUNCTION("GOOGLEFINANCE(A125,""HIGH"")"),355.4)</f>
        <v>355.4</v>
      </c>
      <c r="E125" s="14">
        <f>IFERROR(__xludf.DUMMYFUNCTION("GOOGLEFINANCE(A125,""LOW"")"),348.3)</f>
        <v>348.3</v>
      </c>
      <c r="F125" s="15" t="str">
        <f t="shared" si="8"/>
        <v/>
      </c>
      <c r="G125" s="16">
        <f>IFERROR(__xludf.DUMMYFUNCTION("GOOGLEFINANCE(A125,""CLOSEYEST"")"),352.05)</f>
        <v>352.05</v>
      </c>
      <c r="H125" s="17" t="str">
        <f t="shared" si="14"/>
        <v/>
      </c>
      <c r="I125" s="18">
        <f t="shared" si="9"/>
        <v>351.9166667</v>
      </c>
      <c r="J125" s="19">
        <f t="shared" si="10"/>
        <v>355.5333333</v>
      </c>
      <c r="K125" s="19"/>
      <c r="L125" s="19">
        <f t="shared" si="11"/>
        <v>348.4333333</v>
      </c>
      <c r="M125" s="19">
        <f t="shared" si="12"/>
        <v>359.0166667</v>
      </c>
      <c r="N125" s="19">
        <f t="shared" si="13"/>
        <v>344.8166667</v>
      </c>
    </row>
    <row r="126" ht="24.75" customHeight="1">
      <c r="A126" s="21" t="s">
        <v>17</v>
      </c>
      <c r="B126" s="13">
        <f>IFERROR(__xludf.DUMMYFUNCTION("GOOGLEFINANCE(A126,""PRICE"")"),7450.0)</f>
        <v>7450</v>
      </c>
      <c r="C126" s="14">
        <f>IFERROR(__xludf.DUMMYFUNCTION("GOOGLEFINANCE(A126,""PRICEOPEN"")"),7441.0)</f>
        <v>7441</v>
      </c>
      <c r="D126" s="14">
        <f>IFERROR(__xludf.DUMMYFUNCTION("GOOGLEFINANCE(A126,""HIGH"")"),7484.0)</f>
        <v>7484</v>
      </c>
      <c r="E126" s="14">
        <f>IFERROR(__xludf.DUMMYFUNCTION("GOOGLEFINANCE(A126,""LOW"")"),7404.0)</f>
        <v>7404</v>
      </c>
      <c r="F126" s="15" t="str">
        <f t="shared" si="8"/>
        <v/>
      </c>
      <c r="G126" s="16">
        <f>IFERROR(__xludf.DUMMYFUNCTION("GOOGLEFINANCE(A126,""CLOSEYEST"")"),7441.0)</f>
        <v>7441</v>
      </c>
      <c r="H126" s="17" t="str">
        <f t="shared" si="14"/>
        <v/>
      </c>
      <c r="I126" s="18">
        <f t="shared" si="9"/>
        <v>7443</v>
      </c>
      <c r="J126" s="19">
        <f t="shared" si="10"/>
        <v>7482</v>
      </c>
      <c r="K126" s="19"/>
      <c r="L126" s="19">
        <f t="shared" si="11"/>
        <v>7402</v>
      </c>
      <c r="M126" s="19">
        <f t="shared" si="12"/>
        <v>7523</v>
      </c>
      <c r="N126" s="19">
        <f t="shared" si="13"/>
        <v>7363</v>
      </c>
    </row>
    <row r="127" ht="24.75" customHeight="1">
      <c r="A127" s="21" t="s">
        <v>42</v>
      </c>
      <c r="B127" s="13">
        <f>IFERROR(__xludf.DUMMYFUNCTION("GOOGLEFINANCE(A127,""PRICE"")"),748.0)</f>
        <v>748</v>
      </c>
      <c r="C127" s="14">
        <f>IFERROR(__xludf.DUMMYFUNCTION("GOOGLEFINANCE(A127,""PRICEOPEN"")"),743.2)</f>
        <v>743.2</v>
      </c>
      <c r="D127" s="14">
        <f>IFERROR(__xludf.DUMMYFUNCTION("GOOGLEFINANCE(A127,""HIGH"")"),758.95)</f>
        <v>758.95</v>
      </c>
      <c r="E127" s="14">
        <f>IFERROR(__xludf.DUMMYFUNCTION("GOOGLEFINANCE(A127,""LOW"")"),741.75)</f>
        <v>741.75</v>
      </c>
      <c r="F127" s="15" t="str">
        <f t="shared" si="8"/>
        <v/>
      </c>
      <c r="G127" s="16">
        <f>IFERROR(__xludf.DUMMYFUNCTION("GOOGLEFINANCE(A127,""CLOSEYEST"")"),743.15)</f>
        <v>743.15</v>
      </c>
      <c r="H127" s="17" t="str">
        <f t="shared" si="14"/>
        <v/>
      </c>
      <c r="I127" s="18">
        <f t="shared" si="9"/>
        <v>747.95</v>
      </c>
      <c r="J127" s="19">
        <f t="shared" si="10"/>
        <v>754.15</v>
      </c>
      <c r="K127" s="19"/>
      <c r="L127" s="19">
        <f t="shared" si="11"/>
        <v>736.95</v>
      </c>
      <c r="M127" s="19">
        <f t="shared" si="12"/>
        <v>765.15</v>
      </c>
      <c r="N127" s="19">
        <f t="shared" si="13"/>
        <v>730.75</v>
      </c>
    </row>
    <row r="128" ht="24.75" customHeight="1">
      <c r="A128" s="21" t="s">
        <v>94</v>
      </c>
      <c r="B128" s="13">
        <f>IFERROR(__xludf.DUMMYFUNCTION("GOOGLEFINANCE(A128,""PRICE"")"),1334.0)</f>
        <v>1334</v>
      </c>
      <c r="C128" s="14">
        <f>IFERROR(__xludf.DUMMYFUNCTION("GOOGLEFINANCE(A128,""PRICEOPEN"")"),1341.0)</f>
        <v>1341</v>
      </c>
      <c r="D128" s="14">
        <f>IFERROR(__xludf.DUMMYFUNCTION("GOOGLEFINANCE(A128,""HIGH"")"),1342.7)</f>
        <v>1342.7</v>
      </c>
      <c r="E128" s="14">
        <f>IFERROR(__xludf.DUMMYFUNCTION("GOOGLEFINANCE(A128,""LOW"")"),1320.0)</f>
        <v>1320</v>
      </c>
      <c r="F128" s="15" t="str">
        <f t="shared" si="8"/>
        <v/>
      </c>
      <c r="G128" s="16">
        <f>IFERROR(__xludf.DUMMYFUNCTION("GOOGLEFINANCE(A128,""CLOSEYEST"")"),1338.6)</f>
        <v>1338.6</v>
      </c>
      <c r="H128" s="17" t="str">
        <f t="shared" si="14"/>
        <v/>
      </c>
      <c r="I128" s="18">
        <f t="shared" si="9"/>
        <v>1333.766667</v>
      </c>
      <c r="J128" s="19">
        <f t="shared" si="10"/>
        <v>1347.533333</v>
      </c>
      <c r="K128" s="19"/>
      <c r="L128" s="19">
        <f t="shared" si="11"/>
        <v>1324.833333</v>
      </c>
      <c r="M128" s="19">
        <f t="shared" si="12"/>
        <v>1356.466667</v>
      </c>
      <c r="N128" s="19">
        <f t="shared" si="13"/>
        <v>1311.066667</v>
      </c>
    </row>
    <row r="129" ht="24.75" customHeight="1">
      <c r="A129" s="21" t="s">
        <v>95</v>
      </c>
      <c r="B129" s="13">
        <f>IFERROR(__xludf.DUMMYFUNCTION("GOOGLEFINANCE(A129,""PRICE"")"),1910.6)</f>
        <v>1910.6</v>
      </c>
      <c r="C129" s="14">
        <f>IFERROR(__xludf.DUMMYFUNCTION("GOOGLEFINANCE(A129,""PRICEOPEN"")"),1912.8)</f>
        <v>1912.8</v>
      </c>
      <c r="D129" s="14">
        <f>IFERROR(__xludf.DUMMYFUNCTION("GOOGLEFINANCE(A129,""HIGH"")"),1922.0)</f>
        <v>1922</v>
      </c>
      <c r="E129" s="14">
        <f>IFERROR(__xludf.DUMMYFUNCTION("GOOGLEFINANCE(A129,""LOW"")"),1892.2)</f>
        <v>1892.2</v>
      </c>
      <c r="F129" s="15" t="str">
        <f t="shared" si="8"/>
        <v/>
      </c>
      <c r="G129" s="16">
        <f>IFERROR(__xludf.DUMMYFUNCTION("GOOGLEFINANCE(A129,""CLOSEYEST"")"),1903.6)</f>
        <v>1903.6</v>
      </c>
      <c r="H129" s="17" t="str">
        <f t="shared" si="14"/>
        <v/>
      </c>
      <c r="I129" s="18">
        <f t="shared" si="9"/>
        <v>1905.933333</v>
      </c>
      <c r="J129" s="19">
        <f t="shared" si="10"/>
        <v>1919.666667</v>
      </c>
      <c r="K129" s="19"/>
      <c r="L129" s="19">
        <f t="shared" si="11"/>
        <v>1889.866667</v>
      </c>
      <c r="M129" s="19">
        <f t="shared" si="12"/>
        <v>1935.733333</v>
      </c>
      <c r="N129" s="19">
        <f t="shared" si="13"/>
        <v>1876.133333</v>
      </c>
    </row>
    <row r="130" ht="24.75" customHeight="1">
      <c r="A130" s="21" t="s">
        <v>96</v>
      </c>
      <c r="B130" s="13">
        <f>IFERROR(__xludf.DUMMYFUNCTION("GOOGLEFINANCE(A130,""PRICE"")"),708.4)</f>
        <v>708.4</v>
      </c>
      <c r="C130" s="14">
        <f>IFERROR(__xludf.DUMMYFUNCTION("GOOGLEFINANCE(A130,""PRICEOPEN"")"),706.15)</f>
        <v>706.15</v>
      </c>
      <c r="D130" s="14">
        <f>IFERROR(__xludf.DUMMYFUNCTION("GOOGLEFINANCE(A130,""HIGH"")"),710.5)</f>
        <v>710.5</v>
      </c>
      <c r="E130" s="14">
        <f>IFERROR(__xludf.DUMMYFUNCTION("GOOGLEFINANCE(A130,""LOW"")"),704.1)</f>
        <v>704.1</v>
      </c>
      <c r="F130" s="15" t="str">
        <f t="shared" si="8"/>
        <v/>
      </c>
      <c r="G130" s="16">
        <f>IFERROR(__xludf.DUMMYFUNCTION("GOOGLEFINANCE(A130,""CLOSEYEST"")"),706.15)</f>
        <v>706.15</v>
      </c>
      <c r="H130" s="17" t="str">
        <f t="shared" si="14"/>
        <v/>
      </c>
      <c r="I130" s="18">
        <f t="shared" si="9"/>
        <v>706.9166667</v>
      </c>
      <c r="J130" s="19">
        <f t="shared" si="10"/>
        <v>709.7333333</v>
      </c>
      <c r="K130" s="19"/>
      <c r="L130" s="19">
        <f t="shared" si="11"/>
        <v>703.3333333</v>
      </c>
      <c r="M130" s="19">
        <f t="shared" si="12"/>
        <v>713.3166667</v>
      </c>
      <c r="N130" s="19">
        <f t="shared" si="13"/>
        <v>700.5166667</v>
      </c>
    </row>
    <row r="131" ht="24.75" customHeight="1">
      <c r="A131" s="21" t="s">
        <v>58</v>
      </c>
      <c r="B131" s="13">
        <f>IFERROR(__xludf.DUMMYFUNCTION("GOOGLEFINANCE(A131,""PRICE"")"),1138.5)</f>
        <v>1138.5</v>
      </c>
      <c r="C131" s="14">
        <f>IFERROR(__xludf.DUMMYFUNCTION("GOOGLEFINANCE(A131,""PRICEOPEN"")"),1146.0)</f>
        <v>1146</v>
      </c>
      <c r="D131" s="14">
        <f>IFERROR(__xludf.DUMMYFUNCTION("GOOGLEFINANCE(A131,""HIGH"")"),1150.0)</f>
        <v>1150</v>
      </c>
      <c r="E131" s="14">
        <f>IFERROR(__xludf.DUMMYFUNCTION("GOOGLEFINANCE(A131,""LOW"")"),1129.1)</f>
        <v>1129.1</v>
      </c>
      <c r="F131" s="15" t="str">
        <f t="shared" si="8"/>
        <v/>
      </c>
      <c r="G131" s="16">
        <f>IFERROR(__xludf.DUMMYFUNCTION("GOOGLEFINANCE(A131,""CLOSEYEST"")"),1144.8)</f>
        <v>1144.8</v>
      </c>
      <c r="H131" s="17" t="str">
        <f t="shared" si="14"/>
        <v/>
      </c>
      <c r="I131" s="18">
        <f t="shared" si="9"/>
        <v>1141.3</v>
      </c>
      <c r="J131" s="19">
        <f t="shared" si="10"/>
        <v>1153.5</v>
      </c>
      <c r="K131" s="19"/>
      <c r="L131" s="19">
        <f t="shared" si="11"/>
        <v>1132.6</v>
      </c>
      <c r="M131" s="19">
        <f t="shared" si="12"/>
        <v>1162.2</v>
      </c>
      <c r="N131" s="19">
        <f t="shared" si="13"/>
        <v>1120.4</v>
      </c>
    </row>
    <row r="132" ht="24.75" customHeight="1">
      <c r="A132" s="21" t="s">
        <v>97</v>
      </c>
      <c r="B132" s="13" t="str">
        <f>IFERROR(__xludf.DUMMYFUNCTION("GOOGLEFINANCE(A132,""PRICE"")"),"#N/A")</f>
        <v>#N/A</v>
      </c>
      <c r="C132" s="14" t="str">
        <f>IFERROR(__xludf.DUMMYFUNCTION("GOOGLEFINANCE(A132,""PRICEOPEN"")"),"#N/A")</f>
        <v>#N/A</v>
      </c>
      <c r="D132" s="14" t="str">
        <f>IFERROR(__xludf.DUMMYFUNCTION("GOOGLEFINANCE(A132,""HIGH"")"),"#N/A")</f>
        <v>#N/A</v>
      </c>
      <c r="E132" s="14" t="str">
        <f>IFERROR(__xludf.DUMMYFUNCTION("GOOGLEFINANCE(A132,""LOW"")"),"#N/A")</f>
        <v>#N/A</v>
      </c>
      <c r="F132" s="15" t="str">
        <f t="shared" si="8"/>
        <v>#N/A</v>
      </c>
      <c r="G132" s="16" t="str">
        <f>IFERROR(__xludf.DUMMYFUNCTION("GOOGLEFINANCE(A132,""CLOSEYEST"")"),"#N/A")</f>
        <v>#N/A</v>
      </c>
      <c r="H132" s="17" t="str">
        <f t="shared" si="14"/>
        <v>#N/A</v>
      </c>
      <c r="I132" s="18" t="str">
        <f t="shared" si="9"/>
        <v>#N/A</v>
      </c>
      <c r="J132" s="19" t="str">
        <f t="shared" si="10"/>
        <v>#N/A</v>
      </c>
      <c r="K132" s="19"/>
      <c r="L132" s="19" t="str">
        <f t="shared" si="11"/>
        <v>#N/A</v>
      </c>
      <c r="M132" s="19" t="str">
        <f t="shared" si="12"/>
        <v>#N/A</v>
      </c>
      <c r="N132" s="19" t="str">
        <f t="shared" si="13"/>
        <v>#N/A</v>
      </c>
    </row>
    <row r="133" ht="24.75" customHeight="1">
      <c r="A133" s="21" t="s">
        <v>98</v>
      </c>
      <c r="B133" s="13">
        <f>IFERROR(__xludf.DUMMYFUNCTION("GOOGLEFINANCE(A133,""PRICE"")"),710.0)</f>
        <v>710</v>
      </c>
      <c r="C133" s="14">
        <f>IFERROR(__xludf.DUMMYFUNCTION("GOOGLEFINANCE(A133,""PRICEOPEN"")"),700.0)</f>
        <v>700</v>
      </c>
      <c r="D133" s="14">
        <f>IFERROR(__xludf.DUMMYFUNCTION("GOOGLEFINANCE(A133,""HIGH"")"),712.75)</f>
        <v>712.75</v>
      </c>
      <c r="E133" s="14">
        <f>IFERROR(__xludf.DUMMYFUNCTION("GOOGLEFINANCE(A133,""LOW"")"),697.6)</f>
        <v>697.6</v>
      </c>
      <c r="F133" s="15" t="str">
        <f t="shared" si="8"/>
        <v/>
      </c>
      <c r="G133" s="16">
        <f>IFERROR(__xludf.DUMMYFUNCTION("GOOGLEFINANCE(A133,""CLOSEYEST"")"),701.75)</f>
        <v>701.75</v>
      </c>
      <c r="H133" s="17" t="str">
        <f t="shared" si="14"/>
        <v/>
      </c>
      <c r="I133" s="18">
        <f t="shared" si="9"/>
        <v>704.0333333</v>
      </c>
      <c r="J133" s="19">
        <f t="shared" si="10"/>
        <v>710.4666667</v>
      </c>
      <c r="K133" s="19"/>
      <c r="L133" s="19">
        <f t="shared" si="11"/>
        <v>695.3166667</v>
      </c>
      <c r="M133" s="19">
        <f t="shared" si="12"/>
        <v>719.1833333</v>
      </c>
      <c r="N133" s="19">
        <f t="shared" si="13"/>
        <v>688.8833333</v>
      </c>
    </row>
    <row r="134" ht="24.75" customHeight="1">
      <c r="A134" s="21" t="s">
        <v>99</v>
      </c>
      <c r="B134" s="13">
        <f>IFERROR(__xludf.DUMMYFUNCTION("GOOGLEFINANCE(A134,""PRICE"")"),177.6)</f>
        <v>177.6</v>
      </c>
      <c r="C134" s="14">
        <f>IFERROR(__xludf.DUMMYFUNCTION("GOOGLEFINANCE(A134,""PRICEOPEN"")"),174.72)</f>
        <v>174.72</v>
      </c>
      <c r="D134" s="14">
        <f>IFERROR(__xludf.DUMMYFUNCTION("GOOGLEFINANCE(A134,""HIGH"")"),177.75)</f>
        <v>177.75</v>
      </c>
      <c r="E134" s="14">
        <f>IFERROR(__xludf.DUMMYFUNCTION("GOOGLEFINANCE(A134,""LOW"")"),174.48)</f>
        <v>174.48</v>
      </c>
      <c r="F134" s="15" t="str">
        <f t="shared" si="8"/>
        <v/>
      </c>
      <c r="G134" s="16">
        <f>IFERROR(__xludf.DUMMYFUNCTION("GOOGLEFINANCE(A134,""CLOSEYEST"")"),174.56)</f>
        <v>174.56</v>
      </c>
      <c r="H134" s="17" t="str">
        <f t="shared" si="14"/>
        <v/>
      </c>
      <c r="I134" s="18">
        <f t="shared" si="9"/>
        <v>175.5966667</v>
      </c>
      <c r="J134" s="19">
        <f t="shared" si="10"/>
        <v>176.7133333</v>
      </c>
      <c r="K134" s="19"/>
      <c r="L134" s="19">
        <f t="shared" si="11"/>
        <v>173.4433333</v>
      </c>
      <c r="M134" s="19">
        <f t="shared" si="12"/>
        <v>178.8666667</v>
      </c>
      <c r="N134" s="19">
        <f t="shared" si="13"/>
        <v>172.3266667</v>
      </c>
    </row>
    <row r="135" ht="24.75" customHeight="1">
      <c r="A135" s="21" t="s">
        <v>100</v>
      </c>
      <c r="B135" s="13">
        <f>IFERROR(__xludf.DUMMYFUNCTION("GOOGLEFINANCE(A135,""PRICE"")"),1133.0)</f>
        <v>1133</v>
      </c>
      <c r="C135" s="14">
        <f>IFERROR(__xludf.DUMMYFUNCTION("GOOGLEFINANCE(A135,""PRICEOPEN"")"),1129.0)</f>
        <v>1129</v>
      </c>
      <c r="D135" s="14">
        <f>IFERROR(__xludf.DUMMYFUNCTION("GOOGLEFINANCE(A135,""HIGH"")"),1189.0)</f>
        <v>1189</v>
      </c>
      <c r="E135" s="14">
        <f>IFERROR(__xludf.DUMMYFUNCTION("GOOGLEFINANCE(A135,""LOW"")"),1108.5)</f>
        <v>1108.5</v>
      </c>
      <c r="F135" s="15" t="str">
        <f t="shared" si="8"/>
        <v/>
      </c>
      <c r="G135" s="16">
        <f>IFERROR(__xludf.DUMMYFUNCTION("GOOGLEFINANCE(A135,""CLOSEYEST"")"),1122.2)</f>
        <v>1122.2</v>
      </c>
      <c r="H135" s="17" t="str">
        <f t="shared" si="14"/>
        <v/>
      </c>
      <c r="I135" s="18">
        <f t="shared" si="9"/>
        <v>1139.9</v>
      </c>
      <c r="J135" s="19">
        <f t="shared" si="10"/>
        <v>1171.3</v>
      </c>
      <c r="K135" s="19"/>
      <c r="L135" s="19">
        <f t="shared" si="11"/>
        <v>1090.8</v>
      </c>
      <c r="M135" s="19">
        <f t="shared" si="12"/>
        <v>1220.4</v>
      </c>
      <c r="N135" s="19">
        <f t="shared" si="13"/>
        <v>1059.4</v>
      </c>
    </row>
    <row r="136" ht="24.75" customHeight="1">
      <c r="A136" s="21" t="s">
        <v>101</v>
      </c>
      <c r="B136" s="13">
        <f>IFERROR(__xludf.DUMMYFUNCTION("GOOGLEFINANCE(A136,""PRICE"")"),1.68)</f>
        <v>1.68</v>
      </c>
      <c r="C136" s="14">
        <f>IFERROR(__xludf.DUMMYFUNCTION("GOOGLEFINANCE(A136,""PRICEOPEN"")"),1.62)</f>
        <v>1.62</v>
      </c>
      <c r="D136" s="14">
        <f>IFERROR(__xludf.DUMMYFUNCTION("GOOGLEFINANCE(A136,""HIGH"")"),1.73)</f>
        <v>1.73</v>
      </c>
      <c r="E136" s="14">
        <f>IFERROR(__xludf.DUMMYFUNCTION("GOOGLEFINANCE(A136,""LOW"")"),1.6)</f>
        <v>1.6</v>
      </c>
      <c r="F136" s="15" t="str">
        <f t="shared" si="8"/>
        <v/>
      </c>
      <c r="G136" s="16">
        <f>IFERROR(__xludf.DUMMYFUNCTION("GOOGLEFINANCE(A136,""CLOSEYEST"")"),1.68)</f>
        <v>1.68</v>
      </c>
      <c r="H136" s="17" t="str">
        <f t="shared" si="14"/>
        <v>GAP DOWN</v>
      </c>
      <c r="I136" s="18">
        <f t="shared" si="9"/>
        <v>1.67</v>
      </c>
      <c r="J136" s="19">
        <f t="shared" si="10"/>
        <v>1.74</v>
      </c>
      <c r="K136" s="19"/>
      <c r="L136" s="19">
        <f t="shared" si="11"/>
        <v>1.61</v>
      </c>
      <c r="M136" s="19">
        <f t="shared" si="12"/>
        <v>1.8</v>
      </c>
      <c r="N136" s="19">
        <f t="shared" si="13"/>
        <v>1.54</v>
      </c>
    </row>
    <row r="137" ht="24.75" customHeight="1">
      <c r="A137" s="21" t="s">
        <v>102</v>
      </c>
      <c r="B137" s="13">
        <f>IFERROR(__xludf.DUMMYFUNCTION("GOOGLEFINANCE(A137,""PRICE"")"),3172.8)</f>
        <v>3172.8</v>
      </c>
      <c r="C137" s="14">
        <f>IFERROR(__xludf.DUMMYFUNCTION("GOOGLEFINANCE(A137,""PRICEOPEN"")"),3150.0)</f>
        <v>3150</v>
      </c>
      <c r="D137" s="14">
        <f>IFERROR(__xludf.DUMMYFUNCTION("GOOGLEFINANCE(A137,""HIGH"")"),3175.9)</f>
        <v>3175.9</v>
      </c>
      <c r="E137" s="14">
        <f>IFERROR(__xludf.DUMMYFUNCTION("GOOGLEFINANCE(A137,""LOW"")"),3106.1)</f>
        <v>3106.1</v>
      </c>
      <c r="F137" s="15" t="str">
        <f t="shared" si="8"/>
        <v/>
      </c>
      <c r="G137" s="16">
        <f>IFERROR(__xludf.DUMMYFUNCTION("GOOGLEFINANCE(A137,""CLOSEYEST"")"),3144.5)</f>
        <v>3144.5</v>
      </c>
      <c r="H137" s="17" t="str">
        <f t="shared" si="14"/>
        <v/>
      </c>
      <c r="I137" s="18">
        <f t="shared" si="9"/>
        <v>3142.166667</v>
      </c>
      <c r="J137" s="19">
        <f t="shared" si="10"/>
        <v>3178.233333</v>
      </c>
      <c r="K137" s="19"/>
      <c r="L137" s="19">
        <f t="shared" si="11"/>
        <v>3108.433333</v>
      </c>
      <c r="M137" s="19">
        <f t="shared" si="12"/>
        <v>3211.966667</v>
      </c>
      <c r="N137" s="19">
        <f t="shared" si="13"/>
        <v>3072.366667</v>
      </c>
    </row>
    <row r="138" ht="24.75" customHeight="1">
      <c r="A138" s="21" t="s">
        <v>103</v>
      </c>
      <c r="B138" s="13" t="str">
        <f>IFERROR(__xludf.DUMMYFUNCTION("GOOGLEFINANCE(A138,""PRICE"")"),"#N/A")</f>
        <v>#N/A</v>
      </c>
      <c r="C138" s="14" t="str">
        <f>IFERROR(__xludf.DUMMYFUNCTION("GOOGLEFINANCE(A138,""PRICEOPEN"")"),"#N/A")</f>
        <v>#N/A</v>
      </c>
      <c r="D138" s="14" t="str">
        <f>IFERROR(__xludf.DUMMYFUNCTION("GOOGLEFINANCE(A138,""HIGH"")"),"#N/A")</f>
        <v>#N/A</v>
      </c>
      <c r="E138" s="14" t="str">
        <f>IFERROR(__xludf.DUMMYFUNCTION("GOOGLEFINANCE(A138,""LOW"")"),"#N/A")</f>
        <v>#N/A</v>
      </c>
      <c r="F138" s="15" t="str">
        <f t="shared" si="8"/>
        <v>#N/A</v>
      </c>
      <c r="G138" s="16" t="str">
        <f>IFERROR(__xludf.DUMMYFUNCTION("GOOGLEFINANCE(A138,""CLOSEYEST"")"),"#N/A")</f>
        <v>#N/A</v>
      </c>
      <c r="H138" s="17" t="str">
        <f t="shared" si="14"/>
        <v>#N/A</v>
      </c>
      <c r="I138" s="18" t="str">
        <f t="shared" si="9"/>
        <v>#N/A</v>
      </c>
      <c r="J138" s="19" t="str">
        <f t="shared" si="10"/>
        <v>#N/A</v>
      </c>
      <c r="K138" s="19"/>
      <c r="L138" s="19" t="str">
        <f t="shared" si="11"/>
        <v>#N/A</v>
      </c>
      <c r="M138" s="19" t="str">
        <f t="shared" si="12"/>
        <v>#N/A</v>
      </c>
      <c r="N138" s="19" t="str">
        <f t="shared" si="13"/>
        <v>#N/A</v>
      </c>
    </row>
    <row r="139" ht="24.75" customHeight="1">
      <c r="A139" s="21" t="s">
        <v>104</v>
      </c>
      <c r="B139" s="13">
        <f>IFERROR(__xludf.DUMMYFUNCTION("GOOGLEFINANCE(A139,""PRICE"")"),1112.2)</f>
        <v>1112.2</v>
      </c>
      <c r="C139" s="14">
        <f>IFERROR(__xludf.DUMMYFUNCTION("GOOGLEFINANCE(A139,""PRICEOPEN"")"),1144.7)</f>
        <v>1144.7</v>
      </c>
      <c r="D139" s="14">
        <f>IFERROR(__xludf.DUMMYFUNCTION("GOOGLEFINANCE(A139,""HIGH"")"),1147.0)</f>
        <v>1147</v>
      </c>
      <c r="E139" s="14">
        <f>IFERROR(__xludf.DUMMYFUNCTION("GOOGLEFINANCE(A139,""LOW"")"),1108.0)</f>
        <v>1108</v>
      </c>
      <c r="F139" s="15" t="str">
        <f t="shared" si="8"/>
        <v/>
      </c>
      <c r="G139" s="16">
        <f>IFERROR(__xludf.DUMMYFUNCTION("GOOGLEFINANCE(A139,""CLOSEYEST"")"),1139.8)</f>
        <v>1139.8</v>
      </c>
      <c r="H139" s="17" t="str">
        <f t="shared" si="14"/>
        <v/>
      </c>
      <c r="I139" s="18">
        <f t="shared" si="9"/>
        <v>1131.6</v>
      </c>
      <c r="J139" s="19">
        <f t="shared" si="10"/>
        <v>1155.2</v>
      </c>
      <c r="K139" s="19"/>
      <c r="L139" s="19">
        <f t="shared" si="11"/>
        <v>1116.2</v>
      </c>
      <c r="M139" s="19">
        <f t="shared" si="12"/>
        <v>1170.6</v>
      </c>
      <c r="N139" s="19">
        <f t="shared" si="13"/>
        <v>1092.6</v>
      </c>
    </row>
    <row r="140" ht="24.75" customHeight="1">
      <c r="A140" s="21" t="s">
        <v>105</v>
      </c>
      <c r="B140" s="13">
        <f>IFERROR(__xludf.DUMMYFUNCTION("GOOGLEFINANCE(A140,""PRICE"")"),2737.0)</f>
        <v>2737</v>
      </c>
      <c r="C140" s="14">
        <f>IFERROR(__xludf.DUMMYFUNCTION("GOOGLEFINANCE(A140,""PRICEOPEN"")"),2698.9)</f>
        <v>2698.9</v>
      </c>
      <c r="D140" s="14">
        <f>IFERROR(__xludf.DUMMYFUNCTION("GOOGLEFINANCE(A140,""HIGH"")"),2742.2)</f>
        <v>2742.2</v>
      </c>
      <c r="E140" s="14">
        <f>IFERROR(__xludf.DUMMYFUNCTION("GOOGLEFINANCE(A140,""LOW"")"),2680.0)</f>
        <v>2680</v>
      </c>
      <c r="F140" s="15" t="str">
        <f t="shared" si="8"/>
        <v/>
      </c>
      <c r="G140" s="16">
        <f>IFERROR(__xludf.DUMMYFUNCTION("GOOGLEFINANCE(A140,""CLOSEYEST"")"),2691.0)</f>
        <v>2691</v>
      </c>
      <c r="H140" s="17" t="str">
        <f t="shared" si="14"/>
        <v/>
      </c>
      <c r="I140" s="18">
        <f t="shared" si="9"/>
        <v>2704.4</v>
      </c>
      <c r="J140" s="19">
        <f t="shared" si="10"/>
        <v>2728.8</v>
      </c>
      <c r="K140" s="19"/>
      <c r="L140" s="19">
        <f t="shared" si="11"/>
        <v>2666.6</v>
      </c>
      <c r="M140" s="19">
        <f t="shared" si="12"/>
        <v>2766.6</v>
      </c>
      <c r="N140" s="19">
        <f t="shared" si="13"/>
        <v>2642.2</v>
      </c>
    </row>
    <row r="141" ht="24.75" customHeight="1">
      <c r="A141" s="21" t="s">
        <v>106</v>
      </c>
      <c r="B141" s="13">
        <f>IFERROR(__xludf.DUMMYFUNCTION("GOOGLEFINANCE(A141,""PRICE"")"),4262.0)</f>
        <v>4262</v>
      </c>
      <c r="C141" s="14">
        <f>IFERROR(__xludf.DUMMYFUNCTION("GOOGLEFINANCE(A141,""PRICEOPEN"")"),4190.0)</f>
        <v>4190</v>
      </c>
      <c r="D141" s="14">
        <f>IFERROR(__xludf.DUMMYFUNCTION("GOOGLEFINANCE(A141,""HIGH"")"),4296.4)</f>
        <v>4296.4</v>
      </c>
      <c r="E141" s="14">
        <f>IFERROR(__xludf.DUMMYFUNCTION("GOOGLEFINANCE(A141,""LOW"")"),4166.8)</f>
        <v>4166.8</v>
      </c>
      <c r="F141" s="15" t="str">
        <f t="shared" si="8"/>
        <v/>
      </c>
      <c r="G141" s="16">
        <f>IFERROR(__xludf.DUMMYFUNCTION("GOOGLEFINANCE(A141,""CLOSEYEST"")"),4186.7)</f>
        <v>4186.7</v>
      </c>
      <c r="H141" s="17" t="str">
        <f t="shared" si="14"/>
        <v/>
      </c>
      <c r="I141" s="18">
        <f t="shared" si="9"/>
        <v>4216.633333</v>
      </c>
      <c r="J141" s="19">
        <f t="shared" si="10"/>
        <v>4266.466667</v>
      </c>
      <c r="K141" s="19"/>
      <c r="L141" s="19">
        <f t="shared" si="11"/>
        <v>4136.866667</v>
      </c>
      <c r="M141" s="19">
        <f t="shared" si="12"/>
        <v>4346.233333</v>
      </c>
      <c r="N141" s="19">
        <f t="shared" si="13"/>
        <v>4087.033333</v>
      </c>
    </row>
    <row r="142" ht="24.75" customHeight="1">
      <c r="A142" s="21" t="s">
        <v>107</v>
      </c>
      <c r="B142" s="13">
        <f>IFERROR(__xludf.DUMMYFUNCTION("GOOGLEFINANCE(A142,""PRICE"")"),11830.0)</f>
        <v>11830</v>
      </c>
      <c r="C142" s="14">
        <f>IFERROR(__xludf.DUMMYFUNCTION("GOOGLEFINANCE(A142,""PRICEOPEN"")"),12039.0)</f>
        <v>12039</v>
      </c>
      <c r="D142" s="14">
        <f>IFERROR(__xludf.DUMMYFUNCTION("GOOGLEFINANCE(A142,""HIGH"")"),12039.0)</f>
        <v>12039</v>
      </c>
      <c r="E142" s="14">
        <f>IFERROR(__xludf.DUMMYFUNCTION("GOOGLEFINANCE(A142,""LOW"")"),11780.0)</f>
        <v>11780</v>
      </c>
      <c r="F142" s="15" t="str">
        <f t="shared" si="8"/>
        <v>SELL</v>
      </c>
      <c r="G142" s="16">
        <f>IFERROR(__xludf.DUMMYFUNCTION("GOOGLEFINANCE(A142,""CLOSEYEST"")"),11996.0)</f>
        <v>11996</v>
      </c>
      <c r="H142" s="17" t="str">
        <f t="shared" si="14"/>
        <v/>
      </c>
      <c r="I142" s="18">
        <f t="shared" si="9"/>
        <v>11938.33333</v>
      </c>
      <c r="J142" s="19">
        <f t="shared" si="10"/>
        <v>12096.66667</v>
      </c>
      <c r="K142" s="19"/>
      <c r="L142" s="19">
        <f t="shared" si="11"/>
        <v>11837.66667</v>
      </c>
      <c r="M142" s="19">
        <f t="shared" si="12"/>
        <v>12197.33333</v>
      </c>
      <c r="N142" s="19">
        <f t="shared" si="13"/>
        <v>11679.33333</v>
      </c>
    </row>
    <row r="143" ht="24.75" customHeight="1">
      <c r="A143" s="21" t="s">
        <v>108</v>
      </c>
      <c r="B143" s="13">
        <f>IFERROR(__xludf.DUMMYFUNCTION("GOOGLEFINANCE(A143,""PRICE"")"),92.6)</f>
        <v>92.6</v>
      </c>
      <c r="C143" s="14">
        <f>IFERROR(__xludf.DUMMYFUNCTION("GOOGLEFINANCE(A143,""PRICEOPEN"")"),92.4)</f>
        <v>92.4</v>
      </c>
      <c r="D143" s="14">
        <f>IFERROR(__xludf.DUMMYFUNCTION("GOOGLEFINANCE(A143,""HIGH"")"),93.54)</f>
        <v>93.54</v>
      </c>
      <c r="E143" s="14">
        <f>IFERROR(__xludf.DUMMYFUNCTION("GOOGLEFINANCE(A143,""LOW"")"),92.34)</f>
        <v>92.34</v>
      </c>
      <c r="F143" s="15" t="str">
        <f t="shared" si="8"/>
        <v/>
      </c>
      <c r="G143" s="16">
        <f>IFERROR(__xludf.DUMMYFUNCTION("GOOGLEFINANCE(A143,""CLOSEYEST"")"),92.35)</f>
        <v>92.35</v>
      </c>
      <c r="H143" s="17" t="str">
        <f t="shared" si="14"/>
        <v/>
      </c>
      <c r="I143" s="18">
        <f t="shared" si="9"/>
        <v>92.74333333</v>
      </c>
      <c r="J143" s="19">
        <f t="shared" si="10"/>
        <v>93.14666667</v>
      </c>
      <c r="K143" s="19"/>
      <c r="L143" s="19">
        <f t="shared" si="11"/>
        <v>91.94666667</v>
      </c>
      <c r="M143" s="19">
        <f t="shared" si="12"/>
        <v>93.94333333</v>
      </c>
      <c r="N143" s="19">
        <f t="shared" si="13"/>
        <v>91.54333333</v>
      </c>
    </row>
    <row r="144" ht="24.75" customHeight="1">
      <c r="A144" s="21" t="s">
        <v>109</v>
      </c>
      <c r="B144" s="13">
        <f>IFERROR(__xludf.DUMMYFUNCTION("GOOGLEFINANCE(A144,""PRICE"")"),2036.9)</f>
        <v>2036.9</v>
      </c>
      <c r="C144" s="14">
        <f>IFERROR(__xludf.DUMMYFUNCTION("GOOGLEFINANCE(A144,""PRICEOPEN"")"),2040.0)</f>
        <v>2040</v>
      </c>
      <c r="D144" s="14">
        <f>IFERROR(__xludf.DUMMYFUNCTION("GOOGLEFINANCE(A144,""HIGH"")"),2048.0)</f>
        <v>2048</v>
      </c>
      <c r="E144" s="14">
        <f>IFERROR(__xludf.DUMMYFUNCTION("GOOGLEFINANCE(A144,""LOW"")"),2018.5)</f>
        <v>2018.5</v>
      </c>
      <c r="F144" s="15" t="str">
        <f t="shared" si="8"/>
        <v/>
      </c>
      <c r="G144" s="16">
        <f>IFERROR(__xludf.DUMMYFUNCTION("GOOGLEFINANCE(A144,""CLOSEYEST"")"),2030.4)</f>
        <v>2030.4</v>
      </c>
      <c r="H144" s="17" t="str">
        <f t="shared" si="14"/>
        <v/>
      </c>
      <c r="I144" s="18">
        <f t="shared" si="9"/>
        <v>2032.3</v>
      </c>
      <c r="J144" s="19">
        <f t="shared" si="10"/>
        <v>2046.1</v>
      </c>
      <c r="K144" s="19"/>
      <c r="L144" s="19">
        <f t="shared" si="11"/>
        <v>2016.6</v>
      </c>
      <c r="M144" s="19">
        <f t="shared" si="12"/>
        <v>2061.8</v>
      </c>
      <c r="N144" s="19">
        <f t="shared" si="13"/>
        <v>2002.8</v>
      </c>
    </row>
    <row r="145" ht="24.75" customHeight="1">
      <c r="A145" s="21" t="s">
        <v>110</v>
      </c>
      <c r="B145" s="13">
        <f>IFERROR(__xludf.DUMMYFUNCTION("GOOGLEFINANCE(A145,""PRICE"")"),56.98)</f>
        <v>56.98</v>
      </c>
      <c r="C145" s="14">
        <f>IFERROR(__xludf.DUMMYFUNCTION("GOOGLEFINANCE(A145,""PRICEOPEN"")"),55.18)</f>
        <v>55.18</v>
      </c>
      <c r="D145" s="14">
        <f>IFERROR(__xludf.DUMMYFUNCTION("GOOGLEFINANCE(A145,""HIGH"")"),57.0)</f>
        <v>57</v>
      </c>
      <c r="E145" s="14">
        <f>IFERROR(__xludf.DUMMYFUNCTION("GOOGLEFINANCE(A145,""LOW"")"),55.12)</f>
        <v>55.12</v>
      </c>
      <c r="F145" s="15" t="str">
        <f t="shared" si="8"/>
        <v/>
      </c>
      <c r="G145" s="16">
        <f>IFERROR(__xludf.DUMMYFUNCTION("GOOGLEFINANCE(A145,""CLOSEYEST"")"),55.14)</f>
        <v>55.14</v>
      </c>
      <c r="H145" s="17" t="str">
        <f t="shared" si="14"/>
        <v/>
      </c>
      <c r="I145" s="18">
        <f t="shared" si="9"/>
        <v>55.75333333</v>
      </c>
      <c r="J145" s="19">
        <f t="shared" si="10"/>
        <v>56.38666667</v>
      </c>
      <c r="K145" s="19"/>
      <c r="L145" s="19">
        <f t="shared" si="11"/>
        <v>54.50666667</v>
      </c>
      <c r="M145" s="19">
        <f t="shared" si="12"/>
        <v>57.63333333</v>
      </c>
      <c r="N145" s="19">
        <f t="shared" si="13"/>
        <v>53.87333333</v>
      </c>
    </row>
    <row r="146" ht="24.75" customHeight="1">
      <c r="A146" s="21" t="s">
        <v>111</v>
      </c>
      <c r="B146" s="13">
        <f>IFERROR(__xludf.DUMMYFUNCTION("GOOGLEFINANCE(A146,""PRICE"")"),5595.0)</f>
        <v>5595</v>
      </c>
      <c r="C146" s="14">
        <f>IFERROR(__xludf.DUMMYFUNCTION("GOOGLEFINANCE(A146,""PRICEOPEN"")"),5584.0)</f>
        <v>5584</v>
      </c>
      <c r="D146" s="14">
        <f>IFERROR(__xludf.DUMMYFUNCTION("GOOGLEFINANCE(A146,""HIGH"")"),5633.5)</f>
        <v>5633.5</v>
      </c>
      <c r="E146" s="14">
        <f>IFERROR(__xludf.DUMMYFUNCTION("GOOGLEFINANCE(A146,""LOW"")"),5555.0)</f>
        <v>5555</v>
      </c>
      <c r="F146" s="15" t="str">
        <f t="shared" si="8"/>
        <v/>
      </c>
      <c r="G146" s="16">
        <f>IFERROR(__xludf.DUMMYFUNCTION("GOOGLEFINANCE(A146,""CLOSEYEST"")"),5555.5)</f>
        <v>5555.5</v>
      </c>
      <c r="H146" s="17" t="str">
        <f t="shared" si="14"/>
        <v/>
      </c>
      <c r="I146" s="18">
        <f t="shared" si="9"/>
        <v>5581.333333</v>
      </c>
      <c r="J146" s="19">
        <f t="shared" si="10"/>
        <v>5607.666667</v>
      </c>
      <c r="K146" s="19"/>
      <c r="L146" s="19">
        <f t="shared" si="11"/>
        <v>5529.166667</v>
      </c>
      <c r="M146" s="19">
        <f t="shared" si="12"/>
        <v>5659.833333</v>
      </c>
      <c r="N146" s="19">
        <f t="shared" si="13"/>
        <v>5502.833333</v>
      </c>
    </row>
    <row r="147" ht="24.75" customHeight="1">
      <c r="A147" s="21" t="s">
        <v>112</v>
      </c>
      <c r="B147" s="13">
        <f>IFERROR(__xludf.DUMMYFUNCTION("GOOGLEFINANCE(A147,""PRICE"")"),3513.9)</f>
        <v>3513.9</v>
      </c>
      <c r="C147" s="14">
        <f>IFERROR(__xludf.DUMMYFUNCTION("GOOGLEFINANCE(A147,""PRICEOPEN"")"),3552.0)</f>
        <v>3552</v>
      </c>
      <c r="D147" s="14">
        <f>IFERROR(__xludf.DUMMYFUNCTION("GOOGLEFINANCE(A147,""HIGH"")"),3566.9)</f>
        <v>3566.9</v>
      </c>
      <c r="E147" s="14">
        <f>IFERROR(__xludf.DUMMYFUNCTION("GOOGLEFINANCE(A147,""LOW"")"),3504.0)</f>
        <v>3504</v>
      </c>
      <c r="F147" s="15" t="str">
        <f t="shared" si="8"/>
        <v/>
      </c>
      <c r="G147" s="16">
        <f>IFERROR(__xludf.DUMMYFUNCTION("GOOGLEFINANCE(A147,""CLOSEYEST"")"),3567.1)</f>
        <v>3567.1</v>
      </c>
      <c r="H147" s="17" t="str">
        <f t="shared" si="14"/>
        <v/>
      </c>
      <c r="I147" s="18">
        <f t="shared" si="9"/>
        <v>3546</v>
      </c>
      <c r="J147" s="19">
        <f t="shared" si="10"/>
        <v>3588</v>
      </c>
      <c r="K147" s="19"/>
      <c r="L147" s="19">
        <f t="shared" si="11"/>
        <v>3525.1</v>
      </c>
      <c r="M147" s="19">
        <f t="shared" si="12"/>
        <v>3608.9</v>
      </c>
      <c r="N147" s="19">
        <f t="shared" si="13"/>
        <v>3483.1</v>
      </c>
    </row>
    <row r="148" ht="24.75" customHeight="1">
      <c r="A148" s="21" t="s">
        <v>113</v>
      </c>
      <c r="B148" s="13">
        <f>IFERROR(__xludf.DUMMYFUNCTION("GOOGLEFINANCE(A148,""PRICE"")"),14300.0)</f>
        <v>14300</v>
      </c>
      <c r="C148" s="14">
        <f>IFERROR(__xludf.DUMMYFUNCTION("GOOGLEFINANCE(A148,""PRICEOPEN"")"),14064.0)</f>
        <v>14064</v>
      </c>
      <c r="D148" s="14">
        <f>IFERROR(__xludf.DUMMYFUNCTION("GOOGLEFINANCE(A148,""HIGH"")"),14378.0)</f>
        <v>14378</v>
      </c>
      <c r="E148" s="14">
        <f>IFERROR(__xludf.DUMMYFUNCTION("GOOGLEFINANCE(A148,""LOW"")"),13940.0)</f>
        <v>13940</v>
      </c>
      <c r="F148" s="15" t="str">
        <f t="shared" si="8"/>
        <v/>
      </c>
      <c r="G148" s="16">
        <f>IFERROR(__xludf.DUMMYFUNCTION("GOOGLEFINANCE(A148,""CLOSEYEST"")"),14114.0)</f>
        <v>14114</v>
      </c>
      <c r="H148" s="17" t="str">
        <f t="shared" si="14"/>
        <v/>
      </c>
      <c r="I148" s="18">
        <f t="shared" si="9"/>
        <v>14144</v>
      </c>
      <c r="J148" s="19">
        <f t="shared" si="10"/>
        <v>14348</v>
      </c>
      <c r="K148" s="19"/>
      <c r="L148" s="19">
        <f t="shared" si="11"/>
        <v>13910</v>
      </c>
      <c r="M148" s="19">
        <f t="shared" si="12"/>
        <v>14582</v>
      </c>
      <c r="N148" s="19">
        <f t="shared" si="13"/>
        <v>13706</v>
      </c>
    </row>
    <row r="149" ht="24.75" customHeight="1">
      <c r="A149" s="21" t="s">
        <v>114</v>
      </c>
      <c r="B149" s="13">
        <f>IFERROR(__xludf.DUMMYFUNCTION("GOOGLEFINANCE(A149,""PRICE"")"),628.05)</f>
        <v>628.05</v>
      </c>
      <c r="C149" s="14">
        <f>IFERROR(__xludf.DUMMYFUNCTION("GOOGLEFINANCE(A149,""PRICEOPEN"")"),619.6)</f>
        <v>619.6</v>
      </c>
      <c r="D149" s="14">
        <f>IFERROR(__xludf.DUMMYFUNCTION("GOOGLEFINANCE(A149,""HIGH"")"),630.0)</f>
        <v>630</v>
      </c>
      <c r="E149" s="14">
        <f>IFERROR(__xludf.DUMMYFUNCTION("GOOGLEFINANCE(A149,""LOW"")"),619.4)</f>
        <v>619.4</v>
      </c>
      <c r="F149" s="15" t="str">
        <f t="shared" si="8"/>
        <v/>
      </c>
      <c r="G149" s="16">
        <f>IFERROR(__xludf.DUMMYFUNCTION("GOOGLEFINANCE(A149,""CLOSEYEST"")"),619.4)</f>
        <v>619.4</v>
      </c>
      <c r="H149" s="17" t="str">
        <f t="shared" si="14"/>
        <v/>
      </c>
      <c r="I149" s="18">
        <f t="shared" si="9"/>
        <v>622.9333333</v>
      </c>
      <c r="J149" s="19">
        <f t="shared" si="10"/>
        <v>626.4666667</v>
      </c>
      <c r="K149" s="19"/>
      <c r="L149" s="19">
        <f t="shared" si="11"/>
        <v>615.8666667</v>
      </c>
      <c r="M149" s="19">
        <f t="shared" si="12"/>
        <v>633.5333333</v>
      </c>
      <c r="N149" s="19">
        <f t="shared" si="13"/>
        <v>612.3333333</v>
      </c>
    </row>
    <row r="150" ht="24.75" customHeight="1">
      <c r="A150" s="21" t="s">
        <v>35</v>
      </c>
      <c r="B150" s="13">
        <f>IFERROR(__xludf.DUMMYFUNCTION("GOOGLEFINANCE(A150,""PRICE"")"),5545.5)</f>
        <v>5545.5</v>
      </c>
      <c r="C150" s="14">
        <f>IFERROR(__xludf.DUMMYFUNCTION("GOOGLEFINANCE(A150,""PRICEOPEN"")"),5465.0)</f>
        <v>5465</v>
      </c>
      <c r="D150" s="14">
        <f>IFERROR(__xludf.DUMMYFUNCTION("GOOGLEFINANCE(A150,""HIGH"")"),5584.0)</f>
        <v>5584</v>
      </c>
      <c r="E150" s="14">
        <f>IFERROR(__xludf.DUMMYFUNCTION("GOOGLEFINANCE(A150,""LOW"")"),5370.5)</f>
        <v>5370.5</v>
      </c>
      <c r="F150" s="15" t="str">
        <f t="shared" si="8"/>
        <v/>
      </c>
      <c r="G150" s="16">
        <f>IFERROR(__xludf.DUMMYFUNCTION("GOOGLEFINANCE(A150,""CLOSEYEST"")"),5432.5)</f>
        <v>5432.5</v>
      </c>
      <c r="H150" s="17" t="str">
        <f t="shared" si="14"/>
        <v/>
      </c>
      <c r="I150" s="18">
        <f t="shared" si="9"/>
        <v>5462.333333</v>
      </c>
      <c r="J150" s="19">
        <f t="shared" si="10"/>
        <v>5554.166667</v>
      </c>
      <c r="K150" s="19"/>
      <c r="L150" s="19">
        <f t="shared" si="11"/>
        <v>5340.666667</v>
      </c>
      <c r="M150" s="19">
        <f t="shared" si="12"/>
        <v>5675.833333</v>
      </c>
      <c r="N150" s="19">
        <f t="shared" si="13"/>
        <v>5248.833333</v>
      </c>
    </row>
    <row r="151" ht="24.75" customHeight="1">
      <c r="A151" s="21" t="s">
        <v>115</v>
      </c>
      <c r="B151" s="13">
        <f>IFERROR(__xludf.DUMMYFUNCTION("GOOGLEFINANCE(A151,""PRICE"")"),540.9)</f>
        <v>540.9</v>
      </c>
      <c r="C151" s="14">
        <f>IFERROR(__xludf.DUMMYFUNCTION("GOOGLEFINANCE(A151,""PRICEOPEN"")"),537.0)</f>
        <v>537</v>
      </c>
      <c r="D151" s="14">
        <f>IFERROR(__xludf.DUMMYFUNCTION("GOOGLEFINANCE(A151,""HIGH"")"),542.35)</f>
        <v>542.35</v>
      </c>
      <c r="E151" s="14">
        <f>IFERROR(__xludf.DUMMYFUNCTION("GOOGLEFINANCE(A151,""LOW"")"),532.05)</f>
        <v>532.05</v>
      </c>
      <c r="F151" s="15" t="str">
        <f t="shared" si="8"/>
        <v/>
      </c>
      <c r="G151" s="16">
        <f>IFERROR(__xludf.DUMMYFUNCTION("GOOGLEFINANCE(A151,""CLOSEYEST"")"),536.45)</f>
        <v>536.45</v>
      </c>
      <c r="H151" s="17" t="str">
        <f t="shared" si="14"/>
        <v/>
      </c>
      <c r="I151" s="18">
        <f t="shared" si="9"/>
        <v>536.95</v>
      </c>
      <c r="J151" s="19">
        <f t="shared" si="10"/>
        <v>541.85</v>
      </c>
      <c r="K151" s="19"/>
      <c r="L151" s="19">
        <f t="shared" si="11"/>
        <v>531.55</v>
      </c>
      <c r="M151" s="19">
        <f t="shared" si="12"/>
        <v>547.25</v>
      </c>
      <c r="N151" s="19">
        <f t="shared" si="13"/>
        <v>526.65</v>
      </c>
    </row>
    <row r="152" ht="24.75" customHeight="1">
      <c r="A152" s="21" t="s">
        <v>116</v>
      </c>
      <c r="B152" s="13">
        <f>IFERROR(__xludf.DUMMYFUNCTION("GOOGLEFINANCE(A152,""PRICE"")"),38555.0)</f>
        <v>38555</v>
      </c>
      <c r="C152" s="14">
        <f>IFERROR(__xludf.DUMMYFUNCTION("GOOGLEFINANCE(A152,""PRICEOPEN"")"),38320.0)</f>
        <v>38320</v>
      </c>
      <c r="D152" s="14">
        <f>IFERROR(__xludf.DUMMYFUNCTION("GOOGLEFINANCE(A152,""HIGH"")"),38705.0)</f>
        <v>38705</v>
      </c>
      <c r="E152" s="14">
        <f>IFERROR(__xludf.DUMMYFUNCTION("GOOGLEFINANCE(A152,""LOW"")"),38010.0)</f>
        <v>38010</v>
      </c>
      <c r="F152" s="15" t="str">
        <f t="shared" si="8"/>
        <v/>
      </c>
      <c r="G152" s="16">
        <f>IFERROR(__xludf.DUMMYFUNCTION("GOOGLEFINANCE(A152,""CLOSEYEST"")"),38320.0)</f>
        <v>38320</v>
      </c>
      <c r="H152" s="17" t="str">
        <f t="shared" si="14"/>
        <v/>
      </c>
      <c r="I152" s="18">
        <f t="shared" si="9"/>
        <v>38345</v>
      </c>
      <c r="J152" s="19">
        <f t="shared" si="10"/>
        <v>38680</v>
      </c>
      <c r="K152" s="19"/>
      <c r="L152" s="19">
        <f t="shared" si="11"/>
        <v>37985</v>
      </c>
      <c r="M152" s="19">
        <f t="shared" si="12"/>
        <v>39040</v>
      </c>
      <c r="N152" s="19">
        <f t="shared" si="13"/>
        <v>37650</v>
      </c>
    </row>
    <row r="153" ht="24.75" customHeight="1">
      <c r="A153" s="21" t="s">
        <v>117</v>
      </c>
      <c r="B153" s="13">
        <f>IFERROR(__xludf.DUMMYFUNCTION("GOOGLEFINANCE(A153,""PRICE"")"),0.02)</f>
        <v>0.02</v>
      </c>
      <c r="C153" s="14">
        <f>IFERROR(__xludf.DUMMYFUNCTION("GOOGLEFINANCE(A153,""PRICEOPEN"")"),0.02)</f>
        <v>0.02</v>
      </c>
      <c r="D153" s="14">
        <f>IFERROR(__xludf.DUMMYFUNCTION("GOOGLEFINANCE(A153,""HIGH"")"),0.02)</f>
        <v>0.02</v>
      </c>
      <c r="E153" s="14">
        <f>IFERROR(__xludf.DUMMYFUNCTION("GOOGLEFINANCE(A153,""LOW"")"),0.02)</f>
        <v>0.02</v>
      </c>
      <c r="F153" s="15" t="str">
        <f t="shared" si="8"/>
        <v>SELL</v>
      </c>
      <c r="G153" s="16">
        <f>IFERROR(__xludf.DUMMYFUNCTION("GOOGLEFINANCE(A153,""CLOSEYEST"")"),0.02)</f>
        <v>0.02</v>
      </c>
      <c r="H153" s="17" t="str">
        <f t="shared" si="14"/>
        <v/>
      </c>
      <c r="I153" s="18">
        <f t="shared" si="9"/>
        <v>0.02</v>
      </c>
      <c r="J153" s="19">
        <f t="shared" si="10"/>
        <v>0.02</v>
      </c>
      <c r="K153" s="19"/>
      <c r="L153" s="19">
        <f t="shared" si="11"/>
        <v>0.02</v>
      </c>
      <c r="M153" s="19">
        <f t="shared" si="12"/>
        <v>0.02</v>
      </c>
      <c r="N153" s="19">
        <f t="shared" si="13"/>
        <v>0.02</v>
      </c>
    </row>
    <row r="154" ht="24.75" customHeight="1">
      <c r="A154" s="21" t="s">
        <v>118</v>
      </c>
      <c r="B154" s="13">
        <f>IFERROR(__xludf.DUMMYFUNCTION("GOOGLEFINANCE(A154,""PRICE"")"),1385.1)</f>
        <v>1385.1</v>
      </c>
      <c r="C154" s="14">
        <f>IFERROR(__xludf.DUMMYFUNCTION("GOOGLEFINANCE(A154,""PRICEOPEN"")"),1376.4)</f>
        <v>1376.4</v>
      </c>
      <c r="D154" s="14">
        <f>IFERROR(__xludf.DUMMYFUNCTION("GOOGLEFINANCE(A154,""HIGH"")"),1387.1)</f>
        <v>1387.1</v>
      </c>
      <c r="E154" s="14">
        <f>IFERROR(__xludf.DUMMYFUNCTION("GOOGLEFINANCE(A154,""LOW"")"),1360.8)</f>
        <v>1360.8</v>
      </c>
      <c r="F154" s="15" t="str">
        <f t="shared" si="8"/>
        <v/>
      </c>
      <c r="G154" s="16">
        <f>IFERROR(__xludf.DUMMYFUNCTION("GOOGLEFINANCE(A154,""CLOSEYEST"")"),1376.4)</f>
        <v>1376.4</v>
      </c>
      <c r="H154" s="17" t="str">
        <f t="shared" si="14"/>
        <v/>
      </c>
      <c r="I154" s="18">
        <f t="shared" si="9"/>
        <v>1374.766667</v>
      </c>
      <c r="J154" s="19">
        <f t="shared" si="10"/>
        <v>1388.733333</v>
      </c>
      <c r="K154" s="19"/>
      <c r="L154" s="19">
        <f t="shared" si="11"/>
        <v>1362.433333</v>
      </c>
      <c r="M154" s="19">
        <f t="shared" si="12"/>
        <v>1401.066667</v>
      </c>
      <c r="N154" s="19">
        <f t="shared" si="13"/>
        <v>1348.466667</v>
      </c>
    </row>
    <row r="155" ht="24.75" customHeight="1">
      <c r="A155" s="21" t="s">
        <v>119</v>
      </c>
      <c r="B155" s="13">
        <f>IFERROR(__xludf.DUMMYFUNCTION("GOOGLEFINANCE(A155,""PRICE"")"),5.87)</f>
        <v>5.87</v>
      </c>
      <c r="C155" s="14">
        <f>IFERROR(__xludf.DUMMYFUNCTION("GOOGLEFINANCE(A155,""PRICEOPEN"")"),5.8)</f>
        <v>5.8</v>
      </c>
      <c r="D155" s="14">
        <f>IFERROR(__xludf.DUMMYFUNCTION("GOOGLEFINANCE(A155,""HIGH"")"),5.87)</f>
        <v>5.87</v>
      </c>
      <c r="E155" s="14">
        <f>IFERROR(__xludf.DUMMYFUNCTION("GOOGLEFINANCE(A155,""LOW"")"),5.78)</f>
        <v>5.78</v>
      </c>
      <c r="F155" s="15" t="str">
        <f t="shared" si="8"/>
        <v/>
      </c>
      <c r="G155" s="16">
        <f>IFERROR(__xludf.DUMMYFUNCTION("GOOGLEFINANCE(A155,""CLOSEYEST"")"),5.81)</f>
        <v>5.81</v>
      </c>
      <c r="H155" s="17" t="str">
        <f t="shared" si="14"/>
        <v/>
      </c>
      <c r="I155" s="18">
        <f t="shared" si="9"/>
        <v>5.82</v>
      </c>
      <c r="J155" s="19">
        <f t="shared" si="10"/>
        <v>5.86</v>
      </c>
      <c r="K155" s="19"/>
      <c r="L155" s="19">
        <f t="shared" si="11"/>
        <v>5.77</v>
      </c>
      <c r="M155" s="19">
        <f t="shared" si="12"/>
        <v>5.91</v>
      </c>
      <c r="N155" s="19">
        <f t="shared" si="13"/>
        <v>5.73</v>
      </c>
    </row>
    <row r="156" ht="24.75" customHeight="1">
      <c r="A156" s="21" t="s">
        <v>120</v>
      </c>
      <c r="B156" s="13">
        <f>IFERROR(__xludf.DUMMYFUNCTION("GOOGLEFINANCE(A156,""PRICE"")"),435.6)</f>
        <v>435.6</v>
      </c>
      <c r="C156" s="14">
        <f>IFERROR(__xludf.DUMMYFUNCTION("GOOGLEFINANCE(A156,""PRICEOPEN"")"),435.1)</f>
        <v>435.1</v>
      </c>
      <c r="D156" s="14">
        <f>IFERROR(__xludf.DUMMYFUNCTION("GOOGLEFINANCE(A156,""HIGH"")"),437.8)</f>
        <v>437.8</v>
      </c>
      <c r="E156" s="14">
        <f>IFERROR(__xludf.DUMMYFUNCTION("GOOGLEFINANCE(A156,""LOW"")"),430.7)</f>
        <v>430.7</v>
      </c>
      <c r="F156" s="15" t="str">
        <f t="shared" si="8"/>
        <v/>
      </c>
      <c r="G156" s="16">
        <f>IFERROR(__xludf.DUMMYFUNCTION("GOOGLEFINANCE(A156,""CLOSEYEST"")"),435.1)</f>
        <v>435.1</v>
      </c>
      <c r="H156" s="17" t="str">
        <f t="shared" si="14"/>
        <v/>
      </c>
      <c r="I156" s="18">
        <f t="shared" si="9"/>
        <v>434.5333333</v>
      </c>
      <c r="J156" s="19">
        <f t="shared" si="10"/>
        <v>438.3666667</v>
      </c>
      <c r="K156" s="19"/>
      <c r="L156" s="19">
        <f t="shared" si="11"/>
        <v>431.2666667</v>
      </c>
      <c r="M156" s="19">
        <f t="shared" si="12"/>
        <v>441.6333333</v>
      </c>
      <c r="N156" s="19">
        <f t="shared" si="13"/>
        <v>427.4333333</v>
      </c>
    </row>
    <row r="157" ht="24.75" customHeight="1">
      <c r="A157" s="21" t="s">
        <v>121</v>
      </c>
      <c r="B157" s="13">
        <f>IFERROR(__xludf.DUMMYFUNCTION("GOOGLEFINANCE(A157,""PRICE"")"),1572.0)</f>
        <v>1572</v>
      </c>
      <c r="C157" s="14">
        <f>IFERROR(__xludf.DUMMYFUNCTION("GOOGLEFINANCE(A157,""PRICEOPEN"")"),1607.8)</f>
        <v>1607.8</v>
      </c>
      <c r="D157" s="14">
        <f>IFERROR(__xludf.DUMMYFUNCTION("GOOGLEFINANCE(A157,""HIGH"")"),1607.8)</f>
        <v>1607.8</v>
      </c>
      <c r="E157" s="14">
        <f>IFERROR(__xludf.DUMMYFUNCTION("GOOGLEFINANCE(A157,""LOW"")"),1557.8)</f>
        <v>1557.8</v>
      </c>
      <c r="F157" s="15" t="str">
        <f t="shared" si="8"/>
        <v>SELL</v>
      </c>
      <c r="G157" s="16">
        <f>IFERROR(__xludf.DUMMYFUNCTION("GOOGLEFINANCE(A157,""CLOSEYEST"")"),1605.3)</f>
        <v>1605.3</v>
      </c>
      <c r="H157" s="17" t="str">
        <f t="shared" si="14"/>
        <v/>
      </c>
      <c r="I157" s="18">
        <f t="shared" si="9"/>
        <v>1590.3</v>
      </c>
      <c r="J157" s="19">
        <f t="shared" si="10"/>
        <v>1622.8</v>
      </c>
      <c r="K157" s="19"/>
      <c r="L157" s="19">
        <f t="shared" si="11"/>
        <v>1572.8</v>
      </c>
      <c r="M157" s="19">
        <f t="shared" si="12"/>
        <v>1640.3</v>
      </c>
      <c r="N157" s="19">
        <f t="shared" si="13"/>
        <v>1540.3</v>
      </c>
    </row>
    <row r="158" ht="24.75" customHeight="1">
      <c r="A158" s="21" t="s">
        <v>122</v>
      </c>
      <c r="B158" s="13">
        <f>IFERROR(__xludf.DUMMYFUNCTION("GOOGLEFINANCE(A158,""PRICE"")"),42945.0)</f>
        <v>42945</v>
      </c>
      <c r="C158" s="14">
        <f>IFERROR(__xludf.DUMMYFUNCTION("GOOGLEFINANCE(A158,""PRICEOPEN"")"),42110.0)</f>
        <v>42110</v>
      </c>
      <c r="D158" s="14">
        <f>IFERROR(__xludf.DUMMYFUNCTION("GOOGLEFINANCE(A158,""HIGH"")"),43135.0)</f>
        <v>43135</v>
      </c>
      <c r="E158" s="14">
        <f>IFERROR(__xludf.DUMMYFUNCTION("GOOGLEFINANCE(A158,""LOW"")"),41645.0)</f>
        <v>41645</v>
      </c>
      <c r="F158" s="15" t="str">
        <f t="shared" si="8"/>
        <v/>
      </c>
      <c r="G158" s="16">
        <f>IFERROR(__xludf.DUMMYFUNCTION("GOOGLEFINANCE(A158,""CLOSEYEST"")"),42110.0)</f>
        <v>42110</v>
      </c>
      <c r="H158" s="17" t="str">
        <f t="shared" si="14"/>
        <v/>
      </c>
      <c r="I158" s="18">
        <f t="shared" si="9"/>
        <v>42296.66667</v>
      </c>
      <c r="J158" s="19">
        <f t="shared" si="10"/>
        <v>42948.33333</v>
      </c>
      <c r="K158" s="19"/>
      <c r="L158" s="19">
        <f t="shared" si="11"/>
        <v>41458.33333</v>
      </c>
      <c r="M158" s="19">
        <f t="shared" si="12"/>
        <v>43786.66667</v>
      </c>
      <c r="N158" s="19">
        <f t="shared" si="13"/>
        <v>40806.66667</v>
      </c>
    </row>
    <row r="159" ht="24.75" customHeight="1">
      <c r="A159" s="21" t="s">
        <v>123</v>
      </c>
      <c r="B159" s="13">
        <f>IFERROR(__xludf.DUMMYFUNCTION("GOOGLEFINANCE(A159,""PRICE"")"),263.8)</f>
        <v>263.8</v>
      </c>
      <c r="C159" s="14">
        <f>IFERROR(__xludf.DUMMYFUNCTION("GOOGLEFINANCE(A159,""PRICEOPEN"")"),260.1)</f>
        <v>260.1</v>
      </c>
      <c r="D159" s="14">
        <f>IFERROR(__xludf.DUMMYFUNCTION("GOOGLEFINANCE(A159,""HIGH"")"),265.35)</f>
        <v>265.35</v>
      </c>
      <c r="E159" s="14">
        <f>IFERROR(__xludf.DUMMYFUNCTION("GOOGLEFINANCE(A159,""LOW"")"),257.8)</f>
        <v>257.8</v>
      </c>
      <c r="F159" s="15" t="str">
        <f t="shared" si="8"/>
        <v/>
      </c>
      <c r="G159" s="16">
        <f>IFERROR(__xludf.DUMMYFUNCTION("GOOGLEFINANCE(A159,""CLOSEYEST"")"),259.6)</f>
        <v>259.6</v>
      </c>
      <c r="H159" s="17" t="str">
        <f t="shared" si="14"/>
        <v/>
      </c>
      <c r="I159" s="18">
        <f t="shared" si="9"/>
        <v>260.9166667</v>
      </c>
      <c r="J159" s="19">
        <f t="shared" si="10"/>
        <v>264.0333333</v>
      </c>
      <c r="K159" s="19"/>
      <c r="L159" s="19">
        <f t="shared" si="11"/>
        <v>256.4833333</v>
      </c>
      <c r="M159" s="19">
        <f t="shared" si="12"/>
        <v>268.4666667</v>
      </c>
      <c r="N159" s="19">
        <f t="shared" si="13"/>
        <v>253.3666667</v>
      </c>
    </row>
    <row r="160" ht="24.75" customHeight="1">
      <c r="A160" s="21" t="s">
        <v>124</v>
      </c>
      <c r="B160" s="13">
        <f>IFERROR(__xludf.DUMMYFUNCTION("GOOGLEFINANCE(A160,""PRICE"")"),2304.6)</f>
        <v>2304.6</v>
      </c>
      <c r="C160" s="14">
        <f>IFERROR(__xludf.DUMMYFUNCTION("GOOGLEFINANCE(A160,""PRICEOPEN"")"),2315.0)</f>
        <v>2315</v>
      </c>
      <c r="D160" s="14">
        <f>IFERROR(__xludf.DUMMYFUNCTION("GOOGLEFINANCE(A160,""HIGH"")"),2317.0)</f>
        <v>2317</v>
      </c>
      <c r="E160" s="14">
        <f>IFERROR(__xludf.DUMMYFUNCTION("GOOGLEFINANCE(A160,""LOW"")"),2295.0)</f>
        <v>2295</v>
      </c>
      <c r="F160" s="15" t="str">
        <f t="shared" si="8"/>
        <v/>
      </c>
      <c r="G160" s="16">
        <f>IFERROR(__xludf.DUMMYFUNCTION("GOOGLEFINANCE(A160,""CLOSEYEST"")"),2305.6)</f>
        <v>2305.6</v>
      </c>
      <c r="H160" s="17" t="str">
        <f t="shared" si="14"/>
        <v/>
      </c>
      <c r="I160" s="18">
        <f t="shared" si="9"/>
        <v>2305.866667</v>
      </c>
      <c r="J160" s="19">
        <f t="shared" si="10"/>
        <v>2316.733333</v>
      </c>
      <c r="K160" s="19"/>
      <c r="L160" s="19">
        <f t="shared" si="11"/>
        <v>2294.733333</v>
      </c>
      <c r="M160" s="19">
        <f t="shared" si="12"/>
        <v>2327.866667</v>
      </c>
      <c r="N160" s="19">
        <f t="shared" si="13"/>
        <v>2283.866667</v>
      </c>
    </row>
    <row r="161" ht="24.75" customHeight="1">
      <c r="A161" s="21" t="s">
        <v>125</v>
      </c>
      <c r="B161" s="13" t="str">
        <f>IFERROR(__xludf.DUMMYFUNCTION("GOOGLEFINANCE(A161,""PRICE"")"),"#N/A")</f>
        <v>#N/A</v>
      </c>
      <c r="C161" s="14" t="str">
        <f>IFERROR(__xludf.DUMMYFUNCTION("GOOGLEFINANCE(A161,""PRICEOPEN"")"),"#N/A")</f>
        <v>#N/A</v>
      </c>
      <c r="D161" s="14" t="str">
        <f>IFERROR(__xludf.DUMMYFUNCTION("GOOGLEFINANCE(A161,""HIGH"")"),"#N/A")</f>
        <v>#N/A</v>
      </c>
      <c r="E161" s="14" t="str">
        <f>IFERROR(__xludf.DUMMYFUNCTION("GOOGLEFINANCE(A161,""LOW"")"),"#N/A")</f>
        <v>#N/A</v>
      </c>
      <c r="F161" s="15" t="str">
        <f t="shared" si="8"/>
        <v>#N/A</v>
      </c>
      <c r="G161" s="16" t="str">
        <f>IFERROR(__xludf.DUMMYFUNCTION("GOOGLEFINANCE(A161,""CLOSEYEST"")"),"#N/A")</f>
        <v>#N/A</v>
      </c>
      <c r="H161" s="17" t="str">
        <f t="shared" si="14"/>
        <v>#N/A</v>
      </c>
      <c r="I161" s="18" t="str">
        <f t="shared" si="9"/>
        <v>#N/A</v>
      </c>
      <c r="J161" s="19" t="str">
        <f t="shared" si="10"/>
        <v>#N/A</v>
      </c>
      <c r="K161" s="19"/>
      <c r="L161" s="19" t="str">
        <f t="shared" si="11"/>
        <v>#N/A</v>
      </c>
      <c r="M161" s="19" t="str">
        <f t="shared" si="12"/>
        <v>#N/A</v>
      </c>
      <c r="N161" s="19" t="str">
        <f t="shared" si="13"/>
        <v>#N/A</v>
      </c>
    </row>
    <row r="162" ht="24.75" customHeight="1">
      <c r="A162" s="21" t="s">
        <v>126</v>
      </c>
      <c r="B162" s="13">
        <f>IFERROR(__xludf.DUMMYFUNCTION("GOOGLEFINANCE(A162,""PRICE"")"),165.8)</f>
        <v>165.8</v>
      </c>
      <c r="C162" s="14">
        <f>IFERROR(__xludf.DUMMYFUNCTION("GOOGLEFINANCE(A162,""PRICEOPEN"")"),163.54)</f>
        <v>163.54</v>
      </c>
      <c r="D162" s="14">
        <f>IFERROR(__xludf.DUMMYFUNCTION("GOOGLEFINANCE(A162,""HIGH"")"),166.41)</f>
        <v>166.41</v>
      </c>
      <c r="E162" s="14">
        <f>IFERROR(__xludf.DUMMYFUNCTION("GOOGLEFINANCE(A162,""LOW"")"),163.0)</f>
        <v>163</v>
      </c>
      <c r="F162" s="15" t="str">
        <f t="shared" si="8"/>
        <v/>
      </c>
      <c r="G162" s="16">
        <f>IFERROR(__xludf.DUMMYFUNCTION("GOOGLEFINANCE(A162,""CLOSEYEST"")"),163.54)</f>
        <v>163.54</v>
      </c>
      <c r="H162" s="17" t="str">
        <f t="shared" si="14"/>
        <v/>
      </c>
      <c r="I162" s="18">
        <f t="shared" si="9"/>
        <v>164.3166667</v>
      </c>
      <c r="J162" s="19">
        <f t="shared" si="10"/>
        <v>165.6333333</v>
      </c>
      <c r="K162" s="19"/>
      <c r="L162" s="19">
        <f t="shared" si="11"/>
        <v>162.2233333</v>
      </c>
      <c r="M162" s="19">
        <f t="shared" si="12"/>
        <v>167.7266667</v>
      </c>
      <c r="N162" s="19">
        <f t="shared" si="13"/>
        <v>160.9066667</v>
      </c>
    </row>
    <row r="163" ht="24.75" customHeight="1">
      <c r="A163" s="21" t="s">
        <v>127</v>
      </c>
      <c r="B163" s="13">
        <f>IFERROR(__xludf.DUMMYFUNCTION("GOOGLEFINANCE(A163,""PRICE"")"),445.2)</f>
        <v>445.2</v>
      </c>
      <c r="C163" s="14">
        <f>IFERROR(__xludf.DUMMYFUNCTION("GOOGLEFINANCE(A163,""PRICEOPEN"")"),439.0)</f>
        <v>439</v>
      </c>
      <c r="D163" s="14">
        <f>IFERROR(__xludf.DUMMYFUNCTION("GOOGLEFINANCE(A163,""HIGH"")"),447.0)</f>
        <v>447</v>
      </c>
      <c r="E163" s="14">
        <f>IFERROR(__xludf.DUMMYFUNCTION("GOOGLEFINANCE(A163,""LOW"")"),431.8)</f>
        <v>431.8</v>
      </c>
      <c r="F163" s="15" t="str">
        <f t="shared" si="8"/>
        <v/>
      </c>
      <c r="G163" s="16">
        <f>IFERROR(__xludf.DUMMYFUNCTION("GOOGLEFINANCE(A163,""CLOSEYEST"")"),434.4)</f>
        <v>434.4</v>
      </c>
      <c r="H163" s="17" t="str">
        <f t="shared" si="14"/>
        <v>GAP UP</v>
      </c>
      <c r="I163" s="18">
        <f t="shared" si="9"/>
        <v>437.7333333</v>
      </c>
      <c r="J163" s="19">
        <f t="shared" si="10"/>
        <v>443.6666667</v>
      </c>
      <c r="K163" s="19"/>
      <c r="L163" s="19">
        <f t="shared" si="11"/>
        <v>428.4666667</v>
      </c>
      <c r="M163" s="19">
        <f t="shared" si="12"/>
        <v>452.9333333</v>
      </c>
      <c r="N163" s="19">
        <f t="shared" si="13"/>
        <v>422.5333333</v>
      </c>
    </row>
    <row r="164" ht="24.75" customHeight="1">
      <c r="A164" s="21" t="s">
        <v>128</v>
      </c>
      <c r="B164" s="13">
        <f>IFERROR(__xludf.DUMMYFUNCTION("GOOGLEFINANCE(A164,""PRICE"")"),147.48)</f>
        <v>147.48</v>
      </c>
      <c r="C164" s="14">
        <f>IFERROR(__xludf.DUMMYFUNCTION("GOOGLEFINANCE(A164,""PRICEOPEN"")"),152.9)</f>
        <v>152.9</v>
      </c>
      <c r="D164" s="14">
        <f>IFERROR(__xludf.DUMMYFUNCTION("GOOGLEFINANCE(A164,""HIGH"")"),153.0)</f>
        <v>153</v>
      </c>
      <c r="E164" s="14">
        <f>IFERROR(__xludf.DUMMYFUNCTION("GOOGLEFINANCE(A164,""LOW"")"),143.15)</f>
        <v>143.15</v>
      </c>
      <c r="F164" s="15" t="str">
        <f t="shared" si="8"/>
        <v/>
      </c>
      <c r="G164" s="16">
        <f>IFERROR(__xludf.DUMMYFUNCTION("GOOGLEFINANCE(A164,""CLOSEYEST"")"),152.51)</f>
        <v>152.51</v>
      </c>
      <c r="H164" s="17" t="str">
        <f t="shared" si="14"/>
        <v/>
      </c>
      <c r="I164" s="18">
        <f t="shared" si="9"/>
        <v>149.5533333</v>
      </c>
      <c r="J164" s="19">
        <f t="shared" si="10"/>
        <v>155.9566667</v>
      </c>
      <c r="K164" s="19"/>
      <c r="L164" s="19">
        <f t="shared" si="11"/>
        <v>146.1066667</v>
      </c>
      <c r="M164" s="19">
        <f t="shared" si="12"/>
        <v>159.4033333</v>
      </c>
      <c r="N164" s="19">
        <f t="shared" si="13"/>
        <v>139.7033333</v>
      </c>
    </row>
    <row r="165" ht="24.75" customHeight="1">
      <c r="A165" s="21" t="s">
        <v>129</v>
      </c>
      <c r="B165" s="13">
        <f>IFERROR(__xludf.DUMMYFUNCTION("GOOGLEFINANCE(A165,""PRICE"")"),114.3)</f>
        <v>114.3</v>
      </c>
      <c r="C165" s="14">
        <f>IFERROR(__xludf.DUMMYFUNCTION("GOOGLEFINANCE(A165,""PRICEOPEN"")"),112.65)</f>
        <v>112.65</v>
      </c>
      <c r="D165" s="14">
        <f>IFERROR(__xludf.DUMMYFUNCTION("GOOGLEFINANCE(A165,""HIGH"")"),114.85)</f>
        <v>114.85</v>
      </c>
      <c r="E165" s="14">
        <f>IFERROR(__xludf.DUMMYFUNCTION("GOOGLEFINANCE(A165,""LOW"")"),112.44)</f>
        <v>112.44</v>
      </c>
      <c r="F165" s="15" t="str">
        <f t="shared" si="8"/>
        <v/>
      </c>
      <c r="G165" s="16">
        <f>IFERROR(__xludf.DUMMYFUNCTION("GOOGLEFINANCE(A165,""CLOSEYEST"")"),112.55)</f>
        <v>112.55</v>
      </c>
      <c r="H165" s="17" t="str">
        <f t="shared" si="14"/>
        <v/>
      </c>
      <c r="I165" s="18">
        <f t="shared" si="9"/>
        <v>113.28</v>
      </c>
      <c r="J165" s="19">
        <f t="shared" si="10"/>
        <v>114.12</v>
      </c>
      <c r="K165" s="19"/>
      <c r="L165" s="19">
        <f t="shared" si="11"/>
        <v>111.71</v>
      </c>
      <c r="M165" s="19">
        <f t="shared" si="12"/>
        <v>115.69</v>
      </c>
      <c r="N165" s="19">
        <f t="shared" si="13"/>
        <v>110.87</v>
      </c>
    </row>
    <row r="166" ht="24.75" customHeight="1">
      <c r="A166" s="21" t="s">
        <v>130</v>
      </c>
      <c r="B166" s="13">
        <f>IFERROR(__xludf.DUMMYFUNCTION("GOOGLEFINANCE(A166,""PRICE"")"),5425.0)</f>
        <v>5425</v>
      </c>
      <c r="C166" s="14">
        <f>IFERROR(__xludf.DUMMYFUNCTION("GOOGLEFINANCE(A166,""PRICEOPEN"")"),5519.0)</f>
        <v>5519</v>
      </c>
      <c r="D166" s="14">
        <f>IFERROR(__xludf.DUMMYFUNCTION("GOOGLEFINANCE(A166,""HIGH"")"),5519.0)</f>
        <v>5519</v>
      </c>
      <c r="E166" s="14">
        <f>IFERROR(__xludf.DUMMYFUNCTION("GOOGLEFINANCE(A166,""LOW"")"),5425.0)</f>
        <v>5425</v>
      </c>
      <c r="F166" s="15" t="str">
        <f t="shared" si="8"/>
        <v>SELL</v>
      </c>
      <c r="G166" s="16">
        <f>IFERROR(__xludf.DUMMYFUNCTION("GOOGLEFINANCE(A166,""CLOSEYEST"")"),5459.5)</f>
        <v>5459.5</v>
      </c>
      <c r="H166" s="17" t="str">
        <f t="shared" si="14"/>
        <v>GAP UP</v>
      </c>
      <c r="I166" s="18">
        <f t="shared" si="9"/>
        <v>5467.833333</v>
      </c>
      <c r="J166" s="19">
        <f t="shared" si="10"/>
        <v>5510.666667</v>
      </c>
      <c r="K166" s="19"/>
      <c r="L166" s="19">
        <f t="shared" si="11"/>
        <v>5416.666667</v>
      </c>
      <c r="M166" s="19">
        <f t="shared" si="12"/>
        <v>5561.833333</v>
      </c>
      <c r="N166" s="19">
        <f t="shared" si="13"/>
        <v>5373.833333</v>
      </c>
    </row>
    <row r="167" ht="24.75" customHeight="1">
      <c r="A167" s="21" t="s">
        <v>131</v>
      </c>
      <c r="B167" s="13">
        <f>IFERROR(__xludf.DUMMYFUNCTION("GOOGLEFINANCE(A167,""PRICE"")"),24.31)</f>
        <v>24.31</v>
      </c>
      <c r="C167" s="14">
        <f>IFERROR(__xludf.DUMMYFUNCTION("GOOGLEFINANCE(A167,""PRICEOPEN"")"),24.72)</f>
        <v>24.72</v>
      </c>
      <c r="D167" s="14">
        <f>IFERROR(__xludf.DUMMYFUNCTION("GOOGLEFINANCE(A167,""HIGH"")"),24.79)</f>
        <v>24.79</v>
      </c>
      <c r="E167" s="14">
        <f>IFERROR(__xludf.DUMMYFUNCTION("GOOGLEFINANCE(A167,""LOW"")"),24.26)</f>
        <v>24.26</v>
      </c>
      <c r="F167" s="15" t="str">
        <f t="shared" si="8"/>
        <v/>
      </c>
      <c r="G167" s="16">
        <f>IFERROR(__xludf.DUMMYFUNCTION("GOOGLEFINANCE(A167,""CLOSEYEST"")"),24.4)</f>
        <v>24.4</v>
      </c>
      <c r="H167" s="17" t="str">
        <f t="shared" si="14"/>
        <v>GAP UP</v>
      </c>
      <c r="I167" s="18">
        <f t="shared" si="9"/>
        <v>24.48333333</v>
      </c>
      <c r="J167" s="19">
        <f t="shared" si="10"/>
        <v>24.70666667</v>
      </c>
      <c r="K167" s="19"/>
      <c r="L167" s="19">
        <f t="shared" si="11"/>
        <v>24.17666667</v>
      </c>
      <c r="M167" s="19">
        <f t="shared" si="12"/>
        <v>25.01333333</v>
      </c>
      <c r="N167" s="19">
        <f t="shared" si="13"/>
        <v>23.95333333</v>
      </c>
    </row>
    <row r="168" ht="24.75" customHeight="1">
      <c r="A168" s="21" t="s">
        <v>132</v>
      </c>
      <c r="B168" s="13">
        <f>IFERROR(__xludf.DUMMYFUNCTION("GOOGLEFINANCE(A168,""PRICE"")"),3621.1)</f>
        <v>3621.1</v>
      </c>
      <c r="C168" s="14">
        <f>IFERROR(__xludf.DUMMYFUNCTION("GOOGLEFINANCE(A168,""PRICEOPEN"")"),3570.0)</f>
        <v>3570</v>
      </c>
      <c r="D168" s="14">
        <f>IFERROR(__xludf.DUMMYFUNCTION("GOOGLEFINANCE(A168,""HIGH"")"),3628.6)</f>
        <v>3628.6</v>
      </c>
      <c r="E168" s="14">
        <f>IFERROR(__xludf.DUMMYFUNCTION("GOOGLEFINANCE(A168,""LOW"")"),3562.2)</f>
        <v>3562.2</v>
      </c>
      <c r="F168" s="15" t="str">
        <f t="shared" si="8"/>
        <v/>
      </c>
      <c r="G168" s="16">
        <f>IFERROR(__xludf.DUMMYFUNCTION("GOOGLEFINANCE(A168,""CLOSEYEST"")"),3584.1)</f>
        <v>3584.1</v>
      </c>
      <c r="H168" s="17" t="str">
        <f t="shared" si="14"/>
        <v/>
      </c>
      <c r="I168" s="18">
        <f t="shared" si="9"/>
        <v>3591.633333</v>
      </c>
      <c r="J168" s="19">
        <f t="shared" si="10"/>
        <v>3621.066667</v>
      </c>
      <c r="K168" s="19"/>
      <c r="L168" s="19">
        <f t="shared" si="11"/>
        <v>3554.666667</v>
      </c>
      <c r="M168" s="19">
        <f t="shared" si="12"/>
        <v>3658.033333</v>
      </c>
      <c r="N168" s="19">
        <f t="shared" si="13"/>
        <v>3525.233333</v>
      </c>
    </row>
    <row r="169" ht="24.75" customHeight="1">
      <c r="A169" s="21" t="s">
        <v>133</v>
      </c>
      <c r="B169" s="13">
        <f>IFERROR(__xludf.DUMMYFUNCTION("GOOGLEFINANCE(A169,""PRICE"")"),421.4)</f>
        <v>421.4</v>
      </c>
      <c r="C169" s="14">
        <f>IFERROR(__xludf.DUMMYFUNCTION("GOOGLEFINANCE(A169,""PRICEOPEN"")"),413.75)</f>
        <v>413.75</v>
      </c>
      <c r="D169" s="14">
        <f>IFERROR(__xludf.DUMMYFUNCTION("GOOGLEFINANCE(A169,""HIGH"")"),421.4)</f>
        <v>421.4</v>
      </c>
      <c r="E169" s="14">
        <f>IFERROR(__xludf.DUMMYFUNCTION("GOOGLEFINANCE(A169,""LOW"")"),410.25)</f>
        <v>410.25</v>
      </c>
      <c r="F169" s="15" t="str">
        <f t="shared" si="8"/>
        <v/>
      </c>
      <c r="G169" s="16">
        <f>IFERROR(__xludf.DUMMYFUNCTION("GOOGLEFINANCE(A169,""CLOSEYEST"")"),413.75)</f>
        <v>413.75</v>
      </c>
      <c r="H169" s="17" t="str">
        <f t="shared" si="14"/>
        <v/>
      </c>
      <c r="I169" s="18">
        <f t="shared" si="9"/>
        <v>415.1333333</v>
      </c>
      <c r="J169" s="19">
        <f t="shared" si="10"/>
        <v>420.0166667</v>
      </c>
      <c r="K169" s="19"/>
      <c r="L169" s="19">
        <f t="shared" si="11"/>
        <v>408.8666667</v>
      </c>
      <c r="M169" s="19">
        <f t="shared" si="12"/>
        <v>426.2833333</v>
      </c>
      <c r="N169" s="19">
        <f t="shared" si="13"/>
        <v>403.9833333</v>
      </c>
    </row>
    <row r="170" ht="24.75" customHeight="1">
      <c r="A170" s="21" t="s">
        <v>134</v>
      </c>
      <c r="B170" s="13" t="str">
        <f>IFERROR(__xludf.DUMMYFUNCTION("GOOGLEFINANCE(A170,""PRICE"")"),"#N/A")</f>
        <v>#N/A</v>
      </c>
      <c r="C170" s="14" t="str">
        <f>IFERROR(__xludf.DUMMYFUNCTION("GOOGLEFINANCE(A170,""PRICEOPEN"")"),"#N/A")</f>
        <v>#N/A</v>
      </c>
      <c r="D170" s="14" t="str">
        <f>IFERROR(__xludf.DUMMYFUNCTION("GOOGLEFINANCE(A170,""HIGH"")"),"#N/A")</f>
        <v>#N/A</v>
      </c>
      <c r="E170" s="14" t="str">
        <f>IFERROR(__xludf.DUMMYFUNCTION("GOOGLEFINANCE(A170,""LOW"")"),"#N/A")</f>
        <v>#N/A</v>
      </c>
      <c r="F170" s="15" t="str">
        <f t="shared" si="8"/>
        <v>#N/A</v>
      </c>
      <c r="G170" s="16" t="str">
        <f>IFERROR(__xludf.DUMMYFUNCTION("GOOGLEFINANCE(A170,""CLOSEYEST"")"),"#N/A")</f>
        <v>#N/A</v>
      </c>
      <c r="H170" s="17" t="str">
        <f t="shared" si="14"/>
        <v>#N/A</v>
      </c>
      <c r="I170" s="18" t="str">
        <f t="shared" si="9"/>
        <v>#N/A</v>
      </c>
      <c r="J170" s="19" t="str">
        <f t="shared" si="10"/>
        <v>#N/A</v>
      </c>
      <c r="K170" s="19"/>
      <c r="L170" s="19" t="str">
        <f t="shared" si="11"/>
        <v>#N/A</v>
      </c>
      <c r="M170" s="19" t="str">
        <f t="shared" si="12"/>
        <v>#N/A</v>
      </c>
      <c r="N170" s="19" t="str">
        <f t="shared" si="13"/>
        <v>#N/A</v>
      </c>
    </row>
    <row r="171" ht="24.75" customHeight="1">
      <c r="A171" s="21" t="s">
        <v>135</v>
      </c>
      <c r="B171" s="13">
        <f>IFERROR(__xludf.DUMMYFUNCTION("GOOGLEFINANCE(A171,""PRICE"")"),351.6)</f>
        <v>351.6</v>
      </c>
      <c r="C171" s="14">
        <f>IFERROR(__xludf.DUMMYFUNCTION("GOOGLEFINANCE(A171,""PRICEOPEN"")"),347.6)</f>
        <v>347.6</v>
      </c>
      <c r="D171" s="14">
        <f>IFERROR(__xludf.DUMMYFUNCTION("GOOGLEFINANCE(A171,""HIGH"")"),352.95)</f>
        <v>352.95</v>
      </c>
      <c r="E171" s="14">
        <f>IFERROR(__xludf.DUMMYFUNCTION("GOOGLEFINANCE(A171,""LOW"")"),346.75)</f>
        <v>346.75</v>
      </c>
      <c r="F171" s="15" t="str">
        <f t="shared" si="8"/>
        <v/>
      </c>
      <c r="G171" s="16">
        <f>IFERROR(__xludf.DUMMYFUNCTION("GOOGLEFINANCE(A171,""CLOSEYEST"")"),346.45)</f>
        <v>346.45</v>
      </c>
      <c r="H171" s="17" t="str">
        <f t="shared" si="14"/>
        <v/>
      </c>
      <c r="I171" s="18">
        <f t="shared" si="9"/>
        <v>348.7166667</v>
      </c>
      <c r="J171" s="19">
        <f t="shared" si="10"/>
        <v>350.6833333</v>
      </c>
      <c r="K171" s="19"/>
      <c r="L171" s="19">
        <f t="shared" si="11"/>
        <v>344.4833333</v>
      </c>
      <c r="M171" s="19">
        <f t="shared" si="12"/>
        <v>354.9166667</v>
      </c>
      <c r="N171" s="19">
        <f t="shared" si="13"/>
        <v>342.5166667</v>
      </c>
    </row>
    <row r="172" ht="24.75" customHeight="1">
      <c r="A172" s="21" t="s">
        <v>136</v>
      </c>
      <c r="B172" s="13">
        <f>IFERROR(__xludf.DUMMYFUNCTION("GOOGLEFINANCE(A172,""PRICE"")"),23.52)</f>
        <v>23.52</v>
      </c>
      <c r="C172" s="14">
        <f>IFERROR(__xludf.DUMMYFUNCTION("GOOGLEFINANCE(A172,""PRICEOPEN"")"),23.37)</f>
        <v>23.37</v>
      </c>
      <c r="D172" s="14">
        <f>IFERROR(__xludf.DUMMYFUNCTION("GOOGLEFINANCE(A172,""HIGH"")"),23.87)</f>
        <v>23.87</v>
      </c>
      <c r="E172" s="14">
        <f>IFERROR(__xludf.DUMMYFUNCTION("GOOGLEFINANCE(A172,""LOW"")"),23.19)</f>
        <v>23.19</v>
      </c>
      <c r="F172" s="15" t="str">
        <f t="shared" si="8"/>
        <v/>
      </c>
      <c r="G172" s="16">
        <f>IFERROR(__xludf.DUMMYFUNCTION("GOOGLEFINANCE(A172,""CLOSEYEST"")"),23.36)</f>
        <v>23.36</v>
      </c>
      <c r="H172" s="17" t="str">
        <f t="shared" si="14"/>
        <v/>
      </c>
      <c r="I172" s="18">
        <f t="shared" si="9"/>
        <v>23.47333333</v>
      </c>
      <c r="J172" s="19">
        <f t="shared" si="10"/>
        <v>23.75666667</v>
      </c>
      <c r="K172" s="19"/>
      <c r="L172" s="19">
        <f t="shared" si="11"/>
        <v>23.07666667</v>
      </c>
      <c r="M172" s="19">
        <f t="shared" si="12"/>
        <v>24.15333333</v>
      </c>
      <c r="N172" s="19">
        <f t="shared" si="13"/>
        <v>22.79333333</v>
      </c>
    </row>
    <row r="173" ht="24.75" customHeight="1">
      <c r="A173" s="21" t="s">
        <v>137</v>
      </c>
      <c r="B173" s="13">
        <f>IFERROR(__xludf.DUMMYFUNCTION("GOOGLEFINANCE(A173,""PRICE"")"),1095.0)</f>
        <v>1095</v>
      </c>
      <c r="C173" s="14">
        <f>IFERROR(__xludf.DUMMYFUNCTION("GOOGLEFINANCE(A173,""PRICEOPEN"")"),1095.0)</f>
        <v>1095</v>
      </c>
      <c r="D173" s="14">
        <f>IFERROR(__xludf.DUMMYFUNCTION("GOOGLEFINANCE(A173,""HIGH"")"),1102.6)</f>
        <v>1102.6</v>
      </c>
      <c r="E173" s="14">
        <f>IFERROR(__xludf.DUMMYFUNCTION("GOOGLEFINANCE(A173,""LOW"")"),1086.8)</f>
        <v>1086.8</v>
      </c>
      <c r="F173" s="15" t="str">
        <f t="shared" si="8"/>
        <v/>
      </c>
      <c r="G173" s="16">
        <f>IFERROR(__xludf.DUMMYFUNCTION("GOOGLEFINANCE(A173,""CLOSEYEST"")"),1086.0)</f>
        <v>1086</v>
      </c>
      <c r="H173" s="17" t="str">
        <f t="shared" si="14"/>
        <v/>
      </c>
      <c r="I173" s="18">
        <f t="shared" si="9"/>
        <v>1091.8</v>
      </c>
      <c r="J173" s="19">
        <f t="shared" si="10"/>
        <v>1096.8</v>
      </c>
      <c r="K173" s="19"/>
      <c r="L173" s="19">
        <f t="shared" si="11"/>
        <v>1081</v>
      </c>
      <c r="M173" s="19">
        <f t="shared" si="12"/>
        <v>1107.6</v>
      </c>
      <c r="N173" s="19">
        <f t="shared" si="13"/>
        <v>1076</v>
      </c>
    </row>
    <row r="174" ht="24.75" customHeight="1">
      <c r="A174" s="21" t="s">
        <v>138</v>
      </c>
      <c r="B174" s="13">
        <f>IFERROR(__xludf.DUMMYFUNCTION("GOOGLEFINANCE(A174,""PRICE"")"),1975.0)</f>
        <v>1975</v>
      </c>
      <c r="C174" s="14">
        <f>IFERROR(__xludf.DUMMYFUNCTION("GOOGLEFINANCE(A174,""PRICEOPEN"")"),1984.4)</f>
        <v>1984.4</v>
      </c>
      <c r="D174" s="14">
        <f>IFERROR(__xludf.DUMMYFUNCTION("GOOGLEFINANCE(A174,""HIGH"")"),2006.1)</f>
        <v>2006.1</v>
      </c>
      <c r="E174" s="14">
        <f>IFERROR(__xludf.DUMMYFUNCTION("GOOGLEFINANCE(A174,""LOW"")"),1969.1)</f>
        <v>1969.1</v>
      </c>
      <c r="F174" s="15" t="str">
        <f t="shared" si="8"/>
        <v/>
      </c>
      <c r="G174" s="16">
        <f>IFERROR(__xludf.DUMMYFUNCTION("GOOGLEFINANCE(A174,""CLOSEYEST"")"),1981.3)</f>
        <v>1981.3</v>
      </c>
      <c r="H174" s="17" t="str">
        <f t="shared" si="14"/>
        <v/>
      </c>
      <c r="I174" s="18">
        <f t="shared" si="9"/>
        <v>1985.5</v>
      </c>
      <c r="J174" s="19">
        <f t="shared" si="10"/>
        <v>2001.9</v>
      </c>
      <c r="K174" s="19"/>
      <c r="L174" s="19">
        <f t="shared" si="11"/>
        <v>1964.9</v>
      </c>
      <c r="M174" s="19">
        <f t="shared" si="12"/>
        <v>2022.5</v>
      </c>
      <c r="N174" s="19">
        <f t="shared" si="13"/>
        <v>1948.5</v>
      </c>
    </row>
    <row r="175" ht="24.75" customHeight="1">
      <c r="A175" s="21" t="s">
        <v>139</v>
      </c>
      <c r="B175" s="13">
        <f>IFERROR(__xludf.DUMMYFUNCTION("GOOGLEFINANCE(A175,""PRICE"")"),1799.0)</f>
        <v>1799</v>
      </c>
      <c r="C175" s="14">
        <f>IFERROR(__xludf.DUMMYFUNCTION("GOOGLEFINANCE(A175,""PRICEOPEN"")"),1810.0)</f>
        <v>1810</v>
      </c>
      <c r="D175" s="14">
        <f>IFERROR(__xludf.DUMMYFUNCTION("GOOGLEFINANCE(A175,""HIGH"")"),1824.5)</f>
        <v>1824.5</v>
      </c>
      <c r="E175" s="14">
        <f>IFERROR(__xludf.DUMMYFUNCTION("GOOGLEFINANCE(A175,""LOW"")"),1795.3)</f>
        <v>1795.3</v>
      </c>
      <c r="F175" s="15" t="str">
        <f t="shared" si="8"/>
        <v/>
      </c>
      <c r="G175" s="16">
        <f>IFERROR(__xludf.DUMMYFUNCTION("GOOGLEFINANCE(A175,""CLOSEYEST"")"),1798.8)</f>
        <v>1798.8</v>
      </c>
      <c r="H175" s="17" t="str">
        <f t="shared" si="14"/>
        <v/>
      </c>
      <c r="I175" s="18">
        <f t="shared" si="9"/>
        <v>1806.2</v>
      </c>
      <c r="J175" s="19">
        <f t="shared" si="10"/>
        <v>1817.1</v>
      </c>
      <c r="K175" s="19"/>
      <c r="L175" s="19">
        <f t="shared" si="11"/>
        <v>1787.9</v>
      </c>
      <c r="M175" s="19">
        <f t="shared" si="12"/>
        <v>1835.4</v>
      </c>
      <c r="N175" s="19">
        <f t="shared" si="13"/>
        <v>1777</v>
      </c>
    </row>
    <row r="176" ht="24.75" customHeight="1">
      <c r="A176" s="21" t="s">
        <v>140</v>
      </c>
      <c r="B176" s="13">
        <f>IFERROR(__xludf.DUMMYFUNCTION("GOOGLEFINANCE(A176,""PRICE"")"),1616.0)</f>
        <v>1616</v>
      </c>
      <c r="C176" s="14">
        <f>IFERROR(__xludf.DUMMYFUNCTION("GOOGLEFINANCE(A176,""PRICEOPEN"")"),1613.2)</f>
        <v>1613.2</v>
      </c>
      <c r="D176" s="14">
        <f>IFERROR(__xludf.DUMMYFUNCTION("GOOGLEFINANCE(A176,""HIGH"")"),1622.6)</f>
        <v>1622.6</v>
      </c>
      <c r="E176" s="14">
        <f>IFERROR(__xludf.DUMMYFUNCTION("GOOGLEFINANCE(A176,""LOW"")"),1599.2)</f>
        <v>1599.2</v>
      </c>
      <c r="F176" s="15" t="str">
        <f t="shared" si="8"/>
        <v/>
      </c>
      <c r="G176" s="16">
        <f>IFERROR(__xludf.DUMMYFUNCTION("GOOGLEFINANCE(A176,""CLOSEYEST"")"),1613.2)</f>
        <v>1613.2</v>
      </c>
      <c r="H176" s="17" t="str">
        <f t="shared" si="14"/>
        <v/>
      </c>
      <c r="I176" s="18">
        <f t="shared" si="9"/>
        <v>1611.666667</v>
      </c>
      <c r="J176" s="19">
        <f t="shared" si="10"/>
        <v>1624.133333</v>
      </c>
      <c r="K176" s="19"/>
      <c r="L176" s="19">
        <f t="shared" si="11"/>
        <v>1600.733333</v>
      </c>
      <c r="M176" s="19">
        <f t="shared" si="12"/>
        <v>1635.066667</v>
      </c>
      <c r="N176" s="19">
        <f t="shared" si="13"/>
        <v>1588.266667</v>
      </c>
    </row>
    <row r="177" ht="24.75" customHeight="1">
      <c r="A177" s="21" t="s">
        <v>141</v>
      </c>
      <c r="B177" s="13">
        <f>IFERROR(__xludf.DUMMYFUNCTION("GOOGLEFINANCE(A177,""PRICE"")"),1360.0)</f>
        <v>1360</v>
      </c>
      <c r="C177" s="14">
        <f>IFERROR(__xludf.DUMMYFUNCTION("GOOGLEFINANCE(A177,""PRICEOPEN"")"),1350.0)</f>
        <v>1350</v>
      </c>
      <c r="D177" s="14">
        <f>IFERROR(__xludf.DUMMYFUNCTION("GOOGLEFINANCE(A177,""HIGH"")"),1366.1)</f>
        <v>1366.1</v>
      </c>
      <c r="E177" s="14">
        <f>IFERROR(__xludf.DUMMYFUNCTION("GOOGLEFINANCE(A177,""LOW"")"),1346.1)</f>
        <v>1346.1</v>
      </c>
      <c r="F177" s="15" t="str">
        <f t="shared" si="8"/>
        <v/>
      </c>
      <c r="G177" s="16">
        <f>IFERROR(__xludf.DUMMYFUNCTION("GOOGLEFINANCE(A177,""CLOSEYEST"")"),1353.5)</f>
        <v>1353.5</v>
      </c>
      <c r="H177" s="17" t="str">
        <f t="shared" si="14"/>
        <v/>
      </c>
      <c r="I177" s="18">
        <f t="shared" si="9"/>
        <v>1355.233333</v>
      </c>
      <c r="J177" s="19">
        <f t="shared" si="10"/>
        <v>1364.366667</v>
      </c>
      <c r="K177" s="19"/>
      <c r="L177" s="19">
        <f t="shared" si="11"/>
        <v>1344.366667</v>
      </c>
      <c r="M177" s="19">
        <f t="shared" si="12"/>
        <v>1375.233333</v>
      </c>
      <c r="N177" s="19">
        <f t="shared" si="13"/>
        <v>1335.233333</v>
      </c>
    </row>
    <row r="178" ht="24.75" customHeight="1">
      <c r="A178" s="21" t="s">
        <v>142</v>
      </c>
      <c r="B178" s="13">
        <f>IFERROR(__xludf.DUMMYFUNCTION("GOOGLEFINANCE(A178,""PRICE"")"),77.17)</f>
        <v>77.17</v>
      </c>
      <c r="C178" s="14">
        <f>IFERROR(__xludf.DUMMYFUNCTION("GOOGLEFINANCE(A178,""PRICEOPEN"")"),76.61)</f>
        <v>76.61</v>
      </c>
      <c r="D178" s="14">
        <f>IFERROR(__xludf.DUMMYFUNCTION("GOOGLEFINANCE(A178,""HIGH"")"),77.98)</f>
        <v>77.98</v>
      </c>
      <c r="E178" s="14">
        <f>IFERROR(__xludf.DUMMYFUNCTION("GOOGLEFINANCE(A178,""LOW"")"),76.09)</f>
        <v>76.09</v>
      </c>
      <c r="F178" s="15" t="str">
        <f t="shared" si="8"/>
        <v/>
      </c>
      <c r="G178" s="16">
        <f>IFERROR(__xludf.DUMMYFUNCTION("GOOGLEFINANCE(A178,""CLOSEYEST"")"),76.16)</f>
        <v>76.16</v>
      </c>
      <c r="H178" s="17" t="str">
        <f t="shared" si="14"/>
        <v/>
      </c>
      <c r="I178" s="18">
        <f t="shared" si="9"/>
        <v>76.74333333</v>
      </c>
      <c r="J178" s="19">
        <f t="shared" si="10"/>
        <v>77.39666667</v>
      </c>
      <c r="K178" s="19"/>
      <c r="L178" s="19">
        <f t="shared" si="11"/>
        <v>75.50666667</v>
      </c>
      <c r="M178" s="19">
        <f t="shared" si="12"/>
        <v>78.63333333</v>
      </c>
      <c r="N178" s="19">
        <f t="shared" si="13"/>
        <v>74.85333333</v>
      </c>
    </row>
    <row r="179" ht="24.75" customHeight="1">
      <c r="A179" s="21" t="s">
        <v>143</v>
      </c>
      <c r="B179" s="13">
        <f>IFERROR(__xludf.DUMMYFUNCTION("GOOGLEFINANCE(A179,""PRICE"")"),740.5)</f>
        <v>740.5</v>
      </c>
      <c r="C179" s="14">
        <f>IFERROR(__xludf.DUMMYFUNCTION("GOOGLEFINANCE(A179,""PRICEOPEN"")"),722.05)</f>
        <v>722.05</v>
      </c>
      <c r="D179" s="14">
        <f>IFERROR(__xludf.DUMMYFUNCTION("GOOGLEFINANCE(A179,""HIGH"")"),743.7)</f>
        <v>743.7</v>
      </c>
      <c r="E179" s="14">
        <f>IFERROR(__xludf.DUMMYFUNCTION("GOOGLEFINANCE(A179,""LOW"")"),720.7)</f>
        <v>720.7</v>
      </c>
      <c r="F179" s="15" t="str">
        <f t="shared" si="8"/>
        <v/>
      </c>
      <c r="G179" s="16">
        <f>IFERROR(__xludf.DUMMYFUNCTION("GOOGLEFINANCE(A179,""CLOSEYEST"")"),724.55)</f>
        <v>724.55</v>
      </c>
      <c r="H179" s="17" t="str">
        <f t="shared" si="14"/>
        <v/>
      </c>
      <c r="I179" s="18">
        <f t="shared" si="9"/>
        <v>729.65</v>
      </c>
      <c r="J179" s="19">
        <f t="shared" si="10"/>
        <v>738.6</v>
      </c>
      <c r="K179" s="19"/>
      <c r="L179" s="19">
        <f t="shared" si="11"/>
        <v>715.6</v>
      </c>
      <c r="M179" s="19">
        <f t="shared" si="12"/>
        <v>752.65</v>
      </c>
      <c r="N179" s="19">
        <f t="shared" si="13"/>
        <v>706.65</v>
      </c>
    </row>
    <row r="180" ht="24.75" customHeight="1">
      <c r="A180" s="21" t="s">
        <v>144</v>
      </c>
      <c r="B180" s="13">
        <f>IFERROR(__xludf.DUMMYFUNCTION("GOOGLEFINANCE(A180,""PRICE"")"),125.98)</f>
        <v>125.98</v>
      </c>
      <c r="C180" s="14">
        <f>IFERROR(__xludf.DUMMYFUNCTION("GOOGLEFINANCE(A180,""PRICEOPEN"")"),123.77)</f>
        <v>123.77</v>
      </c>
      <c r="D180" s="14">
        <f>IFERROR(__xludf.DUMMYFUNCTION("GOOGLEFINANCE(A180,""HIGH"")"),126.42)</f>
        <v>126.42</v>
      </c>
      <c r="E180" s="14">
        <f>IFERROR(__xludf.DUMMYFUNCTION("GOOGLEFINANCE(A180,""LOW"")"),123.32)</f>
        <v>123.32</v>
      </c>
      <c r="F180" s="15" t="str">
        <f t="shared" si="8"/>
        <v/>
      </c>
      <c r="G180" s="16">
        <f>IFERROR(__xludf.DUMMYFUNCTION("GOOGLEFINANCE(A180,""CLOSEYEST"")"),123.76)</f>
        <v>123.76</v>
      </c>
      <c r="H180" s="17" t="str">
        <f t="shared" si="14"/>
        <v/>
      </c>
      <c r="I180" s="18">
        <f t="shared" si="9"/>
        <v>124.5</v>
      </c>
      <c r="J180" s="19">
        <f t="shared" si="10"/>
        <v>125.68</v>
      </c>
      <c r="K180" s="19"/>
      <c r="L180" s="19">
        <f t="shared" si="11"/>
        <v>122.58</v>
      </c>
      <c r="M180" s="19">
        <f t="shared" si="12"/>
        <v>127.6</v>
      </c>
      <c r="N180" s="19">
        <f t="shared" si="13"/>
        <v>121.4</v>
      </c>
    </row>
    <row r="181" ht="24.75" customHeight="1">
      <c r="A181" s="21" t="s">
        <v>145</v>
      </c>
      <c r="B181" s="13">
        <f>IFERROR(__xludf.DUMMYFUNCTION("GOOGLEFINANCE(A181,""PRICE"")"),4817.8)</f>
        <v>4817.8</v>
      </c>
      <c r="C181" s="14">
        <f>IFERROR(__xludf.DUMMYFUNCTION("GOOGLEFINANCE(A181,""PRICEOPEN"")"),4804.0)</f>
        <v>4804</v>
      </c>
      <c r="D181" s="14">
        <f>IFERROR(__xludf.DUMMYFUNCTION("GOOGLEFINANCE(A181,""HIGH"")"),4836.5)</f>
        <v>4836.5</v>
      </c>
      <c r="E181" s="14">
        <f>IFERROR(__xludf.DUMMYFUNCTION("GOOGLEFINANCE(A181,""LOW"")"),4738.0)</f>
        <v>4738</v>
      </c>
      <c r="F181" s="15" t="str">
        <f t="shared" si="8"/>
        <v/>
      </c>
      <c r="G181" s="16">
        <f>IFERROR(__xludf.DUMMYFUNCTION("GOOGLEFINANCE(A181,""CLOSEYEST"")"),4832.0)</f>
        <v>4832</v>
      </c>
      <c r="H181" s="17" t="str">
        <f t="shared" si="14"/>
        <v/>
      </c>
      <c r="I181" s="18">
        <f t="shared" si="9"/>
        <v>4802.166667</v>
      </c>
      <c r="J181" s="19">
        <f t="shared" si="10"/>
        <v>4866.333333</v>
      </c>
      <c r="K181" s="19"/>
      <c r="L181" s="19">
        <f t="shared" si="11"/>
        <v>4767.833333</v>
      </c>
      <c r="M181" s="19">
        <f t="shared" si="12"/>
        <v>4900.666667</v>
      </c>
      <c r="N181" s="19">
        <f t="shared" si="13"/>
        <v>4703.666667</v>
      </c>
    </row>
    <row r="182" ht="24.75" customHeight="1">
      <c r="A182" s="21" t="s">
        <v>146</v>
      </c>
      <c r="B182" s="13">
        <f>IFERROR(__xludf.DUMMYFUNCTION("GOOGLEFINANCE(A182,""PRICE"")"),10.5)</f>
        <v>10.5</v>
      </c>
      <c r="C182" s="14">
        <f>IFERROR(__xludf.DUMMYFUNCTION("GOOGLEFINANCE(A182,""PRICEOPEN"")"),10.5)</f>
        <v>10.5</v>
      </c>
      <c r="D182" s="14">
        <f>IFERROR(__xludf.DUMMYFUNCTION("GOOGLEFINANCE(A182,""HIGH"")"),10.5)</f>
        <v>10.5</v>
      </c>
      <c r="E182" s="14">
        <f>IFERROR(__xludf.DUMMYFUNCTION("GOOGLEFINANCE(A182,""LOW"")"),10.5)</f>
        <v>10.5</v>
      </c>
      <c r="F182" s="15" t="str">
        <f t="shared" si="8"/>
        <v>SELL</v>
      </c>
      <c r="G182" s="16">
        <f>IFERROR(__xludf.DUMMYFUNCTION("GOOGLEFINANCE(A182,""CLOSEYEST"")"),10.42)</f>
        <v>10.42</v>
      </c>
      <c r="H182" s="17" t="str">
        <f t="shared" si="14"/>
        <v/>
      </c>
      <c r="I182" s="18">
        <f t="shared" si="9"/>
        <v>10.47333333</v>
      </c>
      <c r="J182" s="19">
        <f t="shared" si="10"/>
        <v>10.44666667</v>
      </c>
      <c r="K182" s="19"/>
      <c r="L182" s="19">
        <f t="shared" si="11"/>
        <v>10.44666667</v>
      </c>
      <c r="M182" s="19">
        <f t="shared" si="12"/>
        <v>10.47333333</v>
      </c>
      <c r="N182" s="19">
        <f t="shared" si="13"/>
        <v>10.47333333</v>
      </c>
    </row>
    <row r="183" ht="24.75" customHeight="1">
      <c r="A183" s="21" t="s">
        <v>147</v>
      </c>
      <c r="B183" s="13">
        <f>IFERROR(__xludf.DUMMYFUNCTION("GOOGLEFINANCE(A183,""PRICE"")"),534.15)</f>
        <v>534.15</v>
      </c>
      <c r="C183" s="14">
        <f>IFERROR(__xludf.DUMMYFUNCTION("GOOGLEFINANCE(A183,""PRICEOPEN"")"),526.55)</f>
        <v>526.55</v>
      </c>
      <c r="D183" s="14">
        <f>IFERROR(__xludf.DUMMYFUNCTION("GOOGLEFINANCE(A183,""HIGH"")"),534.25)</f>
        <v>534.25</v>
      </c>
      <c r="E183" s="14">
        <f>IFERROR(__xludf.DUMMYFUNCTION("GOOGLEFINANCE(A183,""LOW"")"),525.5)</f>
        <v>525.5</v>
      </c>
      <c r="F183" s="15" t="str">
        <f t="shared" si="8"/>
        <v/>
      </c>
      <c r="G183" s="16">
        <f>IFERROR(__xludf.DUMMYFUNCTION("GOOGLEFINANCE(A183,""CLOSEYEST"")"),526.55)</f>
        <v>526.55</v>
      </c>
      <c r="H183" s="17" t="str">
        <f t="shared" si="14"/>
        <v/>
      </c>
      <c r="I183" s="18">
        <f t="shared" si="9"/>
        <v>528.7666667</v>
      </c>
      <c r="J183" s="19">
        <f t="shared" si="10"/>
        <v>532.0333333</v>
      </c>
      <c r="K183" s="19"/>
      <c r="L183" s="19">
        <f t="shared" si="11"/>
        <v>523.2833333</v>
      </c>
      <c r="M183" s="19">
        <f t="shared" si="12"/>
        <v>537.5166667</v>
      </c>
      <c r="N183" s="19">
        <f t="shared" si="13"/>
        <v>520.0166667</v>
      </c>
    </row>
    <row r="184" ht="24.75" customHeight="1">
      <c r="A184" s="21" t="s">
        <v>148</v>
      </c>
      <c r="B184" s="13">
        <f>IFERROR(__xludf.DUMMYFUNCTION("GOOGLEFINANCE(A184,""PRICE"")"),139.74)</f>
        <v>139.74</v>
      </c>
      <c r="C184" s="14">
        <f>IFERROR(__xludf.DUMMYFUNCTION("GOOGLEFINANCE(A184,""PRICEOPEN"")"),141.42)</f>
        <v>141.42</v>
      </c>
      <c r="D184" s="14">
        <f>IFERROR(__xludf.DUMMYFUNCTION("GOOGLEFINANCE(A184,""HIGH"")"),142.95)</f>
        <v>142.95</v>
      </c>
      <c r="E184" s="14">
        <f>IFERROR(__xludf.DUMMYFUNCTION("GOOGLEFINANCE(A184,""LOW"")"),138.16)</f>
        <v>138.16</v>
      </c>
      <c r="F184" s="15" t="str">
        <f t="shared" si="8"/>
        <v/>
      </c>
      <c r="G184" s="16">
        <f>IFERROR(__xludf.DUMMYFUNCTION("GOOGLEFINANCE(A184,""CLOSEYEST"")"),141.23)</f>
        <v>141.23</v>
      </c>
      <c r="H184" s="17" t="str">
        <f t="shared" si="14"/>
        <v/>
      </c>
      <c r="I184" s="18">
        <f t="shared" si="9"/>
        <v>140.78</v>
      </c>
      <c r="J184" s="19">
        <f t="shared" si="10"/>
        <v>143.4</v>
      </c>
      <c r="K184" s="19"/>
      <c r="L184" s="19">
        <f t="shared" si="11"/>
        <v>138.61</v>
      </c>
      <c r="M184" s="19">
        <f t="shared" si="12"/>
        <v>145.57</v>
      </c>
      <c r="N184" s="19">
        <f t="shared" si="13"/>
        <v>135.99</v>
      </c>
    </row>
    <row r="185" ht="24.75" customHeight="1">
      <c r="A185" s="21" t="s">
        <v>149</v>
      </c>
      <c r="B185" s="13">
        <f>IFERROR(__xludf.DUMMYFUNCTION("GOOGLEFINANCE(A185,""PRICE"")"),381.05)</f>
        <v>381.05</v>
      </c>
      <c r="C185" s="14">
        <f>IFERROR(__xludf.DUMMYFUNCTION("GOOGLEFINANCE(A185,""PRICEOPEN"")"),379.6)</f>
        <v>379.6</v>
      </c>
      <c r="D185" s="14">
        <f>IFERROR(__xludf.DUMMYFUNCTION("GOOGLEFINANCE(A185,""HIGH"")"),382.8)</f>
        <v>382.8</v>
      </c>
      <c r="E185" s="14">
        <f>IFERROR(__xludf.DUMMYFUNCTION("GOOGLEFINANCE(A185,""LOW"")"),379.0)</f>
        <v>379</v>
      </c>
      <c r="F185" s="15" t="str">
        <f t="shared" si="8"/>
        <v/>
      </c>
      <c r="G185" s="16">
        <f>IFERROR(__xludf.DUMMYFUNCTION("GOOGLEFINANCE(A185,""CLOSEYEST"")"),379.6)</f>
        <v>379.6</v>
      </c>
      <c r="H185" s="17" t="str">
        <f t="shared" si="14"/>
        <v/>
      </c>
      <c r="I185" s="18">
        <f t="shared" si="9"/>
        <v>380.4666667</v>
      </c>
      <c r="J185" s="19">
        <f t="shared" si="10"/>
        <v>381.9333333</v>
      </c>
      <c r="K185" s="19"/>
      <c r="L185" s="19">
        <f t="shared" si="11"/>
        <v>378.1333333</v>
      </c>
      <c r="M185" s="19">
        <f t="shared" si="12"/>
        <v>384.2666667</v>
      </c>
      <c r="N185" s="19">
        <f t="shared" si="13"/>
        <v>376.6666667</v>
      </c>
    </row>
    <row r="186" ht="24.75" customHeight="1">
      <c r="A186" s="21" t="s">
        <v>150</v>
      </c>
      <c r="B186" s="13">
        <f>IFERROR(__xludf.DUMMYFUNCTION("GOOGLEFINANCE(A186,""PRICE"")"),1077.0)</f>
        <v>1077</v>
      </c>
      <c r="C186" s="14">
        <f>IFERROR(__xludf.DUMMYFUNCTION("GOOGLEFINANCE(A186,""PRICEOPEN"")"),1063.0)</f>
        <v>1063</v>
      </c>
      <c r="D186" s="14">
        <f>IFERROR(__xludf.DUMMYFUNCTION("GOOGLEFINANCE(A186,""HIGH"")"),1087.6)</f>
        <v>1087.6</v>
      </c>
      <c r="E186" s="14">
        <f>IFERROR(__xludf.DUMMYFUNCTION("GOOGLEFINANCE(A186,""LOW"")"),1049.3)</f>
        <v>1049.3</v>
      </c>
      <c r="F186" s="15" t="str">
        <f t="shared" si="8"/>
        <v/>
      </c>
      <c r="G186" s="16">
        <f>IFERROR(__xludf.DUMMYFUNCTION("GOOGLEFINANCE(A186,""CLOSEYEST"")"),1065.0)</f>
        <v>1065</v>
      </c>
      <c r="H186" s="17" t="str">
        <f t="shared" si="14"/>
        <v/>
      </c>
      <c r="I186" s="18">
        <f t="shared" si="9"/>
        <v>1067.3</v>
      </c>
      <c r="J186" s="19">
        <f t="shared" si="10"/>
        <v>1085.3</v>
      </c>
      <c r="K186" s="19"/>
      <c r="L186" s="19">
        <f t="shared" si="11"/>
        <v>1047</v>
      </c>
      <c r="M186" s="19">
        <f t="shared" si="12"/>
        <v>1105.6</v>
      </c>
      <c r="N186" s="19">
        <f t="shared" si="13"/>
        <v>1029</v>
      </c>
    </row>
    <row r="187" ht="24.75" customHeight="1">
      <c r="A187" s="21" t="s">
        <v>151</v>
      </c>
      <c r="B187" s="13">
        <f>IFERROR(__xludf.DUMMYFUNCTION("GOOGLEFINANCE(A187,""PRICE"")"),2214.5)</f>
        <v>2214.5</v>
      </c>
      <c r="C187" s="14">
        <f>IFERROR(__xludf.DUMMYFUNCTION("GOOGLEFINANCE(A187,""PRICEOPEN"")"),2228.8)</f>
        <v>2228.8</v>
      </c>
      <c r="D187" s="14">
        <f>IFERROR(__xludf.DUMMYFUNCTION("GOOGLEFINANCE(A187,""HIGH"")"),2229.0)</f>
        <v>2229</v>
      </c>
      <c r="E187" s="14">
        <f>IFERROR(__xludf.DUMMYFUNCTION("GOOGLEFINANCE(A187,""LOW"")"),2191.6)</f>
        <v>2191.6</v>
      </c>
      <c r="F187" s="15" t="str">
        <f t="shared" si="8"/>
        <v/>
      </c>
      <c r="G187" s="16">
        <f>IFERROR(__xludf.DUMMYFUNCTION("GOOGLEFINANCE(A187,""CLOSEYEST"")"),2224.9)</f>
        <v>2224.9</v>
      </c>
      <c r="H187" s="17" t="str">
        <f t="shared" si="14"/>
        <v/>
      </c>
      <c r="I187" s="18">
        <f t="shared" si="9"/>
        <v>2215.166667</v>
      </c>
      <c r="J187" s="19">
        <f t="shared" si="10"/>
        <v>2238.733333</v>
      </c>
      <c r="K187" s="19"/>
      <c r="L187" s="19">
        <f t="shared" si="11"/>
        <v>2201.333333</v>
      </c>
      <c r="M187" s="19">
        <f t="shared" si="12"/>
        <v>2252.566667</v>
      </c>
      <c r="N187" s="19">
        <f t="shared" si="13"/>
        <v>2177.766667</v>
      </c>
    </row>
    <row r="188" ht="24.75" customHeight="1">
      <c r="A188" s="21" t="s">
        <v>152</v>
      </c>
      <c r="B188" s="13">
        <f>IFERROR(__xludf.DUMMYFUNCTION("GOOGLEFINANCE(A188,""PRICE"")"),443.45)</f>
        <v>443.45</v>
      </c>
      <c r="C188" s="14">
        <f>IFERROR(__xludf.DUMMYFUNCTION("GOOGLEFINANCE(A188,""PRICEOPEN"")"),442.95)</f>
        <v>442.95</v>
      </c>
      <c r="D188" s="14">
        <f>IFERROR(__xludf.DUMMYFUNCTION("GOOGLEFINANCE(A188,""HIGH"")"),445.2)</f>
        <v>445.2</v>
      </c>
      <c r="E188" s="14">
        <f>IFERROR(__xludf.DUMMYFUNCTION("GOOGLEFINANCE(A188,""LOW"")"),437.55)</f>
        <v>437.55</v>
      </c>
      <c r="F188" s="15" t="str">
        <f t="shared" si="8"/>
        <v/>
      </c>
      <c r="G188" s="16">
        <f>IFERROR(__xludf.DUMMYFUNCTION("GOOGLEFINANCE(A188,""CLOSEYEST"")"),442.95)</f>
        <v>442.95</v>
      </c>
      <c r="H188" s="17" t="str">
        <f t="shared" si="14"/>
        <v/>
      </c>
      <c r="I188" s="18">
        <f t="shared" si="9"/>
        <v>441.9</v>
      </c>
      <c r="J188" s="19">
        <f t="shared" si="10"/>
        <v>446.25</v>
      </c>
      <c r="K188" s="19"/>
      <c r="L188" s="19">
        <f t="shared" si="11"/>
        <v>438.6</v>
      </c>
      <c r="M188" s="19">
        <f t="shared" si="12"/>
        <v>449.55</v>
      </c>
      <c r="N188" s="19">
        <f t="shared" si="13"/>
        <v>434.25</v>
      </c>
    </row>
    <row r="189" ht="24.75" customHeight="1">
      <c r="A189" s="21" t="s">
        <v>153</v>
      </c>
      <c r="B189" s="13">
        <f>IFERROR(__xludf.DUMMYFUNCTION("GOOGLEFINANCE(A189,""PRICE"")"),1070.0)</f>
        <v>1070</v>
      </c>
      <c r="C189" s="14">
        <f>IFERROR(__xludf.DUMMYFUNCTION("GOOGLEFINANCE(A189,""PRICEOPEN"")"),1098.0)</f>
        <v>1098</v>
      </c>
      <c r="D189" s="14">
        <f>IFERROR(__xludf.DUMMYFUNCTION("GOOGLEFINANCE(A189,""HIGH"")"),1110.3)</f>
        <v>1110.3</v>
      </c>
      <c r="E189" s="14">
        <f>IFERROR(__xludf.DUMMYFUNCTION("GOOGLEFINANCE(A189,""LOW"")"),1060.0)</f>
        <v>1060</v>
      </c>
      <c r="F189" s="15" t="str">
        <f t="shared" si="8"/>
        <v/>
      </c>
      <c r="G189" s="16">
        <f>IFERROR(__xludf.DUMMYFUNCTION("GOOGLEFINANCE(A189,""CLOSEYEST"")"),1113.2)</f>
        <v>1113.2</v>
      </c>
      <c r="H189" s="17" t="str">
        <f t="shared" si="14"/>
        <v>GAP DOWN</v>
      </c>
      <c r="I189" s="18">
        <f t="shared" si="9"/>
        <v>1094.5</v>
      </c>
      <c r="J189" s="19">
        <f t="shared" si="10"/>
        <v>1129</v>
      </c>
      <c r="K189" s="19"/>
      <c r="L189" s="19">
        <f t="shared" si="11"/>
        <v>1078.7</v>
      </c>
      <c r="M189" s="19">
        <f t="shared" si="12"/>
        <v>1144.8</v>
      </c>
      <c r="N189" s="19">
        <f t="shared" si="13"/>
        <v>1044.2</v>
      </c>
    </row>
    <row r="190" ht="24.75" customHeight="1">
      <c r="A190" s="21" t="s">
        <v>154</v>
      </c>
      <c r="B190" s="13">
        <f>IFERROR(__xludf.DUMMYFUNCTION("GOOGLEFINANCE(A190,""PRICE"")"),35690.0)</f>
        <v>35690</v>
      </c>
      <c r="C190" s="14">
        <f>IFERROR(__xludf.DUMMYFUNCTION("GOOGLEFINANCE(A190,""PRICEOPEN"")"),36400.0)</f>
        <v>36400</v>
      </c>
      <c r="D190" s="14">
        <f>IFERROR(__xludf.DUMMYFUNCTION("GOOGLEFINANCE(A190,""HIGH"")"),36400.0)</f>
        <v>36400</v>
      </c>
      <c r="E190" s="14">
        <f>IFERROR(__xludf.DUMMYFUNCTION("GOOGLEFINANCE(A190,""LOW"")"),35520.0)</f>
        <v>35520</v>
      </c>
      <c r="F190" s="15" t="str">
        <f t="shared" si="8"/>
        <v>SELL</v>
      </c>
      <c r="G190" s="16">
        <f>IFERROR(__xludf.DUMMYFUNCTION("GOOGLEFINANCE(A190,""CLOSEYEST"")"),35970.0)</f>
        <v>35970</v>
      </c>
      <c r="H190" s="17" t="str">
        <f t="shared" si="14"/>
        <v>GAP UP</v>
      </c>
      <c r="I190" s="18">
        <f t="shared" si="9"/>
        <v>35963.33333</v>
      </c>
      <c r="J190" s="19">
        <f t="shared" si="10"/>
        <v>36406.66667</v>
      </c>
      <c r="K190" s="19"/>
      <c r="L190" s="19">
        <f t="shared" si="11"/>
        <v>35526.66667</v>
      </c>
      <c r="M190" s="19">
        <f t="shared" si="12"/>
        <v>36843.33333</v>
      </c>
      <c r="N190" s="19">
        <f t="shared" si="13"/>
        <v>35083.33333</v>
      </c>
    </row>
    <row r="191" ht="24.75" customHeight="1">
      <c r="A191" s="21" t="s">
        <v>155</v>
      </c>
      <c r="B191" s="13">
        <f>IFERROR(__xludf.DUMMYFUNCTION("GOOGLEFINANCE(A191,""PRICE"")"),29900.0)</f>
        <v>29900</v>
      </c>
      <c r="C191" s="14">
        <f>IFERROR(__xludf.DUMMYFUNCTION("GOOGLEFINANCE(A191,""PRICEOPEN"")"),30080.0)</f>
        <v>30080</v>
      </c>
      <c r="D191" s="14">
        <f>IFERROR(__xludf.DUMMYFUNCTION("GOOGLEFINANCE(A191,""HIGH"")"),30400.0)</f>
        <v>30400</v>
      </c>
      <c r="E191" s="14">
        <f>IFERROR(__xludf.DUMMYFUNCTION("GOOGLEFINANCE(A191,""LOW"")"),29830.0)</f>
        <v>29830</v>
      </c>
      <c r="F191" s="15" t="str">
        <f t="shared" si="8"/>
        <v/>
      </c>
      <c r="G191" s="16">
        <f>IFERROR(__xludf.DUMMYFUNCTION("GOOGLEFINANCE(A191,""CLOSEYEST"")"),29890.0)</f>
        <v>29890</v>
      </c>
      <c r="H191" s="17" t="str">
        <f t="shared" si="14"/>
        <v/>
      </c>
      <c r="I191" s="18">
        <f t="shared" si="9"/>
        <v>30040</v>
      </c>
      <c r="J191" s="19">
        <f t="shared" si="10"/>
        <v>30250</v>
      </c>
      <c r="K191" s="19"/>
      <c r="L191" s="19">
        <f t="shared" si="11"/>
        <v>29680</v>
      </c>
      <c r="M191" s="19">
        <f t="shared" si="12"/>
        <v>30610</v>
      </c>
      <c r="N191" s="19">
        <f t="shared" si="13"/>
        <v>29470</v>
      </c>
    </row>
    <row r="192" ht="24.75" customHeight="1">
      <c r="A192" s="21" t="s">
        <v>156</v>
      </c>
      <c r="B192" s="13">
        <f>IFERROR(__xludf.DUMMYFUNCTION("GOOGLEFINANCE(A192,""PRICE"")"),2250.0)</f>
        <v>2250</v>
      </c>
      <c r="C192" s="14">
        <f>IFERROR(__xludf.DUMMYFUNCTION("GOOGLEFINANCE(A192,""PRICEOPEN"")"),2231.8)</f>
        <v>2231.8</v>
      </c>
      <c r="D192" s="14">
        <f>IFERROR(__xludf.DUMMYFUNCTION("GOOGLEFINANCE(A192,""HIGH"")"),2264.9)</f>
        <v>2264.9</v>
      </c>
      <c r="E192" s="14">
        <f>IFERROR(__xludf.DUMMYFUNCTION("GOOGLEFINANCE(A192,""LOW"")"),2231.8)</f>
        <v>2231.8</v>
      </c>
      <c r="F192" s="15" t="str">
        <f t="shared" si="8"/>
        <v>BUY</v>
      </c>
      <c r="G192" s="16">
        <f>IFERROR(__xludf.DUMMYFUNCTION("GOOGLEFINANCE(A192,""CLOSEYEST"")"),2229.4)</f>
        <v>2229.4</v>
      </c>
      <c r="H192" s="17" t="str">
        <f t="shared" si="14"/>
        <v/>
      </c>
      <c r="I192" s="18">
        <f t="shared" si="9"/>
        <v>2242.033333</v>
      </c>
      <c r="J192" s="19">
        <f t="shared" si="10"/>
        <v>2252.266667</v>
      </c>
      <c r="K192" s="19"/>
      <c r="L192" s="19">
        <f t="shared" si="11"/>
        <v>2219.166667</v>
      </c>
      <c r="M192" s="19">
        <f t="shared" si="12"/>
        <v>2275.133333</v>
      </c>
      <c r="N192" s="19">
        <f t="shared" si="13"/>
        <v>2208.933333</v>
      </c>
    </row>
    <row r="193" ht="24.75" customHeight="1">
      <c r="A193" s="21" t="s">
        <v>157</v>
      </c>
      <c r="B193" s="13">
        <f>IFERROR(__xludf.DUMMYFUNCTION("GOOGLEFINANCE(A193,""PRICE"")"),7385.0)</f>
        <v>7385</v>
      </c>
      <c r="C193" s="14">
        <f>IFERROR(__xludf.DUMMYFUNCTION("GOOGLEFINANCE(A193,""PRICEOPEN"")"),7390.0)</f>
        <v>7390</v>
      </c>
      <c r="D193" s="14">
        <f>IFERROR(__xludf.DUMMYFUNCTION("GOOGLEFINANCE(A193,""HIGH"")"),7415.0)</f>
        <v>7415</v>
      </c>
      <c r="E193" s="14">
        <f>IFERROR(__xludf.DUMMYFUNCTION("GOOGLEFINANCE(A193,""LOW"")"),7309.5)</f>
        <v>7309.5</v>
      </c>
      <c r="F193" s="15" t="str">
        <f t="shared" si="8"/>
        <v/>
      </c>
      <c r="G193" s="16">
        <f>IFERROR(__xludf.DUMMYFUNCTION("GOOGLEFINANCE(A193,""CLOSEYEST"")"),7351.0)</f>
        <v>7351</v>
      </c>
      <c r="H193" s="17" t="str">
        <f t="shared" si="14"/>
        <v/>
      </c>
      <c r="I193" s="18">
        <f t="shared" si="9"/>
        <v>7358.5</v>
      </c>
      <c r="J193" s="19">
        <f t="shared" si="10"/>
        <v>7407.5</v>
      </c>
      <c r="K193" s="19"/>
      <c r="L193" s="19">
        <f t="shared" si="11"/>
        <v>7302</v>
      </c>
      <c r="M193" s="19">
        <f t="shared" si="12"/>
        <v>7464</v>
      </c>
      <c r="N193" s="19">
        <f t="shared" si="13"/>
        <v>7253</v>
      </c>
    </row>
    <row r="194" ht="24.75" customHeight="1">
      <c r="A194" s="21" t="s">
        <v>158</v>
      </c>
      <c r="B194" s="13">
        <f>IFERROR(__xludf.DUMMYFUNCTION("GOOGLEFINANCE(A194,""PRICE"")"),5350.0)</f>
        <v>5350</v>
      </c>
      <c r="C194" s="14">
        <f>IFERROR(__xludf.DUMMYFUNCTION("GOOGLEFINANCE(A194,""PRICEOPEN"")"),5222.5)</f>
        <v>5222.5</v>
      </c>
      <c r="D194" s="14">
        <f>IFERROR(__xludf.DUMMYFUNCTION("GOOGLEFINANCE(A194,""HIGH"")"),5369.0)</f>
        <v>5369</v>
      </c>
      <c r="E194" s="14">
        <f>IFERROR(__xludf.DUMMYFUNCTION("GOOGLEFINANCE(A194,""LOW"")"),5190.0)</f>
        <v>5190</v>
      </c>
      <c r="F194" s="15" t="str">
        <f t="shared" si="8"/>
        <v/>
      </c>
      <c r="G194" s="16">
        <f>IFERROR(__xludf.DUMMYFUNCTION("GOOGLEFINANCE(A194,""CLOSEYEST"")"),5226.0)</f>
        <v>5226</v>
      </c>
      <c r="H194" s="17" t="str">
        <f t="shared" si="14"/>
        <v/>
      </c>
      <c r="I194" s="18">
        <f t="shared" si="9"/>
        <v>5261.666667</v>
      </c>
      <c r="J194" s="19">
        <f t="shared" si="10"/>
        <v>5333.333333</v>
      </c>
      <c r="K194" s="19"/>
      <c r="L194" s="19">
        <f t="shared" si="11"/>
        <v>5154.333333</v>
      </c>
      <c r="M194" s="19">
        <f t="shared" si="12"/>
        <v>5440.666667</v>
      </c>
      <c r="N194" s="19">
        <f t="shared" si="13"/>
        <v>5082.666667</v>
      </c>
    </row>
    <row r="195" ht="24.75" customHeight="1">
      <c r="A195" s="21" t="s">
        <v>159</v>
      </c>
      <c r="B195" s="13">
        <f>IFERROR(__xludf.DUMMYFUNCTION("GOOGLEFINANCE(A195,""PRICE"")"),8941.0)</f>
        <v>8941</v>
      </c>
      <c r="C195" s="14">
        <f>IFERROR(__xludf.DUMMYFUNCTION("GOOGLEFINANCE(A195,""PRICEOPEN"")"),8724.0)</f>
        <v>8724</v>
      </c>
      <c r="D195" s="14">
        <f>IFERROR(__xludf.DUMMYFUNCTION("GOOGLEFINANCE(A195,""HIGH"")"),8984.0)</f>
        <v>8984</v>
      </c>
      <c r="E195" s="14">
        <f>IFERROR(__xludf.DUMMYFUNCTION("GOOGLEFINANCE(A195,""LOW"")"),8641.0)</f>
        <v>8641</v>
      </c>
      <c r="F195" s="15" t="str">
        <f t="shared" si="8"/>
        <v/>
      </c>
      <c r="G195" s="16">
        <f>IFERROR(__xludf.DUMMYFUNCTION("GOOGLEFINANCE(A195,""CLOSEYEST"")"),8724.0)</f>
        <v>8724</v>
      </c>
      <c r="H195" s="17" t="str">
        <f t="shared" si="14"/>
        <v/>
      </c>
      <c r="I195" s="18">
        <f t="shared" si="9"/>
        <v>8783</v>
      </c>
      <c r="J195" s="19">
        <f t="shared" si="10"/>
        <v>8925</v>
      </c>
      <c r="K195" s="19"/>
      <c r="L195" s="19">
        <f t="shared" si="11"/>
        <v>8582</v>
      </c>
      <c r="M195" s="19">
        <f t="shared" si="12"/>
        <v>9126</v>
      </c>
      <c r="N195" s="19">
        <f t="shared" si="13"/>
        <v>8440</v>
      </c>
    </row>
    <row r="196" ht="24.75" customHeight="1">
      <c r="A196" s="21" t="s">
        <v>160</v>
      </c>
      <c r="B196" s="13">
        <f>IFERROR(__xludf.DUMMYFUNCTION("GOOGLEFINANCE(A196,""PRICE"")"),1604.5)</f>
        <v>1604.5</v>
      </c>
      <c r="C196" s="14">
        <f>IFERROR(__xludf.DUMMYFUNCTION("GOOGLEFINANCE(A196,""PRICEOPEN"")"),1622.0)</f>
        <v>1622</v>
      </c>
      <c r="D196" s="14">
        <f>IFERROR(__xludf.DUMMYFUNCTION("GOOGLEFINANCE(A196,""HIGH"")"),1647.9)</f>
        <v>1647.9</v>
      </c>
      <c r="E196" s="14">
        <f>IFERROR(__xludf.DUMMYFUNCTION("GOOGLEFINANCE(A196,""LOW"")"),1599.9)</f>
        <v>1599.9</v>
      </c>
      <c r="F196" s="15" t="str">
        <f t="shared" si="8"/>
        <v/>
      </c>
      <c r="G196" s="16">
        <f>IFERROR(__xludf.DUMMYFUNCTION("GOOGLEFINANCE(A196,""CLOSEYEST"")"),1621.9)</f>
        <v>1621.9</v>
      </c>
      <c r="H196" s="17" t="str">
        <f t="shared" si="14"/>
        <v/>
      </c>
      <c r="I196" s="18">
        <f t="shared" si="9"/>
        <v>1623.233333</v>
      </c>
      <c r="J196" s="19">
        <f t="shared" si="10"/>
        <v>1646.566667</v>
      </c>
      <c r="K196" s="19"/>
      <c r="L196" s="19">
        <f t="shared" si="11"/>
        <v>1598.566667</v>
      </c>
      <c r="M196" s="19">
        <f t="shared" si="12"/>
        <v>1671.233333</v>
      </c>
      <c r="N196" s="19">
        <f t="shared" si="13"/>
        <v>1575.233333</v>
      </c>
    </row>
    <row r="197" ht="24.75" customHeight="1">
      <c r="A197" s="21" t="s">
        <v>161</v>
      </c>
      <c r="B197" s="13">
        <f>IFERROR(__xludf.DUMMYFUNCTION("GOOGLEFINANCE(A197,""PRICE"")"),0.03)</f>
        <v>0.03</v>
      </c>
      <c r="C197" s="14">
        <f>IFERROR(__xludf.DUMMYFUNCTION("GOOGLEFINANCE(A197,""PRICEOPEN"")"),0.02)</f>
        <v>0.02</v>
      </c>
      <c r="D197" s="14">
        <f>IFERROR(__xludf.DUMMYFUNCTION("GOOGLEFINANCE(A197,""HIGH"")"),0.03)</f>
        <v>0.03</v>
      </c>
      <c r="E197" s="14">
        <f>IFERROR(__xludf.DUMMYFUNCTION("GOOGLEFINANCE(A197,""LOW"")"),0.02)</f>
        <v>0.02</v>
      </c>
      <c r="F197" s="15" t="str">
        <f t="shared" si="8"/>
        <v>BUY</v>
      </c>
      <c r="G197" s="16">
        <f>IFERROR(__xludf.DUMMYFUNCTION("GOOGLEFINANCE(A197,""CLOSEYEST"")"),0.02)</f>
        <v>0.02</v>
      </c>
      <c r="H197" s="17" t="str">
        <f t="shared" si="14"/>
        <v/>
      </c>
      <c r="I197" s="18">
        <f t="shared" si="9"/>
        <v>0.02333333333</v>
      </c>
      <c r="J197" s="19">
        <f t="shared" si="10"/>
        <v>0.02666666667</v>
      </c>
      <c r="K197" s="19"/>
      <c r="L197" s="19">
        <f t="shared" si="11"/>
        <v>0.01666666667</v>
      </c>
      <c r="M197" s="19">
        <f t="shared" si="12"/>
        <v>0.03333333333</v>
      </c>
      <c r="N197" s="19">
        <f t="shared" si="13"/>
        <v>0.01333333333</v>
      </c>
    </row>
    <row r="198" ht="24.75" customHeight="1">
      <c r="A198" s="21" t="s">
        <v>162</v>
      </c>
      <c r="B198" s="13">
        <f>IFERROR(__xludf.DUMMYFUNCTION("GOOGLEFINANCE(A198,""PRICE"")"),1849.0)</f>
        <v>1849</v>
      </c>
      <c r="C198" s="14">
        <f>IFERROR(__xludf.DUMMYFUNCTION("GOOGLEFINANCE(A198,""PRICEOPEN"")"),1841.5)</f>
        <v>1841.5</v>
      </c>
      <c r="D198" s="14">
        <f>IFERROR(__xludf.DUMMYFUNCTION("GOOGLEFINANCE(A198,""HIGH"")"),1858.0)</f>
        <v>1858</v>
      </c>
      <c r="E198" s="14">
        <f>IFERROR(__xludf.DUMMYFUNCTION("GOOGLEFINANCE(A198,""LOW"")"),1841.5)</f>
        <v>1841.5</v>
      </c>
      <c r="F198" s="15" t="str">
        <f t="shared" si="8"/>
        <v>BUY</v>
      </c>
      <c r="G198" s="16">
        <f>IFERROR(__xludf.DUMMYFUNCTION("GOOGLEFINANCE(A198,""CLOSEYEST"")"),1841.5)</f>
        <v>1841.5</v>
      </c>
      <c r="H198" s="17" t="str">
        <f t="shared" si="14"/>
        <v/>
      </c>
      <c r="I198" s="18">
        <f t="shared" si="9"/>
        <v>1847</v>
      </c>
      <c r="J198" s="19">
        <f t="shared" si="10"/>
        <v>1852.5</v>
      </c>
      <c r="K198" s="19"/>
      <c r="L198" s="19">
        <f t="shared" si="11"/>
        <v>1836</v>
      </c>
      <c r="M198" s="19">
        <f t="shared" si="12"/>
        <v>1863.5</v>
      </c>
      <c r="N198" s="19">
        <f t="shared" si="13"/>
        <v>1830.5</v>
      </c>
    </row>
    <row r="199" ht="24.75" customHeight="1">
      <c r="A199" s="21" t="s">
        <v>163</v>
      </c>
      <c r="B199" s="13">
        <f>IFERROR(__xludf.DUMMYFUNCTION("GOOGLEFINANCE(A199,""PRICE"")"),1614.9)</f>
        <v>1614.9</v>
      </c>
      <c r="C199" s="14">
        <f>IFERROR(__xludf.DUMMYFUNCTION("GOOGLEFINANCE(A199,""PRICEOPEN"")"),1595.0)</f>
        <v>1595</v>
      </c>
      <c r="D199" s="14">
        <f>IFERROR(__xludf.DUMMYFUNCTION("GOOGLEFINANCE(A199,""HIGH"")"),1619.8)</f>
        <v>1619.8</v>
      </c>
      <c r="E199" s="14">
        <f>IFERROR(__xludf.DUMMYFUNCTION("GOOGLEFINANCE(A199,""LOW"")"),1588.5)</f>
        <v>1588.5</v>
      </c>
      <c r="F199" s="15" t="str">
        <f t="shared" si="8"/>
        <v/>
      </c>
      <c r="G199" s="16">
        <f>IFERROR(__xludf.DUMMYFUNCTION("GOOGLEFINANCE(A199,""CLOSEYEST"")"),1600.8)</f>
        <v>1600.8</v>
      </c>
      <c r="H199" s="17" t="str">
        <f t="shared" si="14"/>
        <v/>
      </c>
      <c r="I199" s="18">
        <f t="shared" si="9"/>
        <v>1603.033333</v>
      </c>
      <c r="J199" s="19">
        <f t="shared" si="10"/>
        <v>1617.566667</v>
      </c>
      <c r="K199" s="19"/>
      <c r="L199" s="19">
        <f t="shared" si="11"/>
        <v>1586.266667</v>
      </c>
      <c r="M199" s="19">
        <f t="shared" si="12"/>
        <v>1634.333333</v>
      </c>
      <c r="N199" s="19">
        <f t="shared" si="13"/>
        <v>1571.733333</v>
      </c>
    </row>
    <row r="200" ht="24.75" customHeight="1">
      <c r="A200" s="21" t="s">
        <v>164</v>
      </c>
      <c r="B200" s="13">
        <f>IFERROR(__xludf.DUMMYFUNCTION("GOOGLEFINANCE(A200,""PRICE"")"),1222.0)</f>
        <v>1222</v>
      </c>
      <c r="C200" s="14">
        <f>IFERROR(__xludf.DUMMYFUNCTION("GOOGLEFINANCE(A200,""PRICEOPEN"")"),1219.6)</f>
        <v>1219.6</v>
      </c>
      <c r="D200" s="14">
        <f>IFERROR(__xludf.DUMMYFUNCTION("GOOGLEFINANCE(A200,""HIGH"")"),1230.0)</f>
        <v>1230</v>
      </c>
      <c r="E200" s="14">
        <f>IFERROR(__xludf.DUMMYFUNCTION("GOOGLEFINANCE(A200,""LOW"")"),1210.2)</f>
        <v>1210.2</v>
      </c>
      <c r="F200" s="15" t="str">
        <f t="shared" si="8"/>
        <v/>
      </c>
      <c r="G200" s="16">
        <f>IFERROR(__xludf.DUMMYFUNCTION("GOOGLEFINANCE(A200,""CLOSEYEST"")"),1219.6)</f>
        <v>1219.6</v>
      </c>
      <c r="H200" s="17" t="str">
        <f t="shared" si="14"/>
        <v/>
      </c>
      <c r="I200" s="18">
        <f t="shared" si="9"/>
        <v>1219.933333</v>
      </c>
      <c r="J200" s="19">
        <f t="shared" si="10"/>
        <v>1229.666667</v>
      </c>
      <c r="K200" s="19"/>
      <c r="L200" s="19">
        <f t="shared" si="11"/>
        <v>1209.866667</v>
      </c>
      <c r="M200" s="19">
        <f t="shared" si="12"/>
        <v>1239.733333</v>
      </c>
      <c r="N200" s="19">
        <f t="shared" si="13"/>
        <v>1200.133333</v>
      </c>
    </row>
    <row r="201" ht="24.75" customHeight="1">
      <c r="A201" s="21" t="s">
        <v>165</v>
      </c>
      <c r="B201" s="13">
        <f>IFERROR(__xludf.DUMMYFUNCTION("GOOGLEFINANCE(A201,""PRICE"")"),1606.0)</f>
        <v>1606</v>
      </c>
      <c r="C201" s="14">
        <f>IFERROR(__xludf.DUMMYFUNCTION("GOOGLEFINANCE(A201,""PRICEOPEN"")"),1609.8)</f>
        <v>1609.8</v>
      </c>
      <c r="D201" s="14">
        <f>IFERROR(__xludf.DUMMYFUNCTION("GOOGLEFINANCE(A201,""HIGH"")"),1613.3)</f>
        <v>1613.3</v>
      </c>
      <c r="E201" s="14">
        <f>IFERROR(__xludf.DUMMYFUNCTION("GOOGLEFINANCE(A201,""LOW"")"),1583.7)</f>
        <v>1583.7</v>
      </c>
      <c r="F201" s="15" t="str">
        <f t="shared" si="8"/>
        <v/>
      </c>
      <c r="G201" s="16">
        <f>IFERROR(__xludf.DUMMYFUNCTION("GOOGLEFINANCE(A201,""CLOSEYEST"")"),1595.6)</f>
        <v>1595.6</v>
      </c>
      <c r="H201" s="17" t="str">
        <f t="shared" si="14"/>
        <v/>
      </c>
      <c r="I201" s="18">
        <f t="shared" si="9"/>
        <v>1597.533333</v>
      </c>
      <c r="J201" s="19">
        <f t="shared" si="10"/>
        <v>1611.366667</v>
      </c>
      <c r="K201" s="19"/>
      <c r="L201" s="19">
        <f t="shared" si="11"/>
        <v>1581.766667</v>
      </c>
      <c r="M201" s="19">
        <f t="shared" si="12"/>
        <v>1627.133333</v>
      </c>
      <c r="N201" s="19">
        <f t="shared" si="13"/>
        <v>1567.933333</v>
      </c>
    </row>
    <row r="202" ht="24.75" customHeight="1">
      <c r="A202" s="21" t="s">
        <v>166</v>
      </c>
      <c r="B202" s="13">
        <f>IFERROR(__xludf.DUMMYFUNCTION("GOOGLEFINANCE(A202,""PRICE"")"),21.84)</f>
        <v>21.84</v>
      </c>
      <c r="C202" s="14">
        <f>IFERROR(__xludf.DUMMYFUNCTION("GOOGLEFINANCE(A202,""PRICEOPEN"")"),21.76)</f>
        <v>21.76</v>
      </c>
      <c r="D202" s="14">
        <f>IFERROR(__xludf.DUMMYFUNCTION("GOOGLEFINANCE(A202,""HIGH"")"),21.97)</f>
        <v>21.97</v>
      </c>
      <c r="E202" s="14">
        <f>IFERROR(__xludf.DUMMYFUNCTION("GOOGLEFINANCE(A202,""LOW"")"),21.68)</f>
        <v>21.68</v>
      </c>
      <c r="F202" s="15" t="str">
        <f t="shared" si="8"/>
        <v/>
      </c>
      <c r="G202" s="16">
        <f>IFERROR(__xludf.DUMMYFUNCTION("GOOGLEFINANCE(A202,""CLOSEYEST"")"),21.76)</f>
        <v>21.76</v>
      </c>
      <c r="H202" s="17" t="str">
        <f t="shared" si="14"/>
        <v/>
      </c>
      <c r="I202" s="18">
        <f t="shared" si="9"/>
        <v>21.80333333</v>
      </c>
      <c r="J202" s="19">
        <f t="shared" si="10"/>
        <v>21.92666667</v>
      </c>
      <c r="K202" s="19"/>
      <c r="L202" s="19">
        <f t="shared" si="11"/>
        <v>21.63666667</v>
      </c>
      <c r="M202" s="19">
        <f t="shared" si="12"/>
        <v>22.09333333</v>
      </c>
      <c r="N202" s="19">
        <f t="shared" si="13"/>
        <v>21.51333333</v>
      </c>
    </row>
    <row r="203" ht="24.75" customHeight="1">
      <c r="A203" s="21" t="s">
        <v>167</v>
      </c>
      <c r="B203" s="13">
        <f>IFERROR(__xludf.DUMMYFUNCTION("GOOGLEFINANCE(A203,""PRICE"")"),5072.0)</f>
        <v>5072</v>
      </c>
      <c r="C203" s="14">
        <f>IFERROR(__xludf.DUMMYFUNCTION("GOOGLEFINANCE(A203,""PRICEOPEN"")"),4975.0)</f>
        <v>4975</v>
      </c>
      <c r="D203" s="14">
        <f>IFERROR(__xludf.DUMMYFUNCTION("GOOGLEFINANCE(A203,""HIGH"")"),5077.1)</f>
        <v>5077.1</v>
      </c>
      <c r="E203" s="14">
        <f>IFERROR(__xludf.DUMMYFUNCTION("GOOGLEFINANCE(A203,""LOW"")"),4953.7)</f>
        <v>4953.7</v>
      </c>
      <c r="F203" s="15" t="str">
        <f t="shared" si="8"/>
        <v/>
      </c>
      <c r="G203" s="16">
        <f>IFERROR(__xludf.DUMMYFUNCTION("GOOGLEFINANCE(A203,""CLOSEYEST"")"),4955.4)</f>
        <v>4955.4</v>
      </c>
      <c r="H203" s="17" t="str">
        <f t="shared" si="14"/>
        <v/>
      </c>
      <c r="I203" s="18">
        <f t="shared" si="9"/>
        <v>4995.4</v>
      </c>
      <c r="J203" s="19">
        <f t="shared" si="10"/>
        <v>5037.1</v>
      </c>
      <c r="K203" s="19"/>
      <c r="L203" s="19">
        <f t="shared" si="11"/>
        <v>4913.7</v>
      </c>
      <c r="M203" s="19">
        <f t="shared" si="12"/>
        <v>5118.8</v>
      </c>
      <c r="N203" s="19">
        <f t="shared" si="13"/>
        <v>4872</v>
      </c>
    </row>
    <row r="204" ht="24.75" customHeight="1">
      <c r="A204" s="21" t="s">
        <v>168</v>
      </c>
      <c r="B204" s="13">
        <f>IFERROR(__xludf.DUMMYFUNCTION("GOOGLEFINANCE(A204,""PRICE"")"),3130.0)</f>
        <v>3130</v>
      </c>
      <c r="C204" s="14">
        <f>IFERROR(__xludf.DUMMYFUNCTION("GOOGLEFINANCE(A204,""PRICEOPEN"")"),3090.0)</f>
        <v>3090</v>
      </c>
      <c r="D204" s="14">
        <f>IFERROR(__xludf.DUMMYFUNCTION("GOOGLEFINANCE(A204,""HIGH"")"),3150.0)</f>
        <v>3150</v>
      </c>
      <c r="E204" s="14">
        <f>IFERROR(__xludf.DUMMYFUNCTION("GOOGLEFINANCE(A204,""LOW"")"),3082.2)</f>
        <v>3082.2</v>
      </c>
      <c r="F204" s="15" t="str">
        <f t="shared" si="8"/>
        <v/>
      </c>
      <c r="G204" s="16">
        <f>IFERROR(__xludf.DUMMYFUNCTION("GOOGLEFINANCE(A204,""CLOSEYEST"")"),3084.1)</f>
        <v>3084.1</v>
      </c>
      <c r="H204" s="17" t="str">
        <f t="shared" si="14"/>
        <v/>
      </c>
      <c r="I204" s="18">
        <f t="shared" si="9"/>
        <v>3105.433333</v>
      </c>
      <c r="J204" s="19">
        <f t="shared" si="10"/>
        <v>3128.666667</v>
      </c>
      <c r="K204" s="19"/>
      <c r="L204" s="19">
        <f t="shared" si="11"/>
        <v>3060.866667</v>
      </c>
      <c r="M204" s="19">
        <f t="shared" si="12"/>
        <v>3173.233333</v>
      </c>
      <c r="N204" s="19">
        <f t="shared" si="13"/>
        <v>3037.633333</v>
      </c>
    </row>
    <row r="205" ht="24.75" customHeight="1">
      <c r="A205" s="21" t="s">
        <v>169</v>
      </c>
      <c r="B205" s="13" t="str">
        <f>IFERROR(__xludf.DUMMYFUNCTION("GOOGLEFINANCE(A205,""PRICE"")"),"#N/A")</f>
        <v>#N/A</v>
      </c>
      <c r="C205" s="14" t="str">
        <f>IFERROR(__xludf.DUMMYFUNCTION("GOOGLEFINANCE(A205,""PRICEOPEN"")"),"#N/A")</f>
        <v>#N/A</v>
      </c>
      <c r="D205" s="14" t="str">
        <f>IFERROR(__xludf.DUMMYFUNCTION("GOOGLEFINANCE(A205,""HIGH"")"),"#N/A")</f>
        <v>#N/A</v>
      </c>
      <c r="E205" s="14" t="str">
        <f>IFERROR(__xludf.DUMMYFUNCTION("GOOGLEFINANCE(A205,""LOW"")"),"#N/A")</f>
        <v>#N/A</v>
      </c>
      <c r="F205" s="15" t="str">
        <f t="shared" si="8"/>
        <v>#N/A</v>
      </c>
      <c r="G205" s="16" t="str">
        <f>IFERROR(__xludf.DUMMYFUNCTION("GOOGLEFINANCE(A205,""CLOSEYEST"")"),"#N/A")</f>
        <v>#N/A</v>
      </c>
      <c r="H205" s="17" t="str">
        <f t="shared" si="14"/>
        <v>#N/A</v>
      </c>
      <c r="I205" s="18" t="str">
        <f t="shared" si="9"/>
        <v>#N/A</v>
      </c>
      <c r="J205" s="19" t="str">
        <f t="shared" si="10"/>
        <v>#N/A</v>
      </c>
      <c r="K205" s="19"/>
      <c r="L205" s="19" t="str">
        <f t="shared" si="11"/>
        <v>#N/A</v>
      </c>
      <c r="M205" s="19" t="str">
        <f t="shared" si="12"/>
        <v>#N/A</v>
      </c>
      <c r="N205" s="19" t="str">
        <f t="shared" si="13"/>
        <v>#N/A</v>
      </c>
    </row>
    <row r="206" ht="24.75" customHeight="1">
      <c r="A206" s="21" t="s">
        <v>170</v>
      </c>
      <c r="B206" s="13">
        <f>IFERROR(__xludf.DUMMYFUNCTION("GOOGLEFINANCE(A206,""PRICE"")"),277.85)</f>
        <v>277.85</v>
      </c>
      <c r="C206" s="14">
        <f>IFERROR(__xludf.DUMMYFUNCTION("GOOGLEFINANCE(A206,""PRICEOPEN"")"),274.5)</f>
        <v>274.5</v>
      </c>
      <c r="D206" s="14">
        <f>IFERROR(__xludf.DUMMYFUNCTION("GOOGLEFINANCE(A206,""HIGH"")"),279.95)</f>
        <v>279.95</v>
      </c>
      <c r="E206" s="14">
        <f>IFERROR(__xludf.DUMMYFUNCTION("GOOGLEFINANCE(A206,""LOW"")"),273.75)</f>
        <v>273.75</v>
      </c>
      <c r="F206" s="15" t="str">
        <f t="shared" si="8"/>
        <v/>
      </c>
      <c r="G206" s="16">
        <f>IFERROR(__xludf.DUMMYFUNCTION("GOOGLEFINANCE(A206,""CLOSEYEST"")"),274.5)</f>
        <v>274.5</v>
      </c>
      <c r="H206" s="17" t="str">
        <f t="shared" si="14"/>
        <v/>
      </c>
      <c r="I206" s="18">
        <f t="shared" si="9"/>
        <v>276.0666667</v>
      </c>
      <c r="J206" s="19">
        <f t="shared" si="10"/>
        <v>278.3833333</v>
      </c>
      <c r="K206" s="19"/>
      <c r="L206" s="19">
        <f t="shared" si="11"/>
        <v>272.1833333</v>
      </c>
      <c r="M206" s="19">
        <f t="shared" si="12"/>
        <v>282.2666667</v>
      </c>
      <c r="N206" s="19">
        <f t="shared" si="13"/>
        <v>269.8666667</v>
      </c>
    </row>
    <row r="207" ht="24.75" customHeight="1">
      <c r="A207" s="21" t="s">
        <v>171</v>
      </c>
      <c r="B207" s="13">
        <f>IFERROR(__xludf.DUMMYFUNCTION("GOOGLEFINANCE(A207,""PRICE"")"),252.59)</f>
        <v>252.59</v>
      </c>
      <c r="C207" s="14">
        <f>IFERROR(__xludf.DUMMYFUNCTION("GOOGLEFINANCE(A207,""PRICEOPEN"")"),248.5)</f>
        <v>248.5</v>
      </c>
      <c r="D207" s="14">
        <f>IFERROR(__xludf.DUMMYFUNCTION("GOOGLEFINANCE(A207,""HIGH"")"),254.95)</f>
        <v>254.95</v>
      </c>
      <c r="E207" s="14">
        <f>IFERROR(__xludf.DUMMYFUNCTION("GOOGLEFINANCE(A207,""LOW"")"),247.9)</f>
        <v>247.9</v>
      </c>
      <c r="F207" s="15" t="str">
        <f t="shared" si="8"/>
        <v/>
      </c>
      <c r="G207" s="16">
        <f>IFERROR(__xludf.DUMMYFUNCTION("GOOGLEFINANCE(A207,""CLOSEYEST"")"),249.22)</f>
        <v>249.22</v>
      </c>
      <c r="H207" s="17" t="str">
        <f t="shared" si="14"/>
        <v/>
      </c>
      <c r="I207" s="18">
        <f t="shared" si="9"/>
        <v>250.69</v>
      </c>
      <c r="J207" s="19">
        <f t="shared" si="10"/>
        <v>253.48</v>
      </c>
      <c r="K207" s="19"/>
      <c r="L207" s="19">
        <f t="shared" si="11"/>
        <v>246.43</v>
      </c>
      <c r="M207" s="19">
        <f t="shared" si="12"/>
        <v>257.74</v>
      </c>
      <c r="N207" s="19">
        <f t="shared" si="13"/>
        <v>243.64</v>
      </c>
    </row>
    <row r="208" ht="24.75" customHeight="1">
      <c r="A208" s="21" t="s">
        <v>172</v>
      </c>
      <c r="B208" s="13">
        <f>IFERROR(__xludf.DUMMYFUNCTION("GOOGLEFINANCE(A208,""PRICE"")"),442.5)</f>
        <v>442.5</v>
      </c>
      <c r="C208" s="14">
        <f>IFERROR(__xludf.DUMMYFUNCTION("GOOGLEFINANCE(A208,""PRICEOPEN"")"),445.6)</f>
        <v>445.6</v>
      </c>
      <c r="D208" s="14">
        <f>IFERROR(__xludf.DUMMYFUNCTION("GOOGLEFINANCE(A208,""HIGH"")"),447.7)</f>
        <v>447.7</v>
      </c>
      <c r="E208" s="14">
        <f>IFERROR(__xludf.DUMMYFUNCTION("GOOGLEFINANCE(A208,""LOW"")"),440.0)</f>
        <v>440</v>
      </c>
      <c r="F208" s="15" t="str">
        <f t="shared" si="8"/>
        <v/>
      </c>
      <c r="G208" s="16">
        <f>IFERROR(__xludf.DUMMYFUNCTION("GOOGLEFINANCE(A208,""CLOSEYEST"")"),445.6)</f>
        <v>445.6</v>
      </c>
      <c r="H208" s="17" t="str">
        <f t="shared" si="14"/>
        <v/>
      </c>
      <c r="I208" s="18">
        <f t="shared" si="9"/>
        <v>444.4333333</v>
      </c>
      <c r="J208" s="19">
        <f t="shared" si="10"/>
        <v>448.8666667</v>
      </c>
      <c r="K208" s="19"/>
      <c r="L208" s="19">
        <f t="shared" si="11"/>
        <v>441.1666667</v>
      </c>
      <c r="M208" s="19">
        <f t="shared" si="12"/>
        <v>452.1333333</v>
      </c>
      <c r="N208" s="19">
        <f t="shared" si="13"/>
        <v>436.7333333</v>
      </c>
    </row>
    <row r="209" ht="24.75" customHeight="1">
      <c r="A209" s="21" t="s">
        <v>173</v>
      </c>
      <c r="B209" s="13" t="str">
        <f>IFERROR(__xludf.DUMMYFUNCTION("GOOGLEFINANCE(A209,""PRICE"")"),"#N/A")</f>
        <v>#N/A</v>
      </c>
      <c r="C209" s="14" t="str">
        <f>IFERROR(__xludf.DUMMYFUNCTION("GOOGLEFINANCE(A209,""PRICEOPEN"")"),"#N/A")</f>
        <v>#N/A</v>
      </c>
      <c r="D209" s="14" t="str">
        <f>IFERROR(__xludf.DUMMYFUNCTION("GOOGLEFINANCE(A209,""HIGH"")"),"#N/A")</f>
        <v>#N/A</v>
      </c>
      <c r="E209" s="14" t="str">
        <f>IFERROR(__xludf.DUMMYFUNCTION("GOOGLEFINANCE(A209,""LOW"")"),"#N/A")</f>
        <v>#N/A</v>
      </c>
      <c r="F209" s="15" t="str">
        <f t="shared" si="8"/>
        <v>#N/A</v>
      </c>
      <c r="G209" s="16" t="str">
        <f>IFERROR(__xludf.DUMMYFUNCTION("GOOGLEFINANCE(A209,""CLOSEYEST"")"),"#N/A")</f>
        <v>#N/A</v>
      </c>
      <c r="H209" s="17" t="str">
        <f t="shared" si="14"/>
        <v>#N/A</v>
      </c>
      <c r="I209" s="18" t="str">
        <f t="shared" si="9"/>
        <v>#N/A</v>
      </c>
      <c r="J209" s="19" t="str">
        <f t="shared" si="10"/>
        <v>#N/A</v>
      </c>
      <c r="K209" s="19"/>
      <c r="L209" s="19" t="str">
        <f t="shared" si="11"/>
        <v>#N/A</v>
      </c>
      <c r="M209" s="19" t="str">
        <f t="shared" si="12"/>
        <v>#N/A</v>
      </c>
      <c r="N209" s="19" t="str">
        <f t="shared" si="13"/>
        <v>#N/A</v>
      </c>
    </row>
    <row r="210" ht="24.75" customHeight="1">
      <c r="A210" s="21" t="s">
        <v>174</v>
      </c>
      <c r="B210" s="13">
        <f>IFERROR(__xludf.DUMMYFUNCTION("GOOGLEFINANCE(A210,""PRICE"")"),4.0)</f>
        <v>4</v>
      </c>
      <c r="C210" s="14" t="str">
        <f>IFERROR(__xludf.DUMMYFUNCTION("GOOGLEFINANCE(A210,""PRICEOPEN"")"),"#N/A")</f>
        <v>#N/A</v>
      </c>
      <c r="D210" s="14" t="str">
        <f>IFERROR(__xludf.DUMMYFUNCTION("GOOGLEFINANCE(A210,""HIGH"")"),"#N/A")</f>
        <v>#N/A</v>
      </c>
      <c r="E210" s="14" t="str">
        <f>IFERROR(__xludf.DUMMYFUNCTION("GOOGLEFINANCE(A210,""LOW"")"),"#N/A")</f>
        <v>#N/A</v>
      </c>
      <c r="F210" s="15" t="str">
        <f t="shared" si="8"/>
        <v>#N/A</v>
      </c>
      <c r="G210" s="16">
        <f>IFERROR(__xludf.DUMMYFUNCTION("GOOGLEFINANCE(A210,""CLOSEYEST"")"),4.0)</f>
        <v>4</v>
      </c>
      <c r="H210" s="17" t="str">
        <f t="shared" si="14"/>
        <v>#N/A</v>
      </c>
      <c r="I210" s="18" t="str">
        <f t="shared" si="9"/>
        <v>#N/A</v>
      </c>
      <c r="J210" s="19" t="str">
        <f t="shared" si="10"/>
        <v>#N/A</v>
      </c>
      <c r="K210" s="19"/>
      <c r="L210" s="19" t="str">
        <f t="shared" si="11"/>
        <v>#N/A</v>
      </c>
      <c r="M210" s="19" t="str">
        <f t="shared" si="12"/>
        <v>#N/A</v>
      </c>
      <c r="N210" s="19" t="str">
        <f t="shared" si="13"/>
        <v>#N/A</v>
      </c>
    </row>
    <row r="211" ht="24.75" customHeight="1">
      <c r="A211" s="21" t="s">
        <v>175</v>
      </c>
      <c r="B211" s="13">
        <f>IFERROR(__xludf.DUMMYFUNCTION("GOOGLEFINANCE(A211,""PRICE"")"),2.84)</f>
        <v>2.84</v>
      </c>
      <c r="C211" s="14">
        <f>IFERROR(__xludf.DUMMYFUNCTION("GOOGLEFINANCE(A211,""PRICEOPEN"")"),2.8)</f>
        <v>2.8</v>
      </c>
      <c r="D211" s="14">
        <f>IFERROR(__xludf.DUMMYFUNCTION("GOOGLEFINANCE(A211,""HIGH"")"),2.84)</f>
        <v>2.84</v>
      </c>
      <c r="E211" s="14">
        <f>IFERROR(__xludf.DUMMYFUNCTION("GOOGLEFINANCE(A211,""LOW"")"),2.79)</f>
        <v>2.79</v>
      </c>
      <c r="F211" s="15" t="str">
        <f t="shared" si="8"/>
        <v/>
      </c>
      <c r="G211" s="16">
        <f>IFERROR(__xludf.DUMMYFUNCTION("GOOGLEFINANCE(A211,""CLOSEYEST"")"),2.8)</f>
        <v>2.8</v>
      </c>
      <c r="H211" s="17" t="str">
        <f t="shared" si="14"/>
        <v/>
      </c>
      <c r="I211" s="18">
        <f t="shared" si="9"/>
        <v>2.81</v>
      </c>
      <c r="J211" s="19">
        <f t="shared" si="10"/>
        <v>2.83</v>
      </c>
      <c r="K211" s="19"/>
      <c r="L211" s="19">
        <f t="shared" si="11"/>
        <v>2.78</v>
      </c>
      <c r="M211" s="19">
        <f t="shared" si="12"/>
        <v>2.86</v>
      </c>
      <c r="N211" s="19">
        <f t="shared" si="13"/>
        <v>2.76</v>
      </c>
    </row>
    <row r="212" ht="24.75" customHeight="1">
      <c r="A212" s="21" t="s">
        <v>176</v>
      </c>
      <c r="B212" s="13">
        <f>IFERROR(__xludf.DUMMYFUNCTION("GOOGLEFINANCE(A212,""PRICE"")"),304.5)</f>
        <v>304.5</v>
      </c>
      <c r="C212" s="14">
        <f>IFERROR(__xludf.DUMMYFUNCTION("GOOGLEFINANCE(A212,""PRICEOPEN"")"),300.6)</f>
        <v>300.6</v>
      </c>
      <c r="D212" s="14">
        <f>IFERROR(__xludf.DUMMYFUNCTION("GOOGLEFINANCE(A212,""HIGH"")"),304.95)</f>
        <v>304.95</v>
      </c>
      <c r="E212" s="14">
        <f>IFERROR(__xludf.DUMMYFUNCTION("GOOGLEFINANCE(A212,""LOW"")"),297.6)</f>
        <v>297.6</v>
      </c>
      <c r="F212" s="15" t="str">
        <f t="shared" si="8"/>
        <v/>
      </c>
      <c r="G212" s="16">
        <f>IFERROR(__xludf.DUMMYFUNCTION("GOOGLEFINANCE(A212,""CLOSEYEST"")"),299.85)</f>
        <v>299.85</v>
      </c>
      <c r="H212" s="17" t="str">
        <f t="shared" si="14"/>
        <v/>
      </c>
      <c r="I212" s="18">
        <f t="shared" si="9"/>
        <v>300.8</v>
      </c>
      <c r="J212" s="19">
        <f t="shared" si="10"/>
        <v>304</v>
      </c>
      <c r="K212" s="19"/>
      <c r="L212" s="19">
        <f t="shared" si="11"/>
        <v>296.65</v>
      </c>
      <c r="M212" s="19">
        <f t="shared" si="12"/>
        <v>308.15</v>
      </c>
      <c r="N212" s="19">
        <f t="shared" si="13"/>
        <v>293.45</v>
      </c>
    </row>
    <row r="213" ht="24.75" customHeight="1">
      <c r="A213" s="21" t="s">
        <v>64</v>
      </c>
      <c r="B213" s="13">
        <f>IFERROR(__xludf.DUMMYFUNCTION("GOOGLEFINANCE(A213,""PRICE"")"),114.15)</f>
        <v>114.15</v>
      </c>
      <c r="C213" s="14">
        <f>IFERROR(__xludf.DUMMYFUNCTION("GOOGLEFINANCE(A213,""PRICEOPEN"")"),114.49)</f>
        <v>114.49</v>
      </c>
      <c r="D213" s="14">
        <f>IFERROR(__xludf.DUMMYFUNCTION("GOOGLEFINANCE(A213,""HIGH"")"),115.07)</f>
        <v>115.07</v>
      </c>
      <c r="E213" s="14">
        <f>IFERROR(__xludf.DUMMYFUNCTION("GOOGLEFINANCE(A213,""LOW"")"),112.63)</f>
        <v>112.63</v>
      </c>
      <c r="F213" s="15" t="str">
        <f t="shared" si="8"/>
        <v/>
      </c>
      <c r="G213" s="16">
        <f>IFERROR(__xludf.DUMMYFUNCTION("GOOGLEFINANCE(A213,""CLOSEYEST"")"),114.21)</f>
        <v>114.21</v>
      </c>
      <c r="H213" s="17" t="str">
        <f t="shared" si="14"/>
        <v/>
      </c>
      <c r="I213" s="18">
        <f t="shared" si="9"/>
        <v>113.97</v>
      </c>
      <c r="J213" s="19">
        <f t="shared" si="10"/>
        <v>115.31</v>
      </c>
      <c r="K213" s="19"/>
      <c r="L213" s="19">
        <f t="shared" si="11"/>
        <v>112.87</v>
      </c>
      <c r="M213" s="19">
        <f t="shared" si="12"/>
        <v>116.41</v>
      </c>
      <c r="N213" s="19">
        <f t="shared" si="13"/>
        <v>111.53</v>
      </c>
    </row>
    <row r="214" ht="24.75" customHeight="1">
      <c r="A214" s="21" t="s">
        <v>177</v>
      </c>
      <c r="B214" s="13">
        <f>IFERROR(__xludf.DUMMYFUNCTION("GOOGLEFINANCE(A214,""PRICE"")"),114.0)</f>
        <v>114</v>
      </c>
      <c r="C214" s="14">
        <f>IFERROR(__xludf.DUMMYFUNCTION("GOOGLEFINANCE(A214,""PRICEOPEN"")"),112.0)</f>
        <v>112</v>
      </c>
      <c r="D214" s="14">
        <f>IFERROR(__xludf.DUMMYFUNCTION("GOOGLEFINANCE(A214,""HIGH"")"),114.0)</f>
        <v>114</v>
      </c>
      <c r="E214" s="14">
        <f>IFERROR(__xludf.DUMMYFUNCTION("GOOGLEFINANCE(A214,""LOW"")"),110.0)</f>
        <v>110</v>
      </c>
      <c r="F214" s="15" t="str">
        <f t="shared" si="8"/>
        <v/>
      </c>
      <c r="G214" s="16">
        <f>IFERROR(__xludf.DUMMYFUNCTION("GOOGLEFINANCE(A214,""CLOSEYEST"")"),114.0)</f>
        <v>114</v>
      </c>
      <c r="H214" s="17" t="str">
        <f t="shared" si="14"/>
        <v>GAP DOWN</v>
      </c>
      <c r="I214" s="18">
        <f t="shared" si="9"/>
        <v>112.6666667</v>
      </c>
      <c r="J214" s="19">
        <f t="shared" si="10"/>
        <v>115.3333333</v>
      </c>
      <c r="K214" s="19"/>
      <c r="L214" s="19">
        <f t="shared" si="11"/>
        <v>111.3333333</v>
      </c>
      <c r="M214" s="19">
        <f t="shared" si="12"/>
        <v>116.6666667</v>
      </c>
      <c r="N214" s="19">
        <f t="shared" si="13"/>
        <v>108.6666667</v>
      </c>
    </row>
    <row r="215" ht="24.75" customHeight="1">
      <c r="A215" s="21" t="s">
        <v>178</v>
      </c>
      <c r="B215" s="13">
        <f>IFERROR(__xludf.DUMMYFUNCTION("GOOGLEFINANCE(A215,""PRICE"")"),16597.0)</f>
        <v>16597</v>
      </c>
      <c r="C215" s="14">
        <f>IFERROR(__xludf.DUMMYFUNCTION("GOOGLEFINANCE(A215,""PRICEOPEN"")"),16500.0)</f>
        <v>16500</v>
      </c>
      <c r="D215" s="14">
        <f>IFERROR(__xludf.DUMMYFUNCTION("GOOGLEFINANCE(A215,""HIGH"")"),16649.0)</f>
        <v>16649</v>
      </c>
      <c r="E215" s="14">
        <f>IFERROR(__xludf.DUMMYFUNCTION("GOOGLEFINANCE(A215,""LOW"")"),16393.0)</f>
        <v>16393</v>
      </c>
      <c r="F215" s="15" t="str">
        <f t="shared" si="8"/>
        <v/>
      </c>
      <c r="G215" s="16">
        <f>IFERROR(__xludf.DUMMYFUNCTION("GOOGLEFINANCE(A215,""CLOSEYEST"")"),16453.0)</f>
        <v>16453</v>
      </c>
      <c r="H215" s="17" t="str">
        <f t="shared" si="14"/>
        <v/>
      </c>
      <c r="I215" s="18">
        <f t="shared" si="9"/>
        <v>16498.33333</v>
      </c>
      <c r="J215" s="19">
        <f t="shared" si="10"/>
        <v>16603.66667</v>
      </c>
      <c r="K215" s="19"/>
      <c r="L215" s="19">
        <f t="shared" si="11"/>
        <v>16347.66667</v>
      </c>
      <c r="M215" s="19">
        <f t="shared" si="12"/>
        <v>16754.33333</v>
      </c>
      <c r="N215" s="19">
        <f t="shared" si="13"/>
        <v>16242.33333</v>
      </c>
    </row>
    <row r="216" ht="24.75" customHeight="1">
      <c r="A216" s="21" t="s">
        <v>179</v>
      </c>
      <c r="B216" s="13">
        <f>IFERROR(__xludf.DUMMYFUNCTION("GOOGLEFINANCE(A216,""PRICE"")"),87.0)</f>
        <v>87</v>
      </c>
      <c r="C216" s="14">
        <f>IFERROR(__xludf.DUMMYFUNCTION("GOOGLEFINANCE(A216,""PRICEOPEN"")"),86.5)</f>
        <v>86.5</v>
      </c>
      <c r="D216" s="14">
        <f>IFERROR(__xludf.DUMMYFUNCTION("GOOGLEFINANCE(A216,""HIGH"")"),87.15)</f>
        <v>87.15</v>
      </c>
      <c r="E216" s="14">
        <f>IFERROR(__xludf.DUMMYFUNCTION("GOOGLEFINANCE(A216,""LOW"")"),85.6)</f>
        <v>85.6</v>
      </c>
      <c r="F216" s="15" t="str">
        <f t="shared" si="8"/>
        <v/>
      </c>
      <c r="G216" s="16">
        <f>IFERROR(__xludf.DUMMYFUNCTION("GOOGLEFINANCE(A216,""CLOSEYEST"")"),86.37)</f>
        <v>86.37</v>
      </c>
      <c r="H216" s="17" t="str">
        <f t="shared" si="14"/>
        <v/>
      </c>
      <c r="I216" s="18">
        <f t="shared" si="9"/>
        <v>86.37333333</v>
      </c>
      <c r="J216" s="19">
        <f t="shared" si="10"/>
        <v>87.14666667</v>
      </c>
      <c r="K216" s="19"/>
      <c r="L216" s="19">
        <f t="shared" si="11"/>
        <v>85.59666667</v>
      </c>
      <c r="M216" s="19">
        <f t="shared" si="12"/>
        <v>87.92333333</v>
      </c>
      <c r="N216" s="19">
        <f t="shared" si="13"/>
        <v>84.82333333</v>
      </c>
    </row>
    <row r="217" ht="24.75" customHeight="1">
      <c r="A217" s="21" t="s">
        <v>180</v>
      </c>
      <c r="B217" s="13">
        <f>IFERROR(__xludf.DUMMYFUNCTION("GOOGLEFINANCE(A217,""PRICE"")"),137.7)</f>
        <v>137.7</v>
      </c>
      <c r="C217" s="14">
        <f>IFERROR(__xludf.DUMMYFUNCTION("GOOGLEFINANCE(A217,""PRICEOPEN"")"),138.78)</f>
        <v>138.78</v>
      </c>
      <c r="D217" s="14">
        <f>IFERROR(__xludf.DUMMYFUNCTION("GOOGLEFINANCE(A217,""HIGH"")"),140.45)</f>
        <v>140.45</v>
      </c>
      <c r="E217" s="14">
        <f>IFERROR(__xludf.DUMMYFUNCTION("GOOGLEFINANCE(A217,""LOW"")"),135.29)</f>
        <v>135.29</v>
      </c>
      <c r="F217" s="15" t="str">
        <f t="shared" si="8"/>
        <v/>
      </c>
      <c r="G217" s="16">
        <f>IFERROR(__xludf.DUMMYFUNCTION("GOOGLEFINANCE(A217,""CLOSEYEST"")"),138.75)</f>
        <v>138.75</v>
      </c>
      <c r="H217" s="17" t="str">
        <f t="shared" si="14"/>
        <v/>
      </c>
      <c r="I217" s="18">
        <f t="shared" si="9"/>
        <v>138.1633333</v>
      </c>
      <c r="J217" s="19">
        <f t="shared" si="10"/>
        <v>141.0366667</v>
      </c>
      <c r="K217" s="19"/>
      <c r="L217" s="19">
        <f t="shared" si="11"/>
        <v>135.8766667</v>
      </c>
      <c r="M217" s="19">
        <f t="shared" si="12"/>
        <v>143.3233333</v>
      </c>
      <c r="N217" s="19">
        <f t="shared" si="13"/>
        <v>133.0033333</v>
      </c>
    </row>
    <row r="218" ht="24.75" customHeight="1">
      <c r="A218" s="21" t="s">
        <v>181</v>
      </c>
      <c r="B218" s="13">
        <f>IFERROR(__xludf.DUMMYFUNCTION("GOOGLEFINANCE(A218,""PRICE"")"),3125.0)</f>
        <v>3125</v>
      </c>
      <c r="C218" s="14">
        <f>IFERROR(__xludf.DUMMYFUNCTION("GOOGLEFINANCE(A218,""PRICEOPEN"")"),3151.0)</f>
        <v>3151</v>
      </c>
      <c r="D218" s="14">
        <f>IFERROR(__xludf.DUMMYFUNCTION("GOOGLEFINANCE(A218,""HIGH"")"),3168.7)</f>
        <v>3168.7</v>
      </c>
      <c r="E218" s="14">
        <f>IFERROR(__xludf.DUMMYFUNCTION("GOOGLEFINANCE(A218,""LOW"")"),3117.0)</f>
        <v>3117</v>
      </c>
      <c r="F218" s="15" t="str">
        <f t="shared" si="8"/>
        <v/>
      </c>
      <c r="G218" s="16">
        <f>IFERROR(__xludf.DUMMYFUNCTION("GOOGLEFINANCE(A218,""CLOSEYEST"")"),3168.7)</f>
        <v>3168.7</v>
      </c>
      <c r="H218" s="17" t="str">
        <f t="shared" si="14"/>
        <v/>
      </c>
      <c r="I218" s="18">
        <f t="shared" si="9"/>
        <v>3151.466667</v>
      </c>
      <c r="J218" s="19">
        <f t="shared" si="10"/>
        <v>3185.933333</v>
      </c>
      <c r="K218" s="19"/>
      <c r="L218" s="19">
        <f t="shared" si="11"/>
        <v>3134.233333</v>
      </c>
      <c r="M218" s="19">
        <f t="shared" si="12"/>
        <v>3203.166667</v>
      </c>
      <c r="N218" s="19">
        <f t="shared" si="13"/>
        <v>3099.766667</v>
      </c>
    </row>
    <row r="219" ht="24.75" customHeight="1">
      <c r="A219" s="21" t="s">
        <v>182</v>
      </c>
      <c r="B219" s="13">
        <f>IFERROR(__xludf.DUMMYFUNCTION("GOOGLEFINANCE(A219,""PRICE"")"),69.15)</f>
        <v>69.15</v>
      </c>
      <c r="C219" s="14">
        <f>IFERROR(__xludf.DUMMYFUNCTION("GOOGLEFINANCE(A219,""PRICEOPEN"")"),68.99)</f>
        <v>68.99</v>
      </c>
      <c r="D219" s="14">
        <f>IFERROR(__xludf.DUMMYFUNCTION("GOOGLEFINANCE(A219,""HIGH"")"),69.77)</f>
        <v>69.77</v>
      </c>
      <c r="E219" s="14">
        <f>IFERROR(__xludf.DUMMYFUNCTION("GOOGLEFINANCE(A219,""LOW"")"),68.77)</f>
        <v>68.77</v>
      </c>
      <c r="F219" s="15" t="str">
        <f t="shared" si="8"/>
        <v/>
      </c>
      <c r="G219" s="16">
        <f>IFERROR(__xludf.DUMMYFUNCTION("GOOGLEFINANCE(A219,""CLOSEYEST"")"),69.02)</f>
        <v>69.02</v>
      </c>
      <c r="H219" s="17" t="str">
        <f t="shared" si="14"/>
        <v/>
      </c>
      <c r="I219" s="18">
        <f t="shared" si="9"/>
        <v>69.18666667</v>
      </c>
      <c r="J219" s="19">
        <f t="shared" si="10"/>
        <v>69.60333333</v>
      </c>
      <c r="K219" s="19"/>
      <c r="L219" s="19">
        <f t="shared" si="11"/>
        <v>68.60333333</v>
      </c>
      <c r="M219" s="19">
        <f t="shared" si="12"/>
        <v>70.18666667</v>
      </c>
      <c r="N219" s="19">
        <f t="shared" si="13"/>
        <v>68.18666667</v>
      </c>
    </row>
    <row r="220" ht="24.75" customHeight="1">
      <c r="A220" s="21" t="s">
        <v>183</v>
      </c>
      <c r="B220" s="13">
        <f>IFERROR(__xludf.DUMMYFUNCTION("GOOGLEFINANCE(A220,""PRICE"")"),3447.6)</f>
        <v>3447.6</v>
      </c>
      <c r="C220" s="14">
        <f>IFERROR(__xludf.DUMMYFUNCTION("GOOGLEFINANCE(A220,""PRICEOPEN"")"),3460.0)</f>
        <v>3460</v>
      </c>
      <c r="D220" s="14">
        <f>IFERROR(__xludf.DUMMYFUNCTION("GOOGLEFINANCE(A220,""HIGH"")"),3465.0)</f>
        <v>3465</v>
      </c>
      <c r="E220" s="14">
        <f>IFERROR(__xludf.DUMMYFUNCTION("GOOGLEFINANCE(A220,""LOW"")"),3367.2)</f>
        <v>3367.2</v>
      </c>
      <c r="F220" s="15" t="str">
        <f t="shared" si="8"/>
        <v/>
      </c>
      <c r="G220" s="16">
        <f>IFERROR(__xludf.DUMMYFUNCTION("GOOGLEFINANCE(A220,""CLOSEYEST"")"),3457.8)</f>
        <v>3457.8</v>
      </c>
      <c r="H220" s="17" t="str">
        <f t="shared" si="14"/>
        <v/>
      </c>
      <c r="I220" s="18">
        <f t="shared" si="9"/>
        <v>3430</v>
      </c>
      <c r="J220" s="19">
        <f t="shared" si="10"/>
        <v>3492.8</v>
      </c>
      <c r="K220" s="19"/>
      <c r="L220" s="19">
        <f t="shared" si="11"/>
        <v>3395</v>
      </c>
      <c r="M220" s="19">
        <f t="shared" si="12"/>
        <v>3527.8</v>
      </c>
      <c r="N220" s="19">
        <f t="shared" si="13"/>
        <v>3332.2</v>
      </c>
    </row>
    <row r="221" ht="24.75" customHeight="1">
      <c r="A221" s="21" t="s">
        <v>184</v>
      </c>
      <c r="B221" s="13">
        <f>IFERROR(__xludf.DUMMYFUNCTION("GOOGLEFINANCE(A221,""PRICE"")"),3700.0)</f>
        <v>3700</v>
      </c>
      <c r="C221" s="14">
        <f>IFERROR(__xludf.DUMMYFUNCTION("GOOGLEFINANCE(A221,""PRICEOPEN"")"),3714.0)</f>
        <v>3714</v>
      </c>
      <c r="D221" s="14">
        <f>IFERROR(__xludf.DUMMYFUNCTION("GOOGLEFINANCE(A221,""HIGH"")"),3755.0)</f>
        <v>3755</v>
      </c>
      <c r="E221" s="14">
        <f>IFERROR(__xludf.DUMMYFUNCTION("GOOGLEFINANCE(A221,""LOW"")"),3695.0)</f>
        <v>3695</v>
      </c>
      <c r="F221" s="15" t="str">
        <f t="shared" si="8"/>
        <v/>
      </c>
      <c r="G221" s="16">
        <f>IFERROR(__xludf.DUMMYFUNCTION("GOOGLEFINANCE(A221,""CLOSEYEST"")"),3714.0)</f>
        <v>3714</v>
      </c>
      <c r="H221" s="17" t="str">
        <f t="shared" si="14"/>
        <v/>
      </c>
      <c r="I221" s="18">
        <f t="shared" si="9"/>
        <v>3721.333333</v>
      </c>
      <c r="J221" s="19">
        <f t="shared" si="10"/>
        <v>3747.666667</v>
      </c>
      <c r="K221" s="19"/>
      <c r="L221" s="19">
        <f t="shared" si="11"/>
        <v>3687.666667</v>
      </c>
      <c r="M221" s="19">
        <f t="shared" si="12"/>
        <v>3781.333333</v>
      </c>
      <c r="N221" s="19">
        <f t="shared" si="13"/>
        <v>3661.333333</v>
      </c>
    </row>
    <row r="222" ht="24.75" customHeight="1">
      <c r="A222" s="21" t="s">
        <v>185</v>
      </c>
      <c r="B222" s="13">
        <f>IFERROR(__xludf.DUMMYFUNCTION("GOOGLEFINANCE(A222,""PRICE"")"),126.0)</f>
        <v>126</v>
      </c>
      <c r="C222" s="14">
        <f>IFERROR(__xludf.DUMMYFUNCTION("GOOGLEFINANCE(A222,""PRICEOPEN"")"),125.54)</f>
        <v>125.54</v>
      </c>
      <c r="D222" s="14">
        <f>IFERROR(__xludf.DUMMYFUNCTION("GOOGLEFINANCE(A222,""HIGH"")"),127.18)</f>
        <v>127.18</v>
      </c>
      <c r="E222" s="14">
        <f>IFERROR(__xludf.DUMMYFUNCTION("GOOGLEFINANCE(A222,""LOW"")"),125.01)</f>
        <v>125.01</v>
      </c>
      <c r="F222" s="15" t="str">
        <f t="shared" si="8"/>
        <v/>
      </c>
      <c r="G222" s="16">
        <f>IFERROR(__xludf.DUMMYFUNCTION("GOOGLEFINANCE(A222,""CLOSEYEST"")"),125.54)</f>
        <v>125.54</v>
      </c>
      <c r="H222" s="17" t="str">
        <f t="shared" si="14"/>
        <v/>
      </c>
      <c r="I222" s="18">
        <f t="shared" si="9"/>
        <v>125.91</v>
      </c>
      <c r="J222" s="19">
        <f t="shared" si="10"/>
        <v>126.81</v>
      </c>
      <c r="K222" s="19"/>
      <c r="L222" s="19">
        <f t="shared" si="11"/>
        <v>124.64</v>
      </c>
      <c r="M222" s="19">
        <f t="shared" si="12"/>
        <v>128.08</v>
      </c>
      <c r="N222" s="19">
        <f t="shared" si="13"/>
        <v>123.74</v>
      </c>
    </row>
    <row r="223" ht="24.75" customHeight="1">
      <c r="A223" s="21" t="s">
        <v>186</v>
      </c>
      <c r="B223" s="13">
        <f>IFERROR(__xludf.DUMMYFUNCTION("GOOGLEFINANCE(A223,""PRICE"")"),28.69)</f>
        <v>28.69</v>
      </c>
      <c r="C223" s="14">
        <f>IFERROR(__xludf.DUMMYFUNCTION("GOOGLEFINANCE(A223,""PRICEOPEN"")"),28.31)</f>
        <v>28.31</v>
      </c>
      <c r="D223" s="14">
        <f>IFERROR(__xludf.DUMMYFUNCTION("GOOGLEFINANCE(A223,""HIGH"")"),28.69)</f>
        <v>28.69</v>
      </c>
      <c r="E223" s="14">
        <f>IFERROR(__xludf.DUMMYFUNCTION("GOOGLEFINANCE(A223,""LOW"")"),28.25)</f>
        <v>28.25</v>
      </c>
      <c r="F223" s="15" t="str">
        <f t="shared" si="8"/>
        <v/>
      </c>
      <c r="G223" s="16">
        <f>IFERROR(__xludf.DUMMYFUNCTION("GOOGLEFINANCE(A223,""CLOSEYEST"")"),28.31)</f>
        <v>28.31</v>
      </c>
      <c r="H223" s="17" t="str">
        <f t="shared" si="14"/>
        <v/>
      </c>
      <c r="I223" s="18">
        <f t="shared" si="9"/>
        <v>28.41666667</v>
      </c>
      <c r="J223" s="19">
        <f t="shared" si="10"/>
        <v>28.58333333</v>
      </c>
      <c r="K223" s="19"/>
      <c r="L223" s="19">
        <f t="shared" si="11"/>
        <v>28.14333333</v>
      </c>
      <c r="M223" s="19">
        <f t="shared" si="12"/>
        <v>28.85666667</v>
      </c>
      <c r="N223" s="19">
        <f t="shared" si="13"/>
        <v>27.97666667</v>
      </c>
    </row>
    <row r="224" ht="24.75" customHeight="1">
      <c r="A224" s="21" t="s">
        <v>187</v>
      </c>
      <c r="B224" s="13">
        <f>IFERROR(__xludf.DUMMYFUNCTION("GOOGLEFINANCE(A224,""PRICE"")"),2741.0)</f>
        <v>2741</v>
      </c>
      <c r="C224" s="14">
        <f>IFERROR(__xludf.DUMMYFUNCTION("GOOGLEFINANCE(A224,""PRICEOPEN"")"),2693.0)</f>
        <v>2693</v>
      </c>
      <c r="D224" s="14">
        <f>IFERROR(__xludf.DUMMYFUNCTION("GOOGLEFINANCE(A224,""HIGH"")"),2759.9)</f>
        <v>2759.9</v>
      </c>
      <c r="E224" s="14">
        <f>IFERROR(__xludf.DUMMYFUNCTION("GOOGLEFINANCE(A224,""LOW"")"),2686.0)</f>
        <v>2686</v>
      </c>
      <c r="F224" s="15" t="str">
        <f t="shared" si="8"/>
        <v/>
      </c>
      <c r="G224" s="16">
        <f>IFERROR(__xludf.DUMMYFUNCTION("GOOGLEFINANCE(A224,""CLOSEYEST"")"),2697.2)</f>
        <v>2697.2</v>
      </c>
      <c r="H224" s="17" t="str">
        <f t="shared" si="14"/>
        <v/>
      </c>
      <c r="I224" s="18">
        <f t="shared" si="9"/>
        <v>2714.366667</v>
      </c>
      <c r="J224" s="19">
        <f t="shared" si="10"/>
        <v>2742.733333</v>
      </c>
      <c r="K224" s="19"/>
      <c r="L224" s="19">
        <f t="shared" si="11"/>
        <v>2668.833333</v>
      </c>
      <c r="M224" s="19">
        <f t="shared" si="12"/>
        <v>2788.266667</v>
      </c>
      <c r="N224" s="19">
        <f t="shared" si="13"/>
        <v>2640.466667</v>
      </c>
    </row>
    <row r="225" ht="24.75" customHeight="1">
      <c r="A225" s="21" t="s">
        <v>188</v>
      </c>
      <c r="B225" s="13">
        <f>IFERROR(__xludf.DUMMYFUNCTION("GOOGLEFINANCE(A225,""PRICE"")"),4244.4)</f>
        <v>4244.4</v>
      </c>
      <c r="C225" s="14">
        <f>IFERROR(__xludf.DUMMYFUNCTION("GOOGLEFINANCE(A225,""PRICEOPEN"")"),4142.2)</f>
        <v>4142.2</v>
      </c>
      <c r="D225" s="14">
        <f>IFERROR(__xludf.DUMMYFUNCTION("GOOGLEFINANCE(A225,""HIGH"")"),4302.0)</f>
        <v>4302</v>
      </c>
      <c r="E225" s="14">
        <f>IFERROR(__xludf.DUMMYFUNCTION("GOOGLEFINANCE(A225,""LOW"")"),4142.2)</f>
        <v>4142.2</v>
      </c>
      <c r="F225" s="15" t="str">
        <f t="shared" si="8"/>
        <v>BUY</v>
      </c>
      <c r="G225" s="16">
        <f>IFERROR(__xludf.DUMMYFUNCTION("GOOGLEFINANCE(A225,""CLOSEYEST"")"),4182.5)</f>
        <v>4182.5</v>
      </c>
      <c r="H225" s="17" t="str">
        <f t="shared" si="14"/>
        <v/>
      </c>
      <c r="I225" s="18">
        <f t="shared" si="9"/>
        <v>4208.9</v>
      </c>
      <c r="J225" s="19">
        <f t="shared" si="10"/>
        <v>4275.6</v>
      </c>
      <c r="K225" s="19"/>
      <c r="L225" s="19">
        <f t="shared" si="11"/>
        <v>4115.8</v>
      </c>
      <c r="M225" s="19">
        <f t="shared" si="12"/>
        <v>4368.7</v>
      </c>
      <c r="N225" s="19">
        <f t="shared" si="13"/>
        <v>4049.1</v>
      </c>
    </row>
    <row r="226" ht="24.75" customHeight="1">
      <c r="A226" s="21" t="s">
        <v>189</v>
      </c>
      <c r="B226" s="13">
        <f>IFERROR(__xludf.DUMMYFUNCTION("GOOGLEFINANCE(A226,""PRICE"")"),87.4)</f>
        <v>87.4</v>
      </c>
      <c r="C226" s="14">
        <f>IFERROR(__xludf.DUMMYFUNCTION("GOOGLEFINANCE(A226,""PRICEOPEN"")"),86.69)</f>
        <v>86.69</v>
      </c>
      <c r="D226" s="14">
        <f>IFERROR(__xludf.DUMMYFUNCTION("GOOGLEFINANCE(A226,""HIGH"")"),88.99)</f>
        <v>88.99</v>
      </c>
      <c r="E226" s="14">
        <f>IFERROR(__xludf.DUMMYFUNCTION("GOOGLEFINANCE(A226,""LOW"")"),86.4)</f>
        <v>86.4</v>
      </c>
      <c r="F226" s="15" t="str">
        <f t="shared" si="8"/>
        <v/>
      </c>
      <c r="G226" s="16">
        <f>IFERROR(__xludf.DUMMYFUNCTION("GOOGLEFINANCE(A226,""CLOSEYEST"")"),86.39)</f>
        <v>86.39</v>
      </c>
      <c r="H226" s="17" t="str">
        <f t="shared" si="14"/>
        <v/>
      </c>
      <c r="I226" s="18">
        <f t="shared" si="9"/>
        <v>87.26</v>
      </c>
      <c r="J226" s="19">
        <f t="shared" si="10"/>
        <v>88.12</v>
      </c>
      <c r="K226" s="19"/>
      <c r="L226" s="19">
        <f t="shared" si="11"/>
        <v>85.53</v>
      </c>
      <c r="M226" s="19">
        <f t="shared" si="12"/>
        <v>89.85</v>
      </c>
      <c r="N226" s="19">
        <f t="shared" si="13"/>
        <v>84.67</v>
      </c>
    </row>
    <row r="227" ht="24.75" customHeight="1">
      <c r="A227" s="21" t="s">
        <v>190</v>
      </c>
      <c r="B227" s="13">
        <f>IFERROR(__xludf.DUMMYFUNCTION("GOOGLEFINANCE(A227,""PRICE"")"),4200.0)</f>
        <v>4200</v>
      </c>
      <c r="C227" s="14">
        <f>IFERROR(__xludf.DUMMYFUNCTION("GOOGLEFINANCE(A227,""PRICEOPEN"")"),4190.0)</f>
        <v>4190</v>
      </c>
      <c r="D227" s="14">
        <f>IFERROR(__xludf.DUMMYFUNCTION("GOOGLEFINANCE(A227,""HIGH"")"),4223.0)</f>
        <v>4223</v>
      </c>
      <c r="E227" s="14">
        <f>IFERROR(__xludf.DUMMYFUNCTION("GOOGLEFINANCE(A227,""LOW"")"),4141.8)</f>
        <v>4141.8</v>
      </c>
      <c r="F227" s="15" t="str">
        <f t="shared" si="8"/>
        <v/>
      </c>
      <c r="G227" s="16">
        <f>IFERROR(__xludf.DUMMYFUNCTION("GOOGLEFINANCE(A227,""CLOSEYEST"")"),4190.2)</f>
        <v>4190.2</v>
      </c>
      <c r="H227" s="17" t="str">
        <f t="shared" si="14"/>
        <v/>
      </c>
      <c r="I227" s="18">
        <f t="shared" si="9"/>
        <v>4185</v>
      </c>
      <c r="J227" s="19">
        <f t="shared" si="10"/>
        <v>4228.2</v>
      </c>
      <c r="K227" s="19"/>
      <c r="L227" s="19">
        <f t="shared" si="11"/>
        <v>4147</v>
      </c>
      <c r="M227" s="19">
        <f t="shared" si="12"/>
        <v>4266.2</v>
      </c>
      <c r="N227" s="19">
        <f t="shared" si="13"/>
        <v>4103.8</v>
      </c>
    </row>
    <row r="228" ht="24.75" customHeight="1">
      <c r="A228" s="21" t="s">
        <v>191</v>
      </c>
      <c r="B228" s="13">
        <f>IFERROR(__xludf.DUMMYFUNCTION("GOOGLEFINANCE(A228,""PRICE"")"),6106.0)</f>
        <v>6106</v>
      </c>
      <c r="C228" s="14">
        <f>IFERROR(__xludf.DUMMYFUNCTION("GOOGLEFINANCE(A228,""PRICEOPEN"")"),6185.0)</f>
        <v>6185</v>
      </c>
      <c r="D228" s="14">
        <f>IFERROR(__xludf.DUMMYFUNCTION("GOOGLEFINANCE(A228,""HIGH"")"),6185.0)</f>
        <v>6185</v>
      </c>
      <c r="E228" s="14">
        <f>IFERROR(__xludf.DUMMYFUNCTION("GOOGLEFINANCE(A228,""LOW"")"),6086.0)</f>
        <v>6086</v>
      </c>
      <c r="F228" s="15" t="str">
        <f t="shared" si="8"/>
        <v>SELL</v>
      </c>
      <c r="G228" s="16">
        <f>IFERROR(__xludf.DUMMYFUNCTION("GOOGLEFINANCE(A228,""CLOSEYEST"")"),6186.5)</f>
        <v>6186.5</v>
      </c>
      <c r="H228" s="17" t="str">
        <f t="shared" si="14"/>
        <v/>
      </c>
      <c r="I228" s="18">
        <f t="shared" si="9"/>
        <v>6152.5</v>
      </c>
      <c r="J228" s="19">
        <f t="shared" si="10"/>
        <v>6219</v>
      </c>
      <c r="K228" s="19"/>
      <c r="L228" s="19">
        <f t="shared" si="11"/>
        <v>6120</v>
      </c>
      <c r="M228" s="19">
        <f t="shared" si="12"/>
        <v>6251.5</v>
      </c>
      <c r="N228" s="19">
        <f t="shared" si="13"/>
        <v>6053.5</v>
      </c>
    </row>
    <row r="229" ht="24.75" customHeight="1">
      <c r="A229" s="21" t="s">
        <v>192</v>
      </c>
      <c r="B229" s="13">
        <f>IFERROR(__xludf.DUMMYFUNCTION("GOOGLEFINANCE(A229,""PRICE"")"),29130.0)</f>
        <v>29130</v>
      </c>
      <c r="C229" s="14">
        <f>IFERROR(__xludf.DUMMYFUNCTION("GOOGLEFINANCE(A229,""PRICEOPEN"")"),29400.0)</f>
        <v>29400</v>
      </c>
      <c r="D229" s="14">
        <f>IFERROR(__xludf.DUMMYFUNCTION("GOOGLEFINANCE(A229,""HIGH"")"),29400.0)</f>
        <v>29400</v>
      </c>
      <c r="E229" s="14">
        <f>IFERROR(__xludf.DUMMYFUNCTION("GOOGLEFINANCE(A229,""LOW"")"),28855.0)</f>
        <v>28855</v>
      </c>
      <c r="F229" s="15" t="str">
        <f t="shared" si="8"/>
        <v>SELL</v>
      </c>
      <c r="G229" s="16">
        <f>IFERROR(__xludf.DUMMYFUNCTION("GOOGLEFINANCE(A229,""CLOSEYEST"")"),29135.0)</f>
        <v>29135</v>
      </c>
      <c r="H229" s="17" t="str">
        <f t="shared" si="14"/>
        <v/>
      </c>
      <c r="I229" s="18">
        <f t="shared" si="9"/>
        <v>29130</v>
      </c>
      <c r="J229" s="19">
        <f t="shared" si="10"/>
        <v>29405</v>
      </c>
      <c r="K229" s="19"/>
      <c r="L229" s="19">
        <f t="shared" si="11"/>
        <v>28860</v>
      </c>
      <c r="M229" s="19">
        <f t="shared" si="12"/>
        <v>29675</v>
      </c>
      <c r="N229" s="19">
        <f t="shared" si="13"/>
        <v>28585</v>
      </c>
    </row>
    <row r="230" ht="24.75" customHeight="1">
      <c r="A230" s="21" t="s">
        <v>193</v>
      </c>
      <c r="B230" s="13">
        <f>IFERROR(__xludf.DUMMYFUNCTION("GOOGLEFINANCE(A230,""PRICE"")"),295.0)</f>
        <v>295</v>
      </c>
      <c r="C230" s="14">
        <f>IFERROR(__xludf.DUMMYFUNCTION("GOOGLEFINANCE(A230,""PRICEOPEN"")"),295.0)</f>
        <v>295</v>
      </c>
      <c r="D230" s="14">
        <f>IFERROR(__xludf.DUMMYFUNCTION("GOOGLEFINANCE(A230,""HIGH"")"),296.05)</f>
        <v>296.05</v>
      </c>
      <c r="E230" s="14">
        <f>IFERROR(__xludf.DUMMYFUNCTION("GOOGLEFINANCE(A230,""LOW"")"),292.35)</f>
        <v>292.35</v>
      </c>
      <c r="F230" s="15" t="str">
        <f t="shared" si="8"/>
        <v/>
      </c>
      <c r="G230" s="16">
        <f>IFERROR(__xludf.DUMMYFUNCTION("GOOGLEFINANCE(A230,""CLOSEYEST"")"),293.1)</f>
        <v>293.1</v>
      </c>
      <c r="H230" s="17" t="str">
        <f t="shared" si="14"/>
        <v/>
      </c>
      <c r="I230" s="18">
        <f t="shared" si="9"/>
        <v>293.8333333</v>
      </c>
      <c r="J230" s="19">
        <f t="shared" si="10"/>
        <v>295.3166667</v>
      </c>
      <c r="K230" s="19"/>
      <c r="L230" s="19">
        <f t="shared" si="11"/>
        <v>291.6166667</v>
      </c>
      <c r="M230" s="19">
        <f t="shared" si="12"/>
        <v>297.5333333</v>
      </c>
      <c r="N230" s="19">
        <f t="shared" si="13"/>
        <v>290.1333333</v>
      </c>
    </row>
    <row r="231" ht="24.75" customHeight="1">
      <c r="A231" s="21" t="s">
        <v>194</v>
      </c>
      <c r="B231" s="13">
        <f>IFERROR(__xludf.DUMMYFUNCTION("GOOGLEFINANCE(A231,""PRICE"")"),869.9)</f>
        <v>869.9</v>
      </c>
      <c r="C231" s="14">
        <f>IFERROR(__xludf.DUMMYFUNCTION("GOOGLEFINANCE(A231,""PRICEOPEN"")"),872.0)</f>
        <v>872</v>
      </c>
      <c r="D231" s="14">
        <f>IFERROR(__xludf.DUMMYFUNCTION("GOOGLEFINANCE(A231,""HIGH"")"),881.3)</f>
        <v>881.3</v>
      </c>
      <c r="E231" s="14">
        <f>IFERROR(__xludf.DUMMYFUNCTION("GOOGLEFINANCE(A231,""LOW"")"),862.3)</f>
        <v>862.3</v>
      </c>
      <c r="F231" s="15" t="str">
        <f t="shared" si="8"/>
        <v/>
      </c>
      <c r="G231" s="16">
        <f>IFERROR(__xludf.DUMMYFUNCTION("GOOGLEFINANCE(A231,""CLOSEYEST"")"),872.0)</f>
        <v>872</v>
      </c>
      <c r="H231" s="17" t="str">
        <f t="shared" si="14"/>
        <v/>
      </c>
      <c r="I231" s="18">
        <f t="shared" si="9"/>
        <v>871.8666667</v>
      </c>
      <c r="J231" s="19">
        <f t="shared" si="10"/>
        <v>881.4333333</v>
      </c>
      <c r="K231" s="19"/>
      <c r="L231" s="19">
        <f t="shared" si="11"/>
        <v>862.4333333</v>
      </c>
      <c r="M231" s="19">
        <f t="shared" si="12"/>
        <v>890.8666667</v>
      </c>
      <c r="N231" s="19">
        <f t="shared" si="13"/>
        <v>852.8666667</v>
      </c>
    </row>
    <row r="232" ht="24.75" customHeight="1">
      <c r="A232" s="21" t="s">
        <v>195</v>
      </c>
      <c r="B232" s="13">
        <f>IFERROR(__xludf.DUMMYFUNCTION("GOOGLEFINANCE(A232,""PRICE"")"),1219.0)</f>
        <v>1219</v>
      </c>
      <c r="C232" s="14">
        <f>IFERROR(__xludf.DUMMYFUNCTION("GOOGLEFINANCE(A232,""PRICEOPEN"")"),1216.0)</f>
        <v>1216</v>
      </c>
      <c r="D232" s="14">
        <f>IFERROR(__xludf.DUMMYFUNCTION("GOOGLEFINANCE(A232,""HIGH"")"),1227.0)</f>
        <v>1227</v>
      </c>
      <c r="E232" s="14">
        <f>IFERROR(__xludf.DUMMYFUNCTION("GOOGLEFINANCE(A232,""LOW"")"),1210.1)</f>
        <v>1210.1</v>
      </c>
      <c r="F232" s="15" t="str">
        <f t="shared" si="8"/>
        <v/>
      </c>
      <c r="G232" s="16">
        <f>IFERROR(__xludf.DUMMYFUNCTION("GOOGLEFINANCE(A232,""CLOSEYEST"")"),1216.0)</f>
        <v>1216</v>
      </c>
      <c r="H232" s="17" t="str">
        <f t="shared" si="14"/>
        <v/>
      </c>
      <c r="I232" s="18">
        <f t="shared" si="9"/>
        <v>1217.7</v>
      </c>
      <c r="J232" s="19">
        <f t="shared" si="10"/>
        <v>1225.3</v>
      </c>
      <c r="K232" s="19"/>
      <c r="L232" s="19">
        <f t="shared" si="11"/>
        <v>1208.4</v>
      </c>
      <c r="M232" s="19">
        <f t="shared" si="12"/>
        <v>1234.6</v>
      </c>
      <c r="N232" s="19">
        <f t="shared" si="13"/>
        <v>1200.8</v>
      </c>
    </row>
    <row r="233" ht="24.75" customHeight="1">
      <c r="A233" s="21" t="s">
        <v>196</v>
      </c>
      <c r="B233" s="13">
        <f>IFERROR(__xludf.DUMMYFUNCTION("GOOGLEFINANCE(A233,""PRICE"")"),2235.35)</f>
        <v>2235.35</v>
      </c>
      <c r="C233" s="14">
        <f>IFERROR(__xludf.DUMMYFUNCTION("GOOGLEFINANCE(A233,""PRICEOPEN"")"),2231.57)</f>
        <v>2231.57</v>
      </c>
      <c r="D233" s="14">
        <f>IFERROR(__xludf.DUMMYFUNCTION("GOOGLEFINANCE(A233,""HIGH"")"),2243.15)</f>
        <v>2243.15</v>
      </c>
      <c r="E233" s="14">
        <f>IFERROR(__xludf.DUMMYFUNCTION("GOOGLEFINANCE(A233,""LOW"")"),2220.1)</f>
        <v>2220.1</v>
      </c>
      <c r="F233" s="15" t="str">
        <f t="shared" si="8"/>
        <v/>
      </c>
      <c r="G233" s="16">
        <f>IFERROR(__xludf.DUMMYFUNCTION("GOOGLEFINANCE(A233,""CLOSEYEST"")"),2231.41)</f>
        <v>2231.41</v>
      </c>
      <c r="H233" s="17" t="str">
        <f t="shared" si="14"/>
        <v/>
      </c>
      <c r="I233" s="18">
        <f t="shared" si="9"/>
        <v>2231.553333</v>
      </c>
      <c r="J233" s="19">
        <f t="shared" si="10"/>
        <v>2243.006667</v>
      </c>
      <c r="K233" s="19"/>
      <c r="L233" s="19">
        <f t="shared" si="11"/>
        <v>2219.956667</v>
      </c>
      <c r="M233" s="19">
        <f t="shared" si="12"/>
        <v>2254.603333</v>
      </c>
      <c r="N233" s="19">
        <f t="shared" si="13"/>
        <v>2208.503333</v>
      </c>
    </row>
    <row r="234" ht="24.75" customHeight="1">
      <c r="A234" s="21" t="s">
        <v>197</v>
      </c>
      <c r="B234" s="13">
        <f>IFERROR(__xludf.DUMMYFUNCTION("GOOGLEFINANCE(A234,""PRICE"")"),380.5)</f>
        <v>380.5</v>
      </c>
      <c r="C234" s="14">
        <f>IFERROR(__xludf.DUMMYFUNCTION("GOOGLEFINANCE(A234,""PRICEOPEN"")"),378.3)</f>
        <v>378.3</v>
      </c>
      <c r="D234" s="14">
        <f>IFERROR(__xludf.DUMMYFUNCTION("GOOGLEFINANCE(A234,""HIGH"")"),381.2)</f>
        <v>381.2</v>
      </c>
      <c r="E234" s="14">
        <f>IFERROR(__xludf.DUMMYFUNCTION("GOOGLEFINANCE(A234,""LOW"")"),375.05)</f>
        <v>375.05</v>
      </c>
      <c r="F234" s="15" t="str">
        <f t="shared" si="8"/>
        <v/>
      </c>
      <c r="G234" s="16">
        <f>IFERROR(__xludf.DUMMYFUNCTION("GOOGLEFINANCE(A234,""CLOSEYEST"")"),377.55)</f>
        <v>377.55</v>
      </c>
      <c r="H234" s="17" t="str">
        <f t="shared" si="14"/>
        <v/>
      </c>
      <c r="I234" s="18">
        <f t="shared" si="9"/>
        <v>377.9333333</v>
      </c>
      <c r="J234" s="19">
        <f t="shared" si="10"/>
        <v>380.8166667</v>
      </c>
      <c r="K234" s="19"/>
      <c r="L234" s="19">
        <f t="shared" si="11"/>
        <v>374.6666667</v>
      </c>
      <c r="M234" s="19">
        <f t="shared" si="12"/>
        <v>384.0833333</v>
      </c>
      <c r="N234" s="19">
        <f t="shared" si="13"/>
        <v>371.7833333</v>
      </c>
    </row>
    <row r="235" ht="24.75" customHeight="1">
      <c r="A235" s="21" t="s">
        <v>198</v>
      </c>
      <c r="B235" s="13">
        <f>IFERROR(__xludf.DUMMYFUNCTION("GOOGLEFINANCE(A235,""PRICE"")"),1311.2)</f>
        <v>1311.2</v>
      </c>
      <c r="C235" s="14">
        <f>IFERROR(__xludf.DUMMYFUNCTION("GOOGLEFINANCE(A235,""PRICEOPEN"")"),1337.0)</f>
        <v>1337</v>
      </c>
      <c r="D235" s="14">
        <f>IFERROR(__xludf.DUMMYFUNCTION("GOOGLEFINANCE(A235,""HIGH"")"),1339.0)</f>
        <v>1339</v>
      </c>
      <c r="E235" s="14">
        <f>IFERROR(__xludf.DUMMYFUNCTION("GOOGLEFINANCE(A235,""LOW"")"),1307.3)</f>
        <v>1307.3</v>
      </c>
      <c r="F235" s="15" t="str">
        <f t="shared" si="8"/>
        <v/>
      </c>
      <c r="G235" s="16">
        <f>IFERROR(__xludf.DUMMYFUNCTION("GOOGLEFINANCE(A235,""CLOSEYEST"")"),1327.3)</f>
        <v>1327.3</v>
      </c>
      <c r="H235" s="17" t="str">
        <f t="shared" si="14"/>
        <v/>
      </c>
      <c r="I235" s="18">
        <f t="shared" si="9"/>
        <v>1324.533333</v>
      </c>
      <c r="J235" s="19">
        <f t="shared" si="10"/>
        <v>1341.766667</v>
      </c>
      <c r="K235" s="19"/>
      <c r="L235" s="19">
        <f t="shared" si="11"/>
        <v>1310.066667</v>
      </c>
      <c r="M235" s="19">
        <f t="shared" si="12"/>
        <v>1356.233333</v>
      </c>
      <c r="N235" s="19">
        <f t="shared" si="13"/>
        <v>1292.833333</v>
      </c>
    </row>
    <row r="236" ht="24.75" customHeight="1">
      <c r="A236" s="21" t="s">
        <v>199</v>
      </c>
      <c r="B236" s="13">
        <f>IFERROR(__xludf.DUMMYFUNCTION("GOOGLEFINANCE(A236,""PRICE"")"),725.0)</f>
        <v>725</v>
      </c>
      <c r="C236" s="14">
        <f>IFERROR(__xludf.DUMMYFUNCTION("GOOGLEFINANCE(A236,""PRICEOPEN"")"),725.05)</f>
        <v>725.05</v>
      </c>
      <c r="D236" s="14">
        <f>IFERROR(__xludf.DUMMYFUNCTION("GOOGLEFINANCE(A236,""HIGH"")"),727.3)</f>
        <v>727.3</v>
      </c>
      <c r="E236" s="14">
        <f>IFERROR(__xludf.DUMMYFUNCTION("GOOGLEFINANCE(A236,""LOW"")"),720.2)</f>
        <v>720.2</v>
      </c>
      <c r="F236" s="15" t="str">
        <f t="shared" si="8"/>
        <v/>
      </c>
      <c r="G236" s="16">
        <f>IFERROR(__xludf.DUMMYFUNCTION("GOOGLEFINANCE(A236,""CLOSEYEST"")"),723.25)</f>
        <v>723.25</v>
      </c>
      <c r="H236" s="17" t="str">
        <f t="shared" si="14"/>
        <v/>
      </c>
      <c r="I236" s="18">
        <f t="shared" si="9"/>
        <v>723.5833333</v>
      </c>
      <c r="J236" s="19">
        <f t="shared" si="10"/>
        <v>726.9666667</v>
      </c>
      <c r="K236" s="19"/>
      <c r="L236" s="19">
        <f t="shared" si="11"/>
        <v>719.8666667</v>
      </c>
      <c r="M236" s="19">
        <f t="shared" si="12"/>
        <v>730.6833333</v>
      </c>
      <c r="N236" s="19">
        <f t="shared" si="13"/>
        <v>716.4833333</v>
      </c>
    </row>
    <row r="237" ht="24.75" customHeight="1">
      <c r="A237" s="21" t="s">
        <v>200</v>
      </c>
      <c r="B237" s="13" t="str">
        <f>IFERROR(__xludf.DUMMYFUNCTION("GOOGLEFINANCE(A237,""PRICE"")"),"#N/A")</f>
        <v>#N/A</v>
      </c>
      <c r="C237" s="14" t="str">
        <f>IFERROR(__xludf.DUMMYFUNCTION("GOOGLEFINANCE(A237,""PRICEOPEN"")"),"#N/A")</f>
        <v>#N/A</v>
      </c>
      <c r="D237" s="14" t="str">
        <f>IFERROR(__xludf.DUMMYFUNCTION("GOOGLEFINANCE(A237,""HIGH"")"),"#N/A")</f>
        <v>#N/A</v>
      </c>
      <c r="E237" s="14" t="str">
        <f>IFERROR(__xludf.DUMMYFUNCTION("GOOGLEFINANCE(A237,""LOW"")"),"#N/A")</f>
        <v>#N/A</v>
      </c>
      <c r="F237" s="15" t="str">
        <f t="shared" si="8"/>
        <v>#N/A</v>
      </c>
      <c r="G237" s="16" t="str">
        <f>IFERROR(__xludf.DUMMYFUNCTION("GOOGLEFINANCE(A237,""CLOSEYEST"")"),"#N/A")</f>
        <v>#N/A</v>
      </c>
      <c r="H237" s="17" t="str">
        <f t="shared" si="14"/>
        <v>#N/A</v>
      </c>
      <c r="I237" s="18" t="str">
        <f t="shared" si="9"/>
        <v>#N/A</v>
      </c>
      <c r="J237" s="19" t="str">
        <f t="shared" si="10"/>
        <v>#N/A</v>
      </c>
      <c r="K237" s="19"/>
      <c r="L237" s="19" t="str">
        <f t="shared" si="11"/>
        <v>#N/A</v>
      </c>
      <c r="M237" s="19" t="str">
        <f t="shared" si="12"/>
        <v>#N/A</v>
      </c>
      <c r="N237" s="19" t="str">
        <f t="shared" si="13"/>
        <v>#N/A</v>
      </c>
    </row>
    <row r="238" ht="24.75" customHeight="1">
      <c r="A238" s="21" t="s">
        <v>201</v>
      </c>
      <c r="B238" s="13">
        <f>IFERROR(__xludf.DUMMYFUNCTION("GOOGLEFINANCE(A238,""PRICE"")"),3929.0)</f>
        <v>3929</v>
      </c>
      <c r="C238" s="14">
        <f>IFERROR(__xludf.DUMMYFUNCTION("GOOGLEFINANCE(A238,""PRICEOPEN"")"),3849.4)</f>
        <v>3849.4</v>
      </c>
      <c r="D238" s="14">
        <f>IFERROR(__xludf.DUMMYFUNCTION("GOOGLEFINANCE(A238,""HIGH"")"),3950.7)</f>
        <v>3950.7</v>
      </c>
      <c r="E238" s="14">
        <f>IFERROR(__xludf.DUMMYFUNCTION("GOOGLEFINANCE(A238,""LOW"")"),3833.0)</f>
        <v>3833</v>
      </c>
      <c r="F238" s="15" t="str">
        <f t="shared" si="8"/>
        <v/>
      </c>
      <c r="G238" s="16">
        <f>IFERROR(__xludf.DUMMYFUNCTION("GOOGLEFINANCE(A238,""CLOSEYEST"")"),3849.0)</f>
        <v>3849</v>
      </c>
      <c r="H238" s="17" t="str">
        <f t="shared" si="14"/>
        <v/>
      </c>
      <c r="I238" s="18">
        <f t="shared" si="9"/>
        <v>3877.566667</v>
      </c>
      <c r="J238" s="19">
        <f t="shared" si="10"/>
        <v>3922.133333</v>
      </c>
      <c r="K238" s="19"/>
      <c r="L238" s="19">
        <f t="shared" si="11"/>
        <v>3804.433333</v>
      </c>
      <c r="M238" s="19">
        <f t="shared" si="12"/>
        <v>3995.266667</v>
      </c>
      <c r="N238" s="19">
        <f t="shared" si="13"/>
        <v>3759.866667</v>
      </c>
    </row>
    <row r="239" ht="24.75" customHeight="1">
      <c r="A239" s="21" t="s">
        <v>202</v>
      </c>
      <c r="B239" s="13">
        <f>IFERROR(__xludf.DUMMYFUNCTION("GOOGLEFINANCE(A239,""PRICE"")"),6325.0)</f>
        <v>6325</v>
      </c>
      <c r="C239" s="14">
        <f>IFERROR(__xludf.DUMMYFUNCTION("GOOGLEFINANCE(A239,""PRICEOPEN"")"),6300.0)</f>
        <v>6300</v>
      </c>
      <c r="D239" s="14">
        <f>IFERROR(__xludf.DUMMYFUNCTION("GOOGLEFINANCE(A239,""HIGH"")"),6391.0)</f>
        <v>6391</v>
      </c>
      <c r="E239" s="14">
        <f>IFERROR(__xludf.DUMMYFUNCTION("GOOGLEFINANCE(A239,""LOW"")"),6255.0)</f>
        <v>6255</v>
      </c>
      <c r="F239" s="15" t="str">
        <f t="shared" si="8"/>
        <v/>
      </c>
      <c r="G239" s="16">
        <f>IFERROR(__xludf.DUMMYFUNCTION("GOOGLEFINANCE(A239,""CLOSEYEST"")"),6305.0)</f>
        <v>6305</v>
      </c>
      <c r="H239" s="17" t="str">
        <f t="shared" si="14"/>
        <v/>
      </c>
      <c r="I239" s="18">
        <f t="shared" si="9"/>
        <v>6317</v>
      </c>
      <c r="J239" s="19">
        <f t="shared" si="10"/>
        <v>6379</v>
      </c>
      <c r="K239" s="19"/>
      <c r="L239" s="19">
        <f t="shared" si="11"/>
        <v>6243</v>
      </c>
      <c r="M239" s="19">
        <f t="shared" si="12"/>
        <v>6453</v>
      </c>
      <c r="N239" s="19">
        <f t="shared" si="13"/>
        <v>6181</v>
      </c>
    </row>
    <row r="240" ht="24.75" customHeight="1">
      <c r="A240" s="21" t="s">
        <v>203</v>
      </c>
      <c r="B240" s="13">
        <f>IFERROR(__xludf.DUMMYFUNCTION("GOOGLEFINANCE(A240,""PRICE"")"),919.0)</f>
        <v>919</v>
      </c>
      <c r="C240" s="14">
        <f>IFERROR(__xludf.DUMMYFUNCTION("GOOGLEFINANCE(A240,""PRICEOPEN"")"),927.7)</f>
        <v>927.7</v>
      </c>
      <c r="D240" s="14">
        <f>IFERROR(__xludf.DUMMYFUNCTION("GOOGLEFINANCE(A240,""HIGH"")"),930.0)</f>
        <v>930</v>
      </c>
      <c r="E240" s="14">
        <f>IFERROR(__xludf.DUMMYFUNCTION("GOOGLEFINANCE(A240,""LOW"")"),912.8)</f>
        <v>912.8</v>
      </c>
      <c r="F240" s="15" t="str">
        <f t="shared" si="8"/>
        <v/>
      </c>
      <c r="G240" s="16">
        <f>IFERROR(__xludf.DUMMYFUNCTION("GOOGLEFINANCE(A240,""CLOSEYEST"")"),912.95)</f>
        <v>912.95</v>
      </c>
      <c r="H240" s="17" t="str">
        <f t="shared" si="14"/>
        <v>GAP UP</v>
      </c>
      <c r="I240" s="18">
        <f t="shared" si="9"/>
        <v>918.5833333</v>
      </c>
      <c r="J240" s="19">
        <f t="shared" si="10"/>
        <v>924.3666667</v>
      </c>
      <c r="K240" s="19"/>
      <c r="L240" s="19">
        <f t="shared" si="11"/>
        <v>907.1666667</v>
      </c>
      <c r="M240" s="19">
        <f t="shared" si="12"/>
        <v>935.7833333</v>
      </c>
      <c r="N240" s="19">
        <f t="shared" si="13"/>
        <v>901.3833333</v>
      </c>
    </row>
    <row r="241" ht="24.75" customHeight="1">
      <c r="A241" s="21" t="s">
        <v>204</v>
      </c>
      <c r="B241" s="13">
        <f>IFERROR(__xludf.DUMMYFUNCTION("GOOGLEFINANCE(A241,""PRICE"")"),4419.0)</f>
        <v>4419</v>
      </c>
      <c r="C241" s="14">
        <f>IFERROR(__xludf.DUMMYFUNCTION("GOOGLEFINANCE(A241,""PRICEOPEN"")"),4424.1)</f>
        <v>4424.1</v>
      </c>
      <c r="D241" s="14">
        <f>IFERROR(__xludf.DUMMYFUNCTION("GOOGLEFINANCE(A241,""HIGH"")"),4469.9)</f>
        <v>4469.9</v>
      </c>
      <c r="E241" s="14">
        <f>IFERROR(__xludf.DUMMYFUNCTION("GOOGLEFINANCE(A241,""LOW"")"),4360.7)</f>
        <v>4360.7</v>
      </c>
      <c r="F241" s="15" t="str">
        <f t="shared" si="8"/>
        <v/>
      </c>
      <c r="G241" s="16">
        <f>IFERROR(__xludf.DUMMYFUNCTION("GOOGLEFINANCE(A241,""CLOSEYEST"")"),4385.2)</f>
        <v>4385.2</v>
      </c>
      <c r="H241" s="17" t="str">
        <f t="shared" si="14"/>
        <v/>
      </c>
      <c r="I241" s="18">
        <f t="shared" si="9"/>
        <v>4405.266667</v>
      </c>
      <c r="J241" s="19">
        <f t="shared" si="10"/>
        <v>4449.833333</v>
      </c>
      <c r="K241" s="19"/>
      <c r="L241" s="19">
        <f t="shared" si="11"/>
        <v>4340.633333</v>
      </c>
      <c r="M241" s="19">
        <f t="shared" si="12"/>
        <v>4514.466667</v>
      </c>
      <c r="N241" s="19">
        <f t="shared" si="13"/>
        <v>4296.066667</v>
      </c>
    </row>
    <row r="242" ht="24.75" customHeight="1">
      <c r="A242" s="21" t="s">
        <v>205</v>
      </c>
      <c r="B242" s="13">
        <f>IFERROR(__xludf.DUMMYFUNCTION("GOOGLEFINANCE(A242,""PRICE"")"),1071.6)</f>
        <v>1071.6</v>
      </c>
      <c r="C242" s="14">
        <f>IFERROR(__xludf.DUMMYFUNCTION("GOOGLEFINANCE(A242,""PRICEOPEN"")"),1053.1)</f>
        <v>1053.1</v>
      </c>
      <c r="D242" s="14">
        <f>IFERROR(__xludf.DUMMYFUNCTION("GOOGLEFINANCE(A242,""HIGH"")"),1075.8)</f>
        <v>1075.8</v>
      </c>
      <c r="E242" s="14">
        <f>IFERROR(__xludf.DUMMYFUNCTION("GOOGLEFINANCE(A242,""LOW"")"),1044.8)</f>
        <v>1044.8</v>
      </c>
      <c r="F242" s="15" t="str">
        <f t="shared" si="8"/>
        <v/>
      </c>
      <c r="G242" s="16">
        <f>IFERROR(__xludf.DUMMYFUNCTION("GOOGLEFINANCE(A242,""CLOSEYEST"")"),1053.2)</f>
        <v>1053.2</v>
      </c>
      <c r="H242" s="17" t="str">
        <f t="shared" si="14"/>
        <v/>
      </c>
      <c r="I242" s="18">
        <f t="shared" si="9"/>
        <v>1057.933333</v>
      </c>
      <c r="J242" s="19">
        <f t="shared" si="10"/>
        <v>1071.066667</v>
      </c>
      <c r="K242" s="19"/>
      <c r="L242" s="19">
        <f t="shared" si="11"/>
        <v>1040.066667</v>
      </c>
      <c r="M242" s="19">
        <f t="shared" si="12"/>
        <v>1088.933333</v>
      </c>
      <c r="N242" s="19">
        <f t="shared" si="13"/>
        <v>1026.933333</v>
      </c>
    </row>
    <row r="243" ht="24.75" customHeight="1">
      <c r="A243" s="21" t="s">
        <v>206</v>
      </c>
      <c r="B243" s="13" t="str">
        <f>IFERROR(__xludf.DUMMYFUNCTION("GOOGLEFINANCE(A243,""PRICE"")"),"#N/A")</f>
        <v>#N/A</v>
      </c>
      <c r="C243" s="14" t="str">
        <f>IFERROR(__xludf.DUMMYFUNCTION("GOOGLEFINANCE(A243,""PRICEOPEN"")"),"#N/A")</f>
        <v>#N/A</v>
      </c>
      <c r="D243" s="14" t="str">
        <f>IFERROR(__xludf.DUMMYFUNCTION("GOOGLEFINANCE(A243,""HIGH"")"),"#N/A")</f>
        <v>#N/A</v>
      </c>
      <c r="E243" s="14" t="str">
        <f>IFERROR(__xludf.DUMMYFUNCTION("GOOGLEFINANCE(A243,""LOW"")"),"#N/A")</f>
        <v>#N/A</v>
      </c>
      <c r="F243" s="15" t="str">
        <f t="shared" si="8"/>
        <v>#N/A</v>
      </c>
      <c r="G243" s="16" t="str">
        <f>IFERROR(__xludf.DUMMYFUNCTION("GOOGLEFINANCE(A243,""CLOSEYEST"")"),"#N/A")</f>
        <v>#N/A</v>
      </c>
      <c r="H243" s="17" t="str">
        <f t="shared" si="14"/>
        <v>#N/A</v>
      </c>
      <c r="I243" s="18" t="str">
        <f t="shared" si="9"/>
        <v>#N/A</v>
      </c>
      <c r="J243" s="19" t="str">
        <f t="shared" si="10"/>
        <v>#N/A</v>
      </c>
      <c r="K243" s="19"/>
      <c r="L243" s="19" t="str">
        <f t="shared" si="11"/>
        <v>#N/A</v>
      </c>
      <c r="M243" s="19" t="str">
        <f t="shared" si="12"/>
        <v>#N/A</v>
      </c>
      <c r="N243" s="19" t="str">
        <f t="shared" si="13"/>
        <v>#N/A</v>
      </c>
    </row>
    <row r="244" ht="24.75" customHeight="1">
      <c r="A244" s="21" t="s">
        <v>207</v>
      </c>
      <c r="B244" s="13">
        <f>IFERROR(__xludf.DUMMYFUNCTION("GOOGLEFINANCE(A244,""PRICE"")"),748.35)</f>
        <v>748.35</v>
      </c>
      <c r="C244" s="14">
        <f>IFERROR(__xludf.DUMMYFUNCTION("GOOGLEFINANCE(A244,""PRICEOPEN"")"),745.0)</f>
        <v>745</v>
      </c>
      <c r="D244" s="14">
        <f>IFERROR(__xludf.DUMMYFUNCTION("GOOGLEFINANCE(A244,""HIGH"")"),751.7)</f>
        <v>751.7</v>
      </c>
      <c r="E244" s="14">
        <f>IFERROR(__xludf.DUMMYFUNCTION("GOOGLEFINANCE(A244,""LOW"")"),737.3)</f>
        <v>737.3</v>
      </c>
      <c r="F244" s="15" t="str">
        <f t="shared" si="8"/>
        <v/>
      </c>
      <c r="G244" s="16">
        <f>IFERROR(__xludf.DUMMYFUNCTION("GOOGLEFINANCE(A244,""CLOSEYEST"")"),739.8)</f>
        <v>739.8</v>
      </c>
      <c r="H244" s="17" t="str">
        <f t="shared" si="14"/>
        <v/>
      </c>
      <c r="I244" s="18">
        <f t="shared" si="9"/>
        <v>742.9333333</v>
      </c>
      <c r="J244" s="19">
        <f t="shared" si="10"/>
        <v>748.5666667</v>
      </c>
      <c r="K244" s="19"/>
      <c r="L244" s="19">
        <f t="shared" si="11"/>
        <v>734.1666667</v>
      </c>
      <c r="M244" s="19">
        <f t="shared" si="12"/>
        <v>757.3333333</v>
      </c>
      <c r="N244" s="19">
        <f t="shared" si="13"/>
        <v>728.5333333</v>
      </c>
    </row>
    <row r="245" ht="24.75" customHeight="1">
      <c r="A245" s="21" t="s">
        <v>208</v>
      </c>
      <c r="B245" s="13">
        <f>IFERROR(__xludf.DUMMYFUNCTION("GOOGLEFINANCE(A245,""PRICE"")"),100.83)</f>
        <v>100.83</v>
      </c>
      <c r="C245" s="14">
        <f>IFERROR(__xludf.DUMMYFUNCTION("GOOGLEFINANCE(A245,""PRICEOPEN"")"),100.82)</f>
        <v>100.82</v>
      </c>
      <c r="D245" s="14">
        <f>IFERROR(__xludf.DUMMYFUNCTION("GOOGLEFINANCE(A245,""HIGH"")"),100.83)</f>
        <v>100.83</v>
      </c>
      <c r="E245" s="14">
        <f>IFERROR(__xludf.DUMMYFUNCTION("GOOGLEFINANCE(A245,""LOW"")"),100.79)</f>
        <v>100.79</v>
      </c>
      <c r="F245" s="15" t="str">
        <f t="shared" si="8"/>
        <v/>
      </c>
      <c r="G245" s="16">
        <f>IFERROR(__xludf.DUMMYFUNCTION("GOOGLEFINANCE(A245,""CLOSEYEST"")"),100.83)</f>
        <v>100.83</v>
      </c>
      <c r="H245" s="17" t="str">
        <f t="shared" si="14"/>
        <v/>
      </c>
      <c r="I245" s="18">
        <f t="shared" si="9"/>
        <v>100.8166667</v>
      </c>
      <c r="J245" s="19">
        <f t="shared" si="10"/>
        <v>100.8433333</v>
      </c>
      <c r="K245" s="19"/>
      <c r="L245" s="19">
        <f t="shared" si="11"/>
        <v>100.8033333</v>
      </c>
      <c r="M245" s="19">
        <f t="shared" si="12"/>
        <v>100.8566667</v>
      </c>
      <c r="N245" s="19">
        <f t="shared" si="13"/>
        <v>100.7766667</v>
      </c>
    </row>
    <row r="246" ht="24.75" customHeight="1">
      <c r="A246" s="21" t="s">
        <v>209</v>
      </c>
      <c r="B246" s="13">
        <f>IFERROR(__xludf.DUMMYFUNCTION("GOOGLEFINANCE(A246,""PRICE"")"),724.0)</f>
        <v>724</v>
      </c>
      <c r="C246" s="14">
        <f>IFERROR(__xludf.DUMMYFUNCTION("GOOGLEFINANCE(A246,""PRICEOPEN"")"),688.0)</f>
        <v>688</v>
      </c>
      <c r="D246" s="14">
        <f>IFERROR(__xludf.DUMMYFUNCTION("GOOGLEFINANCE(A246,""HIGH"")"),729.0)</f>
        <v>729</v>
      </c>
      <c r="E246" s="14">
        <f>IFERROR(__xludf.DUMMYFUNCTION("GOOGLEFINANCE(A246,""LOW"")"),683.65)</f>
        <v>683.65</v>
      </c>
      <c r="F246" s="15" t="str">
        <f t="shared" si="8"/>
        <v/>
      </c>
      <c r="G246" s="16">
        <f>IFERROR(__xludf.DUMMYFUNCTION("GOOGLEFINANCE(A246,""CLOSEYEST"")"),690.4)</f>
        <v>690.4</v>
      </c>
      <c r="H246" s="17" t="str">
        <f t="shared" si="14"/>
        <v/>
      </c>
      <c r="I246" s="18">
        <f t="shared" si="9"/>
        <v>701.0166667</v>
      </c>
      <c r="J246" s="19">
        <f t="shared" si="10"/>
        <v>718.3833333</v>
      </c>
      <c r="K246" s="19"/>
      <c r="L246" s="19">
        <f t="shared" si="11"/>
        <v>673.0333333</v>
      </c>
      <c r="M246" s="19">
        <f t="shared" si="12"/>
        <v>746.3666667</v>
      </c>
      <c r="N246" s="19">
        <f t="shared" si="13"/>
        <v>655.6666667</v>
      </c>
    </row>
    <row r="247" ht="24.75" customHeight="1">
      <c r="A247" s="21" t="s">
        <v>210</v>
      </c>
      <c r="B247" s="13">
        <f>IFERROR(__xludf.DUMMYFUNCTION("GOOGLEFINANCE(A247,""PRICE"")"),1211.0)</f>
        <v>1211</v>
      </c>
      <c r="C247" s="14">
        <f>IFERROR(__xludf.DUMMYFUNCTION("GOOGLEFINANCE(A247,""PRICEOPEN"")"),1188.3)</f>
        <v>1188.3</v>
      </c>
      <c r="D247" s="14">
        <f>IFERROR(__xludf.DUMMYFUNCTION("GOOGLEFINANCE(A247,""HIGH"")"),1235.2)</f>
        <v>1235.2</v>
      </c>
      <c r="E247" s="14">
        <f>IFERROR(__xludf.DUMMYFUNCTION("GOOGLEFINANCE(A247,""LOW"")"),1188.3)</f>
        <v>1188.3</v>
      </c>
      <c r="F247" s="15" t="str">
        <f t="shared" si="8"/>
        <v>BUY</v>
      </c>
      <c r="G247" s="16">
        <f>IFERROR(__xludf.DUMMYFUNCTION("GOOGLEFINANCE(A247,""CLOSEYEST"")"),1188.1)</f>
        <v>1188.1</v>
      </c>
      <c r="H247" s="17" t="str">
        <f t="shared" si="14"/>
        <v/>
      </c>
      <c r="I247" s="18">
        <f t="shared" si="9"/>
        <v>1203.866667</v>
      </c>
      <c r="J247" s="19">
        <f t="shared" si="10"/>
        <v>1219.433333</v>
      </c>
      <c r="K247" s="19"/>
      <c r="L247" s="19">
        <f t="shared" si="11"/>
        <v>1172.533333</v>
      </c>
      <c r="M247" s="19">
        <f t="shared" si="12"/>
        <v>1250.766667</v>
      </c>
      <c r="N247" s="19">
        <f t="shared" si="13"/>
        <v>1156.966667</v>
      </c>
    </row>
    <row r="248" ht="24.75" customHeight="1">
      <c r="A248" s="21" t="s">
        <v>211</v>
      </c>
      <c r="B248" s="13">
        <f>IFERROR(__xludf.DUMMYFUNCTION("GOOGLEFINANCE(A248,""PRICE"")"),633.45)</f>
        <v>633.45</v>
      </c>
      <c r="C248" s="14">
        <f>IFERROR(__xludf.DUMMYFUNCTION("GOOGLEFINANCE(A248,""PRICEOPEN"")"),631.0)</f>
        <v>631</v>
      </c>
      <c r="D248" s="14">
        <f>IFERROR(__xludf.DUMMYFUNCTION("GOOGLEFINANCE(A248,""HIGH"")"),640.6)</f>
        <v>640.6</v>
      </c>
      <c r="E248" s="14">
        <f>IFERROR(__xludf.DUMMYFUNCTION("GOOGLEFINANCE(A248,""LOW"")"),627.5)</f>
        <v>627.5</v>
      </c>
      <c r="F248" s="15" t="str">
        <f t="shared" si="8"/>
        <v/>
      </c>
      <c r="G248" s="16">
        <f>IFERROR(__xludf.DUMMYFUNCTION("GOOGLEFINANCE(A248,""CLOSEYEST"")"),631.6)</f>
        <v>631.6</v>
      </c>
      <c r="H248" s="17" t="str">
        <f t="shared" si="14"/>
        <v/>
      </c>
      <c r="I248" s="18">
        <f t="shared" si="9"/>
        <v>633.2333333</v>
      </c>
      <c r="J248" s="19">
        <f t="shared" si="10"/>
        <v>638.9666667</v>
      </c>
      <c r="K248" s="19"/>
      <c r="L248" s="19">
        <f t="shared" si="11"/>
        <v>625.8666667</v>
      </c>
      <c r="M248" s="19">
        <f t="shared" si="12"/>
        <v>646.3333333</v>
      </c>
      <c r="N248" s="19">
        <f t="shared" si="13"/>
        <v>620.1333333</v>
      </c>
    </row>
    <row r="249" ht="24.75" customHeight="1">
      <c r="A249" s="21" t="s">
        <v>212</v>
      </c>
      <c r="B249" s="13">
        <f>IFERROR(__xludf.DUMMYFUNCTION("GOOGLEFINANCE(A249,""PRICE"")"),3580.0)</f>
        <v>3580</v>
      </c>
      <c r="C249" s="14">
        <f>IFERROR(__xludf.DUMMYFUNCTION("GOOGLEFINANCE(A249,""PRICEOPEN"")"),3670.0)</f>
        <v>3670</v>
      </c>
      <c r="D249" s="14">
        <f>IFERROR(__xludf.DUMMYFUNCTION("GOOGLEFINANCE(A249,""HIGH"")"),3671.9)</f>
        <v>3671.9</v>
      </c>
      <c r="E249" s="14">
        <f>IFERROR(__xludf.DUMMYFUNCTION("GOOGLEFINANCE(A249,""LOW"")"),3557.4)</f>
        <v>3557.4</v>
      </c>
      <c r="F249" s="15" t="str">
        <f t="shared" si="8"/>
        <v/>
      </c>
      <c r="G249" s="16">
        <f>IFERROR(__xludf.DUMMYFUNCTION("GOOGLEFINANCE(A249,""CLOSEYEST"")"),3637.7)</f>
        <v>3637.7</v>
      </c>
      <c r="H249" s="17" t="str">
        <f t="shared" si="14"/>
        <v/>
      </c>
      <c r="I249" s="18">
        <f t="shared" si="9"/>
        <v>3622.333333</v>
      </c>
      <c r="J249" s="19">
        <f t="shared" si="10"/>
        <v>3687.266667</v>
      </c>
      <c r="K249" s="19"/>
      <c r="L249" s="19">
        <f t="shared" si="11"/>
        <v>3572.766667</v>
      </c>
      <c r="M249" s="19">
        <f t="shared" si="12"/>
        <v>3736.833333</v>
      </c>
      <c r="N249" s="19">
        <f t="shared" si="13"/>
        <v>3507.833333</v>
      </c>
    </row>
    <row r="250" ht="24.75" customHeight="1">
      <c r="A250" s="21" t="s">
        <v>213</v>
      </c>
      <c r="B250" s="13">
        <f>IFERROR(__xludf.DUMMYFUNCTION("GOOGLEFINANCE(A250,""PRICE"")"),926.1)</f>
        <v>926.1</v>
      </c>
      <c r="C250" s="14">
        <f>IFERROR(__xludf.DUMMYFUNCTION("GOOGLEFINANCE(A250,""PRICEOPEN"")"),921.5)</f>
        <v>921.5</v>
      </c>
      <c r="D250" s="14">
        <f>IFERROR(__xludf.DUMMYFUNCTION("GOOGLEFINANCE(A250,""HIGH"")"),928.35)</f>
        <v>928.35</v>
      </c>
      <c r="E250" s="14">
        <f>IFERROR(__xludf.DUMMYFUNCTION("GOOGLEFINANCE(A250,""LOW"")"),910.3)</f>
        <v>910.3</v>
      </c>
      <c r="F250" s="15" t="str">
        <f t="shared" si="8"/>
        <v/>
      </c>
      <c r="G250" s="16">
        <f>IFERROR(__xludf.DUMMYFUNCTION("GOOGLEFINANCE(A250,""CLOSEYEST"")"),917.55)</f>
        <v>917.55</v>
      </c>
      <c r="H250" s="17" t="str">
        <f t="shared" si="14"/>
        <v/>
      </c>
      <c r="I250" s="18">
        <f t="shared" si="9"/>
        <v>918.7333333</v>
      </c>
      <c r="J250" s="19">
        <f t="shared" si="10"/>
        <v>927.1666667</v>
      </c>
      <c r="K250" s="19"/>
      <c r="L250" s="19">
        <f t="shared" si="11"/>
        <v>909.1166667</v>
      </c>
      <c r="M250" s="19">
        <f t="shared" si="12"/>
        <v>936.7833333</v>
      </c>
      <c r="N250" s="19">
        <f t="shared" si="13"/>
        <v>900.6833333</v>
      </c>
    </row>
    <row r="251" ht="24.75" customHeight="1">
      <c r="A251" s="21" t="s">
        <v>214</v>
      </c>
      <c r="B251" s="13">
        <f>IFERROR(__xludf.DUMMYFUNCTION("GOOGLEFINANCE(A251,""PRICE"")"),367.2)</f>
        <v>367.2</v>
      </c>
      <c r="C251" s="14">
        <f>IFERROR(__xludf.DUMMYFUNCTION("GOOGLEFINANCE(A251,""PRICEOPEN"")"),367.5)</f>
        <v>367.5</v>
      </c>
      <c r="D251" s="14">
        <f>IFERROR(__xludf.DUMMYFUNCTION("GOOGLEFINANCE(A251,""HIGH"")"),368.55)</f>
        <v>368.55</v>
      </c>
      <c r="E251" s="14">
        <f>IFERROR(__xludf.DUMMYFUNCTION("GOOGLEFINANCE(A251,""LOW"")"),363.6)</f>
        <v>363.6</v>
      </c>
      <c r="F251" s="15" t="str">
        <f t="shared" si="8"/>
        <v/>
      </c>
      <c r="G251" s="16">
        <f>IFERROR(__xludf.DUMMYFUNCTION("GOOGLEFINANCE(A251,""CLOSEYEST"")"),366.3)</f>
        <v>366.3</v>
      </c>
      <c r="H251" s="17" t="str">
        <f t="shared" si="14"/>
        <v/>
      </c>
      <c r="I251" s="18">
        <f t="shared" si="9"/>
        <v>366.15</v>
      </c>
      <c r="J251" s="19">
        <f t="shared" si="10"/>
        <v>368.7</v>
      </c>
      <c r="K251" s="19"/>
      <c r="L251" s="19">
        <f t="shared" si="11"/>
        <v>363.75</v>
      </c>
      <c r="M251" s="19">
        <f t="shared" si="12"/>
        <v>371.1</v>
      </c>
      <c r="N251" s="19">
        <f t="shared" si="13"/>
        <v>361.2</v>
      </c>
    </row>
    <row r="252" ht="24.75" customHeight="1">
      <c r="A252" s="21" t="s">
        <v>215</v>
      </c>
      <c r="B252" s="13">
        <f>IFERROR(__xludf.DUMMYFUNCTION("GOOGLEFINANCE(A252,""PRICE"")"),185.26)</f>
        <v>185.26</v>
      </c>
      <c r="C252" s="14">
        <f>IFERROR(__xludf.DUMMYFUNCTION("GOOGLEFINANCE(A252,""PRICEOPEN"")"),184.8)</f>
        <v>184.8</v>
      </c>
      <c r="D252" s="14">
        <f>IFERROR(__xludf.DUMMYFUNCTION("GOOGLEFINANCE(A252,""HIGH"")"),185.9)</f>
        <v>185.9</v>
      </c>
      <c r="E252" s="14">
        <f>IFERROR(__xludf.DUMMYFUNCTION("GOOGLEFINANCE(A252,""LOW"")"),181.85)</f>
        <v>181.85</v>
      </c>
      <c r="F252" s="15" t="str">
        <f t="shared" si="8"/>
        <v/>
      </c>
      <c r="G252" s="16">
        <f>IFERROR(__xludf.DUMMYFUNCTION("GOOGLEFINANCE(A252,""CLOSEYEST"")"),183.48)</f>
        <v>183.48</v>
      </c>
      <c r="H252" s="17" t="str">
        <f t="shared" si="14"/>
        <v/>
      </c>
      <c r="I252" s="18">
        <f t="shared" si="9"/>
        <v>183.7433333</v>
      </c>
      <c r="J252" s="19">
        <f t="shared" si="10"/>
        <v>185.6366667</v>
      </c>
      <c r="K252" s="19"/>
      <c r="L252" s="19">
        <f t="shared" si="11"/>
        <v>181.5866667</v>
      </c>
      <c r="M252" s="19">
        <f t="shared" si="12"/>
        <v>187.7933333</v>
      </c>
      <c r="N252" s="19">
        <f t="shared" si="13"/>
        <v>179.6933333</v>
      </c>
    </row>
    <row r="253" ht="24.75" customHeight="1">
      <c r="A253" s="21" t="s">
        <v>216</v>
      </c>
      <c r="B253" s="13">
        <f>IFERROR(__xludf.DUMMYFUNCTION("GOOGLEFINANCE(A253,""PRICE"")"),989.4)</f>
        <v>989.4</v>
      </c>
      <c r="C253" s="14">
        <f>IFERROR(__xludf.DUMMYFUNCTION("GOOGLEFINANCE(A253,""PRICEOPEN"")"),993.0)</f>
        <v>993</v>
      </c>
      <c r="D253" s="14">
        <f>IFERROR(__xludf.DUMMYFUNCTION("GOOGLEFINANCE(A253,""HIGH"")"),1004.8)</f>
        <v>1004.8</v>
      </c>
      <c r="E253" s="14">
        <f>IFERROR(__xludf.DUMMYFUNCTION("GOOGLEFINANCE(A253,""LOW"")"),977.35)</f>
        <v>977.35</v>
      </c>
      <c r="F253" s="15" t="str">
        <f t="shared" si="8"/>
        <v/>
      </c>
      <c r="G253" s="16">
        <f>IFERROR(__xludf.DUMMYFUNCTION("GOOGLEFINANCE(A253,""CLOSEYEST"")"),992.7)</f>
        <v>992.7</v>
      </c>
      <c r="H253" s="17" t="str">
        <f t="shared" si="14"/>
        <v/>
      </c>
      <c r="I253" s="18">
        <f t="shared" si="9"/>
        <v>991.6166667</v>
      </c>
      <c r="J253" s="19">
        <f t="shared" si="10"/>
        <v>1005.883333</v>
      </c>
      <c r="K253" s="19"/>
      <c r="L253" s="19">
        <f t="shared" si="11"/>
        <v>978.4333333</v>
      </c>
      <c r="M253" s="19">
        <f t="shared" si="12"/>
        <v>1019.066667</v>
      </c>
      <c r="N253" s="19">
        <f t="shared" si="13"/>
        <v>964.1666667</v>
      </c>
    </row>
    <row r="254" ht="24.75" customHeight="1">
      <c r="A254" s="21" t="s">
        <v>217</v>
      </c>
      <c r="B254" s="13">
        <f>IFERROR(__xludf.DUMMYFUNCTION("GOOGLEFINANCE(A254,""PRICE"")"),4.9)</f>
        <v>4.9</v>
      </c>
      <c r="C254" s="14" t="str">
        <f>IFERROR(__xludf.DUMMYFUNCTION("GOOGLEFINANCE(A254,""PRICEOPEN"")"),"#N/A")</f>
        <v>#N/A</v>
      </c>
      <c r="D254" s="14" t="str">
        <f>IFERROR(__xludf.DUMMYFUNCTION("GOOGLEFINANCE(A254,""HIGH"")"),"#N/A")</f>
        <v>#N/A</v>
      </c>
      <c r="E254" s="14" t="str">
        <f>IFERROR(__xludf.DUMMYFUNCTION("GOOGLEFINANCE(A254,""LOW"")"),"#N/A")</f>
        <v>#N/A</v>
      </c>
      <c r="F254" s="15" t="str">
        <f t="shared" si="8"/>
        <v>#N/A</v>
      </c>
      <c r="G254" s="16">
        <f>IFERROR(__xludf.DUMMYFUNCTION("GOOGLEFINANCE(A254,""CLOSEYEST"")"),4.9)</f>
        <v>4.9</v>
      </c>
      <c r="H254" s="17" t="str">
        <f t="shared" si="14"/>
        <v>#N/A</v>
      </c>
      <c r="I254" s="18" t="str">
        <f t="shared" si="9"/>
        <v>#N/A</v>
      </c>
      <c r="J254" s="19" t="str">
        <f t="shared" si="10"/>
        <v>#N/A</v>
      </c>
      <c r="K254" s="19"/>
      <c r="L254" s="19" t="str">
        <f t="shared" si="11"/>
        <v>#N/A</v>
      </c>
      <c r="M254" s="19" t="str">
        <f t="shared" si="12"/>
        <v>#N/A</v>
      </c>
      <c r="N254" s="19" t="str">
        <f t="shared" si="13"/>
        <v>#N/A</v>
      </c>
    </row>
    <row r="255" ht="24.75" customHeight="1">
      <c r="A255" s="21" t="s">
        <v>218</v>
      </c>
      <c r="B255" s="13">
        <f>IFERROR(__xludf.DUMMYFUNCTION("GOOGLEFINANCE(A255,""PRICE"")"),2889.0)</f>
        <v>2889</v>
      </c>
      <c r="C255" s="14">
        <f>IFERROR(__xludf.DUMMYFUNCTION("GOOGLEFINANCE(A255,""PRICEOPEN"")"),2821.0)</f>
        <v>2821</v>
      </c>
      <c r="D255" s="14">
        <f>IFERROR(__xludf.DUMMYFUNCTION("GOOGLEFINANCE(A255,""HIGH"")"),2903.5)</f>
        <v>2903.5</v>
      </c>
      <c r="E255" s="14">
        <f>IFERROR(__xludf.DUMMYFUNCTION("GOOGLEFINANCE(A255,""LOW"")"),2758.0)</f>
        <v>2758</v>
      </c>
      <c r="F255" s="15" t="str">
        <f t="shared" si="8"/>
        <v/>
      </c>
      <c r="G255" s="16">
        <f>IFERROR(__xludf.DUMMYFUNCTION("GOOGLEFINANCE(A255,""CLOSEYEST"")"),2812.6)</f>
        <v>2812.6</v>
      </c>
      <c r="H255" s="17" t="str">
        <f t="shared" si="14"/>
        <v/>
      </c>
      <c r="I255" s="18">
        <f t="shared" si="9"/>
        <v>2824.7</v>
      </c>
      <c r="J255" s="19">
        <f t="shared" si="10"/>
        <v>2891.4</v>
      </c>
      <c r="K255" s="19"/>
      <c r="L255" s="19">
        <f t="shared" si="11"/>
        <v>2745.9</v>
      </c>
      <c r="M255" s="19">
        <f t="shared" si="12"/>
        <v>2970.2</v>
      </c>
      <c r="N255" s="19">
        <f t="shared" si="13"/>
        <v>2679.2</v>
      </c>
    </row>
    <row r="256" ht="24.75" customHeight="1">
      <c r="A256" s="21" t="s">
        <v>219</v>
      </c>
      <c r="B256" s="13">
        <f>IFERROR(__xludf.DUMMYFUNCTION("GOOGLEFINANCE(A256,""PRICE"")"),1180.0)</f>
        <v>1180</v>
      </c>
      <c r="C256" s="14">
        <f>IFERROR(__xludf.DUMMYFUNCTION("GOOGLEFINANCE(A256,""PRICEOPEN"")"),1170.2)</f>
        <v>1170.2</v>
      </c>
      <c r="D256" s="14">
        <f>IFERROR(__xludf.DUMMYFUNCTION("GOOGLEFINANCE(A256,""HIGH"")"),1185.8)</f>
        <v>1185.8</v>
      </c>
      <c r="E256" s="14">
        <f>IFERROR(__xludf.DUMMYFUNCTION("GOOGLEFINANCE(A256,""LOW"")"),1165.2)</f>
        <v>1165.2</v>
      </c>
      <c r="F256" s="15" t="str">
        <f t="shared" si="8"/>
        <v/>
      </c>
      <c r="G256" s="16">
        <f>IFERROR(__xludf.DUMMYFUNCTION("GOOGLEFINANCE(A256,""CLOSEYEST"")"),1172.4)</f>
        <v>1172.4</v>
      </c>
      <c r="H256" s="17" t="str">
        <f t="shared" si="14"/>
        <v/>
      </c>
      <c r="I256" s="18">
        <f t="shared" si="9"/>
        <v>1174.466667</v>
      </c>
      <c r="J256" s="19">
        <f t="shared" si="10"/>
        <v>1183.733333</v>
      </c>
      <c r="K256" s="19"/>
      <c r="L256" s="19">
        <f t="shared" si="11"/>
        <v>1163.133333</v>
      </c>
      <c r="M256" s="19">
        <f t="shared" si="12"/>
        <v>1195.066667</v>
      </c>
      <c r="N256" s="19">
        <f t="shared" si="13"/>
        <v>1153.866667</v>
      </c>
    </row>
    <row r="257" ht="24.75" customHeight="1">
      <c r="A257" s="21" t="s">
        <v>220</v>
      </c>
      <c r="B257" s="13">
        <f>IFERROR(__xludf.DUMMYFUNCTION("GOOGLEFINANCE(A257,""PRICE"")"),3182.0)</f>
        <v>3182</v>
      </c>
      <c r="C257" s="14">
        <f>IFERROR(__xludf.DUMMYFUNCTION("GOOGLEFINANCE(A257,""PRICEOPEN"")"),3160.0)</f>
        <v>3160</v>
      </c>
      <c r="D257" s="14">
        <f>IFERROR(__xludf.DUMMYFUNCTION("GOOGLEFINANCE(A257,""HIGH"")"),3192.0)</f>
        <v>3192</v>
      </c>
      <c r="E257" s="14">
        <f>IFERROR(__xludf.DUMMYFUNCTION("GOOGLEFINANCE(A257,""LOW"")"),3141.0)</f>
        <v>3141</v>
      </c>
      <c r="F257" s="15" t="str">
        <f t="shared" si="8"/>
        <v/>
      </c>
      <c r="G257" s="16">
        <f>IFERROR(__xludf.DUMMYFUNCTION("GOOGLEFINANCE(A257,""CLOSEYEST"")"),3165.2)</f>
        <v>3165.2</v>
      </c>
      <c r="H257" s="17" t="str">
        <f t="shared" si="14"/>
        <v/>
      </c>
      <c r="I257" s="18">
        <f t="shared" si="9"/>
        <v>3166.066667</v>
      </c>
      <c r="J257" s="19">
        <f t="shared" si="10"/>
        <v>3191.133333</v>
      </c>
      <c r="K257" s="19"/>
      <c r="L257" s="19">
        <f t="shared" si="11"/>
        <v>3140.133333</v>
      </c>
      <c r="M257" s="19">
        <f t="shared" si="12"/>
        <v>3217.066667</v>
      </c>
      <c r="N257" s="19">
        <f t="shared" si="13"/>
        <v>3115.066667</v>
      </c>
    </row>
    <row r="258" ht="24.75" customHeight="1">
      <c r="A258" s="21" t="s">
        <v>221</v>
      </c>
      <c r="B258" s="13">
        <f>IFERROR(__xludf.DUMMYFUNCTION("GOOGLEFINANCE(A258,""PRICE"")"),190.7)</f>
        <v>190.7</v>
      </c>
      <c r="C258" s="14">
        <f>IFERROR(__xludf.DUMMYFUNCTION("GOOGLEFINANCE(A258,""PRICEOPEN"")"),192.0)</f>
        <v>192</v>
      </c>
      <c r="D258" s="14">
        <f>IFERROR(__xludf.DUMMYFUNCTION("GOOGLEFINANCE(A258,""HIGH"")"),192.0)</f>
        <v>192</v>
      </c>
      <c r="E258" s="14">
        <f>IFERROR(__xludf.DUMMYFUNCTION("GOOGLEFINANCE(A258,""LOW"")"),189.55)</f>
        <v>189.55</v>
      </c>
      <c r="F258" s="15" t="str">
        <f t="shared" si="8"/>
        <v>SELL</v>
      </c>
      <c r="G258" s="16">
        <f>IFERROR(__xludf.DUMMYFUNCTION("GOOGLEFINANCE(A258,""CLOSEYEST"")"),190.49)</f>
        <v>190.49</v>
      </c>
      <c r="H258" s="17" t="str">
        <f t="shared" si="14"/>
        <v/>
      </c>
      <c r="I258" s="18">
        <f t="shared" si="9"/>
        <v>190.68</v>
      </c>
      <c r="J258" s="19">
        <f t="shared" si="10"/>
        <v>191.81</v>
      </c>
      <c r="K258" s="19"/>
      <c r="L258" s="19">
        <f t="shared" si="11"/>
        <v>189.36</v>
      </c>
      <c r="M258" s="19">
        <f t="shared" si="12"/>
        <v>193.13</v>
      </c>
      <c r="N258" s="19">
        <f t="shared" si="13"/>
        <v>188.23</v>
      </c>
    </row>
    <row r="259" ht="24.75" customHeight="1">
      <c r="A259" s="21" t="s">
        <v>222</v>
      </c>
      <c r="B259" s="13">
        <f>IFERROR(__xludf.DUMMYFUNCTION("GOOGLEFINANCE(A259,""PRICE"")"),167.0)</f>
        <v>167</v>
      </c>
      <c r="C259" s="14">
        <f>IFERROR(__xludf.DUMMYFUNCTION("GOOGLEFINANCE(A259,""PRICEOPEN"")"),166.73)</f>
        <v>166.73</v>
      </c>
      <c r="D259" s="14">
        <f>IFERROR(__xludf.DUMMYFUNCTION("GOOGLEFINANCE(A259,""HIGH"")"),168.29)</f>
        <v>168.29</v>
      </c>
      <c r="E259" s="14">
        <f>IFERROR(__xludf.DUMMYFUNCTION("GOOGLEFINANCE(A259,""LOW"")"),165.69)</f>
        <v>165.69</v>
      </c>
      <c r="F259" s="15" t="str">
        <f t="shared" si="8"/>
        <v/>
      </c>
      <c r="G259" s="16">
        <f>IFERROR(__xludf.DUMMYFUNCTION("GOOGLEFINANCE(A259,""CLOSEYEST"")"),165.18)</f>
        <v>165.18</v>
      </c>
      <c r="H259" s="17" t="str">
        <f t="shared" si="14"/>
        <v/>
      </c>
      <c r="I259" s="18">
        <f t="shared" si="9"/>
        <v>166.3866667</v>
      </c>
      <c r="J259" s="19">
        <f t="shared" si="10"/>
        <v>167.0833333</v>
      </c>
      <c r="K259" s="19"/>
      <c r="L259" s="19">
        <f t="shared" si="11"/>
        <v>164.4833333</v>
      </c>
      <c r="M259" s="19">
        <f t="shared" si="12"/>
        <v>168.9866667</v>
      </c>
      <c r="N259" s="19">
        <f t="shared" si="13"/>
        <v>163.7866667</v>
      </c>
    </row>
    <row r="260" ht="24.75" customHeight="1">
      <c r="A260" s="21" t="s">
        <v>223</v>
      </c>
      <c r="B260" s="13">
        <f>IFERROR(__xludf.DUMMYFUNCTION("GOOGLEFINANCE(A260,""PRICE"")"),1735.0)</f>
        <v>1735</v>
      </c>
      <c r="C260" s="14">
        <f>IFERROR(__xludf.DUMMYFUNCTION("GOOGLEFINANCE(A260,""PRICEOPEN"")"),1740.0)</f>
        <v>1740</v>
      </c>
      <c r="D260" s="14">
        <f>IFERROR(__xludf.DUMMYFUNCTION("GOOGLEFINANCE(A260,""HIGH"")"),1752.5)</f>
        <v>1752.5</v>
      </c>
      <c r="E260" s="14">
        <f>IFERROR(__xludf.DUMMYFUNCTION("GOOGLEFINANCE(A260,""LOW"")"),1723.8)</f>
        <v>1723.8</v>
      </c>
      <c r="F260" s="15" t="str">
        <f t="shared" si="8"/>
        <v/>
      </c>
      <c r="G260" s="16">
        <f>IFERROR(__xludf.DUMMYFUNCTION("GOOGLEFINANCE(A260,""CLOSEYEST"")"),1731.1)</f>
        <v>1731.1</v>
      </c>
      <c r="H260" s="17" t="str">
        <f t="shared" si="14"/>
        <v/>
      </c>
      <c r="I260" s="18">
        <f t="shared" si="9"/>
        <v>1735.8</v>
      </c>
      <c r="J260" s="19">
        <f t="shared" si="10"/>
        <v>1747.8</v>
      </c>
      <c r="K260" s="19"/>
      <c r="L260" s="19">
        <f t="shared" si="11"/>
        <v>1719.1</v>
      </c>
      <c r="M260" s="19">
        <f t="shared" si="12"/>
        <v>1764.5</v>
      </c>
      <c r="N260" s="19">
        <f t="shared" si="13"/>
        <v>1707.1</v>
      </c>
    </row>
    <row r="261" ht="24.75" customHeight="1">
      <c r="A261" s="21" t="s">
        <v>224</v>
      </c>
      <c r="B261" s="13">
        <f>IFERROR(__xludf.DUMMYFUNCTION("GOOGLEFINANCE(A261,""PRICE"")"),167.46)</f>
        <v>167.46</v>
      </c>
      <c r="C261" s="14">
        <f>IFERROR(__xludf.DUMMYFUNCTION("GOOGLEFINANCE(A261,""PRICEOPEN"")"),172.4)</f>
        <v>172.4</v>
      </c>
      <c r="D261" s="14">
        <f>IFERROR(__xludf.DUMMYFUNCTION("GOOGLEFINANCE(A261,""HIGH"")"),172.4)</f>
        <v>172.4</v>
      </c>
      <c r="E261" s="14">
        <f>IFERROR(__xludf.DUMMYFUNCTION("GOOGLEFINANCE(A261,""LOW"")"),167.05)</f>
        <v>167.05</v>
      </c>
      <c r="F261" s="15" t="str">
        <f t="shared" si="8"/>
        <v>SELL</v>
      </c>
      <c r="G261" s="16">
        <f>IFERROR(__xludf.DUMMYFUNCTION("GOOGLEFINANCE(A261,""CLOSEYEST"")"),171.74)</f>
        <v>171.74</v>
      </c>
      <c r="H261" s="17" t="str">
        <f t="shared" si="14"/>
        <v/>
      </c>
      <c r="I261" s="18">
        <f t="shared" si="9"/>
        <v>170.3966667</v>
      </c>
      <c r="J261" s="19">
        <f t="shared" si="10"/>
        <v>173.7433333</v>
      </c>
      <c r="K261" s="19"/>
      <c r="L261" s="19">
        <f t="shared" si="11"/>
        <v>168.3933333</v>
      </c>
      <c r="M261" s="19">
        <f t="shared" si="12"/>
        <v>175.7466667</v>
      </c>
      <c r="N261" s="19">
        <f t="shared" si="13"/>
        <v>165.0466667</v>
      </c>
    </row>
    <row r="262" ht="24.75" customHeight="1">
      <c r="A262" s="21" t="s">
        <v>225</v>
      </c>
      <c r="B262" s="13">
        <f>IFERROR(__xludf.DUMMYFUNCTION("GOOGLEFINANCE(A262,""PRICE"")"),895.0)</f>
        <v>895</v>
      </c>
      <c r="C262" s="14">
        <f>IFERROR(__xludf.DUMMYFUNCTION("GOOGLEFINANCE(A262,""PRICEOPEN"")"),878.0)</f>
        <v>878</v>
      </c>
      <c r="D262" s="14">
        <f>IFERROR(__xludf.DUMMYFUNCTION("GOOGLEFINANCE(A262,""HIGH"")"),897.9)</f>
        <v>897.9</v>
      </c>
      <c r="E262" s="14">
        <f>IFERROR(__xludf.DUMMYFUNCTION("GOOGLEFINANCE(A262,""LOW"")"),871.0)</f>
        <v>871</v>
      </c>
      <c r="F262" s="15" t="str">
        <f t="shared" si="8"/>
        <v/>
      </c>
      <c r="G262" s="16">
        <f>IFERROR(__xludf.DUMMYFUNCTION("GOOGLEFINANCE(A262,""CLOSEYEST"")"),876.1)</f>
        <v>876.1</v>
      </c>
      <c r="H262" s="17" t="str">
        <f t="shared" si="14"/>
        <v/>
      </c>
      <c r="I262" s="18">
        <f t="shared" si="9"/>
        <v>881.6666667</v>
      </c>
      <c r="J262" s="19">
        <f t="shared" si="10"/>
        <v>892.3333333</v>
      </c>
      <c r="K262" s="19"/>
      <c r="L262" s="19">
        <f t="shared" si="11"/>
        <v>865.4333333</v>
      </c>
      <c r="M262" s="19">
        <f t="shared" si="12"/>
        <v>908.5666667</v>
      </c>
      <c r="N262" s="19">
        <f t="shared" si="13"/>
        <v>854.7666667</v>
      </c>
    </row>
    <row r="263" ht="24.75" customHeight="1">
      <c r="A263" s="21" t="s">
        <v>226</v>
      </c>
      <c r="B263" s="13">
        <f>IFERROR(__xludf.DUMMYFUNCTION("GOOGLEFINANCE(A263,""PRICE"")"),1666.0)</f>
        <v>1666</v>
      </c>
      <c r="C263" s="14">
        <f>IFERROR(__xludf.DUMMYFUNCTION("GOOGLEFINANCE(A263,""PRICEOPEN"")"),1637.8)</f>
        <v>1637.8</v>
      </c>
      <c r="D263" s="14">
        <f>IFERROR(__xludf.DUMMYFUNCTION("GOOGLEFINANCE(A263,""HIGH"")"),1670.0)</f>
        <v>1670</v>
      </c>
      <c r="E263" s="14">
        <f>IFERROR(__xludf.DUMMYFUNCTION("GOOGLEFINANCE(A263,""LOW"")"),1636.9)</f>
        <v>1636.9</v>
      </c>
      <c r="F263" s="15" t="str">
        <f t="shared" si="8"/>
        <v/>
      </c>
      <c r="G263" s="16">
        <f>IFERROR(__xludf.DUMMYFUNCTION("GOOGLEFINANCE(A263,""CLOSEYEST"")"),1637.8)</f>
        <v>1637.8</v>
      </c>
      <c r="H263" s="17" t="str">
        <f t="shared" si="14"/>
        <v/>
      </c>
      <c r="I263" s="18">
        <f t="shared" si="9"/>
        <v>1648.233333</v>
      </c>
      <c r="J263" s="19">
        <f t="shared" si="10"/>
        <v>1659.566667</v>
      </c>
      <c r="K263" s="19"/>
      <c r="L263" s="19">
        <f t="shared" si="11"/>
        <v>1626.466667</v>
      </c>
      <c r="M263" s="19">
        <f t="shared" si="12"/>
        <v>1681.333333</v>
      </c>
      <c r="N263" s="19">
        <f t="shared" si="13"/>
        <v>1615.133333</v>
      </c>
    </row>
    <row r="264" ht="24.75" customHeight="1">
      <c r="A264" s="21" t="s">
        <v>227</v>
      </c>
      <c r="B264" s="13">
        <f>IFERROR(__xludf.DUMMYFUNCTION("GOOGLEFINANCE(A264,""PRICE"")"),2302.0)</f>
        <v>2302</v>
      </c>
      <c r="C264" s="14">
        <f>IFERROR(__xludf.DUMMYFUNCTION("GOOGLEFINANCE(A264,""PRICEOPEN"")"),2254.0)</f>
        <v>2254</v>
      </c>
      <c r="D264" s="14">
        <f>IFERROR(__xludf.DUMMYFUNCTION("GOOGLEFINANCE(A264,""HIGH"")"),2315.0)</f>
        <v>2315</v>
      </c>
      <c r="E264" s="14">
        <f>IFERROR(__xludf.DUMMYFUNCTION("GOOGLEFINANCE(A264,""LOW"")"),2242.0)</f>
        <v>2242</v>
      </c>
      <c r="F264" s="15" t="str">
        <f t="shared" si="8"/>
        <v/>
      </c>
      <c r="G264" s="16">
        <f>IFERROR(__xludf.DUMMYFUNCTION("GOOGLEFINANCE(A264,""CLOSEYEST"")"),2251.0)</f>
        <v>2251</v>
      </c>
      <c r="H264" s="17" t="str">
        <f t="shared" si="14"/>
        <v/>
      </c>
      <c r="I264" s="18">
        <f t="shared" si="9"/>
        <v>2269.333333</v>
      </c>
      <c r="J264" s="19">
        <f t="shared" si="10"/>
        <v>2296.666667</v>
      </c>
      <c r="K264" s="19"/>
      <c r="L264" s="19">
        <f t="shared" si="11"/>
        <v>2223.666667</v>
      </c>
      <c r="M264" s="19">
        <f t="shared" si="12"/>
        <v>2342.333333</v>
      </c>
      <c r="N264" s="19">
        <f t="shared" si="13"/>
        <v>2196.333333</v>
      </c>
    </row>
    <row r="265" ht="24.75" customHeight="1">
      <c r="A265" s="21" t="s">
        <v>228</v>
      </c>
      <c r="B265" s="13">
        <f>IFERROR(__xludf.DUMMYFUNCTION("GOOGLEFINANCE(A265,""PRICE"")"),5075.0)</f>
        <v>5075</v>
      </c>
      <c r="C265" s="14">
        <f>IFERROR(__xludf.DUMMYFUNCTION("GOOGLEFINANCE(A265,""PRICEOPEN"")"),4922.0)</f>
        <v>4922</v>
      </c>
      <c r="D265" s="14">
        <f>IFERROR(__xludf.DUMMYFUNCTION("GOOGLEFINANCE(A265,""HIGH"")"),5082.0)</f>
        <v>5082</v>
      </c>
      <c r="E265" s="14">
        <f>IFERROR(__xludf.DUMMYFUNCTION("GOOGLEFINANCE(A265,""LOW"")"),4902.8)</f>
        <v>4902.8</v>
      </c>
      <c r="F265" s="15" t="str">
        <f t="shared" si="8"/>
        <v/>
      </c>
      <c r="G265" s="16">
        <f>IFERROR(__xludf.DUMMYFUNCTION("GOOGLEFINANCE(A265,""CLOSEYEST"")"),4912.9)</f>
        <v>4912.9</v>
      </c>
      <c r="H265" s="17" t="str">
        <f t="shared" si="14"/>
        <v/>
      </c>
      <c r="I265" s="18">
        <f t="shared" si="9"/>
        <v>4965.9</v>
      </c>
      <c r="J265" s="19">
        <f t="shared" si="10"/>
        <v>5029</v>
      </c>
      <c r="K265" s="19"/>
      <c r="L265" s="19">
        <f t="shared" si="11"/>
        <v>4849.8</v>
      </c>
      <c r="M265" s="19">
        <f t="shared" si="12"/>
        <v>5145.1</v>
      </c>
      <c r="N265" s="19">
        <f t="shared" si="13"/>
        <v>4786.7</v>
      </c>
    </row>
    <row r="266" ht="24.75" customHeight="1">
      <c r="A266" s="21" t="s">
        <v>229</v>
      </c>
      <c r="B266" s="13">
        <f>IFERROR(__xludf.DUMMYFUNCTION("GOOGLEFINANCE(A266,""PRICE"")"),549.0)</f>
        <v>549</v>
      </c>
      <c r="C266" s="14">
        <f>IFERROR(__xludf.DUMMYFUNCTION("GOOGLEFINANCE(A266,""PRICEOPEN"")"),546.8)</f>
        <v>546.8</v>
      </c>
      <c r="D266" s="14">
        <f>IFERROR(__xludf.DUMMYFUNCTION("GOOGLEFINANCE(A266,""HIGH"")"),553.75)</f>
        <v>553.75</v>
      </c>
      <c r="E266" s="14">
        <f>IFERROR(__xludf.DUMMYFUNCTION("GOOGLEFINANCE(A266,""LOW"")"),542.25)</f>
        <v>542.25</v>
      </c>
      <c r="F266" s="15" t="str">
        <f t="shared" si="8"/>
        <v/>
      </c>
      <c r="G266" s="16">
        <f>IFERROR(__xludf.DUMMYFUNCTION("GOOGLEFINANCE(A266,""CLOSEYEST"")"),542.05)</f>
        <v>542.05</v>
      </c>
      <c r="H266" s="17" t="str">
        <f t="shared" si="14"/>
        <v/>
      </c>
      <c r="I266" s="18">
        <f t="shared" si="9"/>
        <v>546.0166667</v>
      </c>
      <c r="J266" s="19">
        <f t="shared" si="10"/>
        <v>549.7833333</v>
      </c>
      <c r="K266" s="19"/>
      <c r="L266" s="19">
        <f t="shared" si="11"/>
        <v>538.2833333</v>
      </c>
      <c r="M266" s="19">
        <f t="shared" si="12"/>
        <v>557.5166667</v>
      </c>
      <c r="N266" s="19">
        <f t="shared" si="13"/>
        <v>534.5166667</v>
      </c>
    </row>
    <row r="267" ht="24.75" customHeight="1">
      <c r="A267" s="21" t="s">
        <v>230</v>
      </c>
      <c r="B267" s="13">
        <f>IFERROR(__xludf.DUMMYFUNCTION("GOOGLEFINANCE(A267,""PRICE"")"),125.41)</f>
        <v>125.41</v>
      </c>
      <c r="C267" s="14">
        <f>IFERROR(__xludf.DUMMYFUNCTION("GOOGLEFINANCE(A267,""PRICEOPEN"")"),124.65)</f>
        <v>124.65</v>
      </c>
      <c r="D267" s="14">
        <f>IFERROR(__xludf.DUMMYFUNCTION("GOOGLEFINANCE(A267,""HIGH"")"),125.95)</f>
        <v>125.95</v>
      </c>
      <c r="E267" s="14">
        <f>IFERROR(__xludf.DUMMYFUNCTION("GOOGLEFINANCE(A267,""LOW"")"),123.65)</f>
        <v>123.65</v>
      </c>
      <c r="F267" s="15" t="str">
        <f t="shared" si="8"/>
        <v/>
      </c>
      <c r="G267" s="16">
        <f>IFERROR(__xludf.DUMMYFUNCTION("GOOGLEFINANCE(A267,""CLOSEYEST"")"),124.63)</f>
        <v>124.63</v>
      </c>
      <c r="H267" s="17" t="str">
        <f t="shared" si="14"/>
        <v/>
      </c>
      <c r="I267" s="18">
        <f t="shared" si="9"/>
        <v>124.7433333</v>
      </c>
      <c r="J267" s="19">
        <f t="shared" si="10"/>
        <v>125.8366667</v>
      </c>
      <c r="K267" s="19"/>
      <c r="L267" s="19">
        <f t="shared" si="11"/>
        <v>123.5366667</v>
      </c>
      <c r="M267" s="19">
        <f t="shared" si="12"/>
        <v>127.0433333</v>
      </c>
      <c r="N267" s="19">
        <f t="shared" si="13"/>
        <v>122.4433333</v>
      </c>
    </row>
    <row r="268" ht="24.75" customHeight="1">
      <c r="A268" s="21" t="s">
        <v>231</v>
      </c>
      <c r="B268" s="13">
        <f>IFERROR(__xludf.DUMMYFUNCTION("GOOGLEFINANCE(A268,""PRICE"")"),5220.5)</f>
        <v>5220.5</v>
      </c>
      <c r="C268" s="14">
        <f>IFERROR(__xludf.DUMMYFUNCTION("GOOGLEFINANCE(A268,""PRICEOPEN"")"),5192.0)</f>
        <v>5192</v>
      </c>
      <c r="D268" s="14">
        <f>IFERROR(__xludf.DUMMYFUNCTION("GOOGLEFINANCE(A268,""HIGH"")"),5252.0)</f>
        <v>5252</v>
      </c>
      <c r="E268" s="14">
        <f>IFERROR(__xludf.DUMMYFUNCTION("GOOGLEFINANCE(A268,""LOW"")"),5162.0)</f>
        <v>5162</v>
      </c>
      <c r="F268" s="15" t="str">
        <f t="shared" si="8"/>
        <v/>
      </c>
      <c r="G268" s="16">
        <f>IFERROR(__xludf.DUMMYFUNCTION("GOOGLEFINANCE(A268,""CLOSEYEST"")"),5151.0)</f>
        <v>5151</v>
      </c>
      <c r="H268" s="17" t="str">
        <f t="shared" si="14"/>
        <v/>
      </c>
      <c r="I268" s="18">
        <f t="shared" si="9"/>
        <v>5188.333333</v>
      </c>
      <c r="J268" s="19">
        <f t="shared" si="10"/>
        <v>5214.666667</v>
      </c>
      <c r="K268" s="19"/>
      <c r="L268" s="19">
        <f t="shared" si="11"/>
        <v>5124.666667</v>
      </c>
      <c r="M268" s="19">
        <f t="shared" si="12"/>
        <v>5278.333333</v>
      </c>
      <c r="N268" s="19">
        <f t="shared" si="13"/>
        <v>5098.333333</v>
      </c>
    </row>
    <row r="269" ht="24.75" customHeight="1">
      <c r="A269" s="21" t="s">
        <v>232</v>
      </c>
      <c r="B269" s="13">
        <f>IFERROR(__xludf.DUMMYFUNCTION("GOOGLEFINANCE(A269,""PRICE"")"),6233.0)</f>
        <v>6233</v>
      </c>
      <c r="C269" s="14">
        <f>IFERROR(__xludf.DUMMYFUNCTION("GOOGLEFINANCE(A269,""PRICEOPEN"")"),6222.0)</f>
        <v>6222</v>
      </c>
      <c r="D269" s="14">
        <f>IFERROR(__xludf.DUMMYFUNCTION("GOOGLEFINANCE(A269,""HIGH"")"),6299.0)</f>
        <v>6299</v>
      </c>
      <c r="E269" s="14">
        <f>IFERROR(__xludf.DUMMYFUNCTION("GOOGLEFINANCE(A269,""LOW"")"),6201.0)</f>
        <v>6201</v>
      </c>
      <c r="F269" s="15" t="str">
        <f t="shared" si="8"/>
        <v/>
      </c>
      <c r="G269" s="16">
        <f>IFERROR(__xludf.DUMMYFUNCTION("GOOGLEFINANCE(A269,""CLOSEYEST"")"),6266.5)</f>
        <v>6266.5</v>
      </c>
      <c r="H269" s="17" t="str">
        <f t="shared" si="14"/>
        <v/>
      </c>
      <c r="I269" s="18">
        <f t="shared" si="9"/>
        <v>6255.5</v>
      </c>
      <c r="J269" s="19">
        <f t="shared" si="10"/>
        <v>6310</v>
      </c>
      <c r="K269" s="19"/>
      <c r="L269" s="19">
        <f t="shared" si="11"/>
        <v>6212</v>
      </c>
      <c r="M269" s="19">
        <f t="shared" si="12"/>
        <v>6353.5</v>
      </c>
      <c r="N269" s="19">
        <f t="shared" si="13"/>
        <v>6157.5</v>
      </c>
    </row>
    <row r="270" ht="24.75" customHeight="1">
      <c r="A270" s="21" t="s">
        <v>233</v>
      </c>
      <c r="B270" s="13">
        <f>IFERROR(__xludf.DUMMYFUNCTION("GOOGLEFINANCE(A270,""PRICE"")"),980.0)</f>
        <v>980</v>
      </c>
      <c r="C270" s="14">
        <f>IFERROR(__xludf.DUMMYFUNCTION("GOOGLEFINANCE(A270,""PRICEOPEN"")"),996.1)</f>
        <v>996.1</v>
      </c>
      <c r="D270" s="14">
        <f>IFERROR(__xludf.DUMMYFUNCTION("GOOGLEFINANCE(A270,""HIGH"")"),1004.7)</f>
        <v>1004.7</v>
      </c>
      <c r="E270" s="14">
        <f>IFERROR(__xludf.DUMMYFUNCTION("GOOGLEFINANCE(A270,""LOW"")"),970.85)</f>
        <v>970.85</v>
      </c>
      <c r="F270" s="15" t="str">
        <f t="shared" si="8"/>
        <v/>
      </c>
      <c r="G270" s="16">
        <f>IFERROR(__xludf.DUMMYFUNCTION("GOOGLEFINANCE(A270,""CLOSEYEST"")"),989.65)</f>
        <v>989.65</v>
      </c>
      <c r="H270" s="17" t="str">
        <f t="shared" si="14"/>
        <v/>
      </c>
      <c r="I270" s="18">
        <f t="shared" si="9"/>
        <v>988.4</v>
      </c>
      <c r="J270" s="19">
        <f t="shared" si="10"/>
        <v>1005.95</v>
      </c>
      <c r="K270" s="19"/>
      <c r="L270" s="19">
        <f t="shared" si="11"/>
        <v>972.1</v>
      </c>
      <c r="M270" s="19">
        <f t="shared" si="12"/>
        <v>1022.25</v>
      </c>
      <c r="N270" s="19">
        <f t="shared" si="13"/>
        <v>954.55</v>
      </c>
    </row>
    <row r="271" ht="24.75" customHeight="1">
      <c r="A271" s="21" t="s">
        <v>234</v>
      </c>
      <c r="B271" s="13">
        <f>IFERROR(__xludf.DUMMYFUNCTION("GOOGLEFINANCE(A271,""PRICE"")"),1207.9)</f>
        <v>1207.9</v>
      </c>
      <c r="C271" s="14">
        <f>IFERROR(__xludf.DUMMYFUNCTION("GOOGLEFINANCE(A271,""PRICEOPEN"")"),1190.1)</f>
        <v>1190.1</v>
      </c>
      <c r="D271" s="14">
        <f>IFERROR(__xludf.DUMMYFUNCTION("GOOGLEFINANCE(A271,""HIGH"")"),1209.8)</f>
        <v>1209.8</v>
      </c>
      <c r="E271" s="14">
        <f>IFERROR(__xludf.DUMMYFUNCTION("GOOGLEFINANCE(A271,""LOW"")"),1172.2)</f>
        <v>1172.2</v>
      </c>
      <c r="F271" s="15" t="str">
        <f t="shared" si="8"/>
        <v/>
      </c>
      <c r="G271" s="16">
        <f>IFERROR(__xludf.DUMMYFUNCTION("GOOGLEFINANCE(A271,""CLOSEYEST"")"),1191.8)</f>
        <v>1191.8</v>
      </c>
      <c r="H271" s="17" t="str">
        <f t="shared" si="14"/>
        <v/>
      </c>
      <c r="I271" s="18">
        <f t="shared" si="9"/>
        <v>1191.266667</v>
      </c>
      <c r="J271" s="19">
        <f t="shared" si="10"/>
        <v>1210.333333</v>
      </c>
      <c r="K271" s="19"/>
      <c r="L271" s="19">
        <f t="shared" si="11"/>
        <v>1172.733333</v>
      </c>
      <c r="M271" s="19">
        <f t="shared" si="12"/>
        <v>1228.866667</v>
      </c>
      <c r="N271" s="19">
        <f t="shared" si="13"/>
        <v>1153.666667</v>
      </c>
    </row>
    <row r="272" ht="24.75" customHeight="1">
      <c r="A272" s="21" t="s">
        <v>235</v>
      </c>
      <c r="B272" s="13">
        <f>IFERROR(__xludf.DUMMYFUNCTION("GOOGLEFINANCE(A272,""PRICE"")"),1662.8)</f>
        <v>1662.8</v>
      </c>
      <c r="C272" s="14">
        <f>IFERROR(__xludf.DUMMYFUNCTION("GOOGLEFINANCE(A272,""PRICEOPEN"")"),1633.8)</f>
        <v>1633.8</v>
      </c>
      <c r="D272" s="14">
        <f>IFERROR(__xludf.DUMMYFUNCTION("GOOGLEFINANCE(A272,""HIGH"")"),1668.0)</f>
        <v>1668</v>
      </c>
      <c r="E272" s="14">
        <f>IFERROR(__xludf.DUMMYFUNCTION("GOOGLEFINANCE(A272,""LOW"")"),1624.3)</f>
        <v>1624.3</v>
      </c>
      <c r="F272" s="15" t="str">
        <f t="shared" si="8"/>
        <v/>
      </c>
      <c r="G272" s="16">
        <f>IFERROR(__xludf.DUMMYFUNCTION("GOOGLEFINANCE(A272,""CLOSEYEST"")"),1633.2)</f>
        <v>1633.2</v>
      </c>
      <c r="H272" s="17" t="str">
        <f t="shared" si="14"/>
        <v/>
      </c>
      <c r="I272" s="18">
        <f t="shared" si="9"/>
        <v>1641.833333</v>
      </c>
      <c r="J272" s="19">
        <f t="shared" si="10"/>
        <v>1659.366667</v>
      </c>
      <c r="K272" s="19"/>
      <c r="L272" s="19">
        <f t="shared" si="11"/>
        <v>1615.666667</v>
      </c>
      <c r="M272" s="19">
        <f t="shared" si="12"/>
        <v>1685.533333</v>
      </c>
      <c r="N272" s="19">
        <f t="shared" si="13"/>
        <v>1598.133333</v>
      </c>
    </row>
    <row r="273" ht="24.75" customHeight="1">
      <c r="A273" s="21" t="s">
        <v>236</v>
      </c>
      <c r="B273" s="13">
        <f>IFERROR(__xludf.DUMMYFUNCTION("GOOGLEFINANCE(A273,""PRICE"")"),1165.0)</f>
        <v>1165</v>
      </c>
      <c r="C273" s="14">
        <f>IFERROR(__xludf.DUMMYFUNCTION("GOOGLEFINANCE(A273,""PRICEOPEN"")"),1196.5)</f>
        <v>1196.5</v>
      </c>
      <c r="D273" s="14">
        <f>IFERROR(__xludf.DUMMYFUNCTION("GOOGLEFINANCE(A273,""HIGH"")"),1199.0)</f>
        <v>1199</v>
      </c>
      <c r="E273" s="14">
        <f>IFERROR(__xludf.DUMMYFUNCTION("GOOGLEFINANCE(A273,""LOW"")"),1157.0)</f>
        <v>1157</v>
      </c>
      <c r="F273" s="15" t="str">
        <f t="shared" si="8"/>
        <v/>
      </c>
      <c r="G273" s="16">
        <f>IFERROR(__xludf.DUMMYFUNCTION("GOOGLEFINANCE(A273,""CLOSEYEST"")"),1188.6)</f>
        <v>1188.6</v>
      </c>
      <c r="H273" s="17" t="str">
        <f t="shared" si="14"/>
        <v/>
      </c>
      <c r="I273" s="18">
        <f t="shared" si="9"/>
        <v>1181.533333</v>
      </c>
      <c r="J273" s="19">
        <f t="shared" si="10"/>
        <v>1206.066667</v>
      </c>
      <c r="K273" s="19"/>
      <c r="L273" s="19">
        <f t="shared" si="11"/>
        <v>1164.066667</v>
      </c>
      <c r="M273" s="19">
        <f t="shared" si="12"/>
        <v>1223.533333</v>
      </c>
      <c r="N273" s="19">
        <f t="shared" si="13"/>
        <v>1139.533333</v>
      </c>
    </row>
    <row r="274" ht="24.75" customHeight="1">
      <c r="A274" s="21" t="s">
        <v>237</v>
      </c>
      <c r="B274" s="13">
        <f>IFERROR(__xludf.DUMMYFUNCTION("GOOGLEFINANCE(A274,""PRICE"")"),244.8)</f>
        <v>244.8</v>
      </c>
      <c r="C274" s="14">
        <f>IFERROR(__xludf.DUMMYFUNCTION("GOOGLEFINANCE(A274,""PRICEOPEN"")"),240.5)</f>
        <v>240.5</v>
      </c>
      <c r="D274" s="14">
        <f>IFERROR(__xludf.DUMMYFUNCTION("GOOGLEFINANCE(A274,""HIGH"")"),246.29)</f>
        <v>246.29</v>
      </c>
      <c r="E274" s="14">
        <f>IFERROR(__xludf.DUMMYFUNCTION("GOOGLEFINANCE(A274,""LOW"")"),240.0)</f>
        <v>240</v>
      </c>
      <c r="F274" s="15" t="str">
        <f t="shared" si="8"/>
        <v/>
      </c>
      <c r="G274" s="16">
        <f>IFERROR(__xludf.DUMMYFUNCTION("GOOGLEFINANCE(A274,""CLOSEYEST"")"),240.17)</f>
        <v>240.17</v>
      </c>
      <c r="H274" s="17" t="str">
        <f t="shared" si="14"/>
        <v/>
      </c>
      <c r="I274" s="18">
        <f t="shared" si="9"/>
        <v>242.1533333</v>
      </c>
      <c r="J274" s="19">
        <f t="shared" si="10"/>
        <v>244.3066667</v>
      </c>
      <c r="K274" s="19"/>
      <c r="L274" s="19">
        <f t="shared" si="11"/>
        <v>238.0166667</v>
      </c>
      <c r="M274" s="19">
        <f t="shared" si="12"/>
        <v>248.4433333</v>
      </c>
      <c r="N274" s="19">
        <f t="shared" si="13"/>
        <v>235.8633333</v>
      </c>
    </row>
    <row r="275" ht="24.75" customHeight="1">
      <c r="A275" s="21" t="s">
        <v>238</v>
      </c>
      <c r="B275" s="13">
        <f>IFERROR(__xludf.DUMMYFUNCTION("GOOGLEFINANCE(A275,""PRICE"")"),4590.0)</f>
        <v>4590</v>
      </c>
      <c r="C275" s="14">
        <f>IFERROR(__xludf.DUMMYFUNCTION("GOOGLEFINANCE(A275,""PRICEOPEN"")"),4495.0)</f>
        <v>4495</v>
      </c>
      <c r="D275" s="14">
        <f>IFERROR(__xludf.DUMMYFUNCTION("GOOGLEFINANCE(A275,""HIGH"")"),4633.0)</f>
        <v>4633</v>
      </c>
      <c r="E275" s="14">
        <f>IFERROR(__xludf.DUMMYFUNCTION("GOOGLEFINANCE(A275,""LOW"")"),4450.0)</f>
        <v>4450</v>
      </c>
      <c r="F275" s="15" t="str">
        <f t="shared" si="8"/>
        <v/>
      </c>
      <c r="G275" s="16">
        <f>IFERROR(__xludf.DUMMYFUNCTION("GOOGLEFINANCE(A275,""CLOSEYEST"")"),4451.4)</f>
        <v>4451.4</v>
      </c>
      <c r="H275" s="17" t="str">
        <f t="shared" si="14"/>
        <v/>
      </c>
      <c r="I275" s="18">
        <f t="shared" si="9"/>
        <v>4511.466667</v>
      </c>
      <c r="J275" s="19">
        <f t="shared" si="10"/>
        <v>4572.933333</v>
      </c>
      <c r="K275" s="19"/>
      <c r="L275" s="19">
        <f t="shared" si="11"/>
        <v>4389.933333</v>
      </c>
      <c r="M275" s="19">
        <f t="shared" si="12"/>
        <v>4694.466667</v>
      </c>
      <c r="N275" s="19">
        <f t="shared" si="13"/>
        <v>4328.466667</v>
      </c>
    </row>
    <row r="276" ht="24.75" customHeight="1">
      <c r="A276" s="21" t="s">
        <v>239</v>
      </c>
      <c r="B276" s="13">
        <f>IFERROR(__xludf.DUMMYFUNCTION("GOOGLEFINANCE(A276,""PRICE"")"),1690.0)</f>
        <v>1690</v>
      </c>
      <c r="C276" s="14">
        <f>IFERROR(__xludf.DUMMYFUNCTION("GOOGLEFINANCE(A276,""PRICEOPEN"")"),1730.5)</f>
        <v>1730.5</v>
      </c>
      <c r="D276" s="14">
        <f>IFERROR(__xludf.DUMMYFUNCTION("GOOGLEFINANCE(A276,""HIGH"")"),1739.0)</f>
        <v>1739</v>
      </c>
      <c r="E276" s="14">
        <f>IFERROR(__xludf.DUMMYFUNCTION("GOOGLEFINANCE(A276,""LOW"")"),1674.2)</f>
        <v>1674.2</v>
      </c>
      <c r="F276" s="15" t="str">
        <f t="shared" si="8"/>
        <v/>
      </c>
      <c r="G276" s="16">
        <f>IFERROR(__xludf.DUMMYFUNCTION("GOOGLEFINANCE(A276,""CLOSEYEST"")"),1730.5)</f>
        <v>1730.5</v>
      </c>
      <c r="H276" s="17" t="str">
        <f t="shared" si="14"/>
        <v/>
      </c>
      <c r="I276" s="18">
        <f t="shared" si="9"/>
        <v>1714.566667</v>
      </c>
      <c r="J276" s="19">
        <f t="shared" si="10"/>
        <v>1754.933333</v>
      </c>
      <c r="K276" s="19"/>
      <c r="L276" s="19">
        <f t="shared" si="11"/>
        <v>1690.133333</v>
      </c>
      <c r="M276" s="19">
        <f t="shared" si="12"/>
        <v>1779.366667</v>
      </c>
      <c r="N276" s="19">
        <f t="shared" si="13"/>
        <v>1649.766667</v>
      </c>
    </row>
    <row r="277" ht="24.75" customHeight="1">
      <c r="A277" s="21" t="s">
        <v>240</v>
      </c>
      <c r="B277" s="13">
        <f>IFERROR(__xludf.DUMMYFUNCTION("GOOGLEFINANCE(A277,""PRICE"")"),524.0)</f>
        <v>524</v>
      </c>
      <c r="C277" s="14">
        <f>IFERROR(__xludf.DUMMYFUNCTION("GOOGLEFINANCE(A277,""PRICEOPEN"")"),505.0)</f>
        <v>505</v>
      </c>
      <c r="D277" s="14">
        <f>IFERROR(__xludf.DUMMYFUNCTION("GOOGLEFINANCE(A277,""HIGH"")"),528.8)</f>
        <v>528.8</v>
      </c>
      <c r="E277" s="14">
        <f>IFERROR(__xludf.DUMMYFUNCTION("GOOGLEFINANCE(A277,""LOW"")"),499.35)</f>
        <v>499.35</v>
      </c>
      <c r="F277" s="15" t="str">
        <f t="shared" si="8"/>
        <v/>
      </c>
      <c r="G277" s="16">
        <f>IFERROR(__xludf.DUMMYFUNCTION("GOOGLEFINANCE(A277,""CLOSEYEST"")"),502.25)</f>
        <v>502.25</v>
      </c>
      <c r="H277" s="17" t="str">
        <f t="shared" si="14"/>
        <v/>
      </c>
      <c r="I277" s="18">
        <f t="shared" si="9"/>
        <v>510.1333333</v>
      </c>
      <c r="J277" s="19">
        <f t="shared" si="10"/>
        <v>520.9166667</v>
      </c>
      <c r="K277" s="19"/>
      <c r="L277" s="19">
        <f t="shared" si="11"/>
        <v>491.4666667</v>
      </c>
      <c r="M277" s="19">
        <f t="shared" si="12"/>
        <v>539.5833333</v>
      </c>
      <c r="N277" s="19">
        <f t="shared" si="13"/>
        <v>480.6833333</v>
      </c>
    </row>
    <row r="278" ht="24.75" customHeight="1">
      <c r="A278" s="21" t="s">
        <v>241</v>
      </c>
      <c r="B278" s="13">
        <f>IFERROR(__xludf.DUMMYFUNCTION("GOOGLEFINANCE(A278,""PRICE"")"),579.5)</f>
        <v>579.5</v>
      </c>
      <c r="C278" s="14">
        <f>IFERROR(__xludf.DUMMYFUNCTION("GOOGLEFINANCE(A278,""PRICEOPEN"")"),579.0)</f>
        <v>579</v>
      </c>
      <c r="D278" s="14">
        <f>IFERROR(__xludf.DUMMYFUNCTION("GOOGLEFINANCE(A278,""HIGH"")"),583.45)</f>
        <v>583.45</v>
      </c>
      <c r="E278" s="14">
        <f>IFERROR(__xludf.DUMMYFUNCTION("GOOGLEFINANCE(A278,""LOW"")"),574.05)</f>
        <v>574.05</v>
      </c>
      <c r="F278" s="15" t="str">
        <f t="shared" si="8"/>
        <v/>
      </c>
      <c r="G278" s="16">
        <f>IFERROR(__xludf.DUMMYFUNCTION("GOOGLEFINANCE(A278,""CLOSEYEST"")"),577.2)</f>
        <v>577.2</v>
      </c>
      <c r="H278" s="17" t="str">
        <f t="shared" si="14"/>
        <v/>
      </c>
      <c r="I278" s="18">
        <f t="shared" si="9"/>
        <v>578.2333333</v>
      </c>
      <c r="J278" s="19">
        <f t="shared" si="10"/>
        <v>582.4166667</v>
      </c>
      <c r="K278" s="19"/>
      <c r="L278" s="19">
        <f t="shared" si="11"/>
        <v>573.0166667</v>
      </c>
      <c r="M278" s="19">
        <f t="shared" si="12"/>
        <v>587.6333333</v>
      </c>
      <c r="N278" s="19">
        <f t="shared" si="13"/>
        <v>568.8333333</v>
      </c>
    </row>
    <row r="279" ht="24.75" customHeight="1">
      <c r="A279" s="21" t="s">
        <v>242</v>
      </c>
      <c r="B279" s="13">
        <f>IFERROR(__xludf.DUMMYFUNCTION("GOOGLEFINANCE(A279,""PRICE"")"),2365.8)</f>
        <v>2365.8</v>
      </c>
      <c r="C279" s="14">
        <f>IFERROR(__xludf.DUMMYFUNCTION("GOOGLEFINANCE(A279,""PRICEOPEN"")"),2395.6)</f>
        <v>2395.6</v>
      </c>
      <c r="D279" s="14">
        <f>IFERROR(__xludf.DUMMYFUNCTION("GOOGLEFINANCE(A279,""HIGH"")"),2409.9)</f>
        <v>2409.9</v>
      </c>
      <c r="E279" s="14">
        <f>IFERROR(__xludf.DUMMYFUNCTION("GOOGLEFINANCE(A279,""LOW"")"),2365.0)</f>
        <v>2365</v>
      </c>
      <c r="F279" s="15" t="str">
        <f t="shared" si="8"/>
        <v/>
      </c>
      <c r="G279" s="16">
        <f>IFERROR(__xludf.DUMMYFUNCTION("GOOGLEFINANCE(A279,""CLOSEYEST"")"),2398.9)</f>
        <v>2398.9</v>
      </c>
      <c r="H279" s="17" t="str">
        <f t="shared" si="14"/>
        <v/>
      </c>
      <c r="I279" s="18">
        <f t="shared" si="9"/>
        <v>2391.266667</v>
      </c>
      <c r="J279" s="19">
        <f t="shared" si="10"/>
        <v>2417.533333</v>
      </c>
      <c r="K279" s="19"/>
      <c r="L279" s="19">
        <f t="shared" si="11"/>
        <v>2372.633333</v>
      </c>
      <c r="M279" s="19">
        <f t="shared" si="12"/>
        <v>2436.166667</v>
      </c>
      <c r="N279" s="19">
        <f t="shared" si="13"/>
        <v>2346.366667</v>
      </c>
    </row>
    <row r="280" ht="24.75" customHeight="1">
      <c r="A280" s="21" t="s">
        <v>243</v>
      </c>
      <c r="B280" s="13">
        <f>IFERROR(__xludf.DUMMYFUNCTION("GOOGLEFINANCE(A280,""PRICE"")"),192.25)</f>
        <v>192.25</v>
      </c>
      <c r="C280" s="14">
        <f>IFERROR(__xludf.DUMMYFUNCTION("GOOGLEFINANCE(A280,""PRICEOPEN"")"),193.61)</f>
        <v>193.61</v>
      </c>
      <c r="D280" s="14">
        <f>IFERROR(__xludf.DUMMYFUNCTION("GOOGLEFINANCE(A280,""HIGH"")"),195.5)</f>
        <v>195.5</v>
      </c>
      <c r="E280" s="14">
        <f>IFERROR(__xludf.DUMMYFUNCTION("GOOGLEFINANCE(A280,""LOW"")"),192.21)</f>
        <v>192.21</v>
      </c>
      <c r="F280" s="15" t="str">
        <f t="shared" si="8"/>
        <v/>
      </c>
      <c r="G280" s="16">
        <f>IFERROR(__xludf.DUMMYFUNCTION("GOOGLEFINANCE(A280,""CLOSEYEST"")"),193.76)</f>
        <v>193.76</v>
      </c>
      <c r="H280" s="17" t="str">
        <f t="shared" si="14"/>
        <v/>
      </c>
      <c r="I280" s="18">
        <f t="shared" si="9"/>
        <v>193.8233333</v>
      </c>
      <c r="J280" s="19">
        <f t="shared" si="10"/>
        <v>195.4366667</v>
      </c>
      <c r="K280" s="19"/>
      <c r="L280" s="19">
        <f t="shared" si="11"/>
        <v>192.1466667</v>
      </c>
      <c r="M280" s="19">
        <f t="shared" si="12"/>
        <v>197.1133333</v>
      </c>
      <c r="N280" s="19">
        <f t="shared" si="13"/>
        <v>190.5333333</v>
      </c>
    </row>
    <row r="281" ht="24.75" customHeight="1">
      <c r="A281" s="21" t="s">
        <v>244</v>
      </c>
      <c r="B281" s="13">
        <f>IFERROR(__xludf.DUMMYFUNCTION("GOOGLEFINANCE(A281,""PRICE"")"),4580.0)</f>
        <v>4580</v>
      </c>
      <c r="C281" s="14">
        <f>IFERROR(__xludf.DUMMYFUNCTION("GOOGLEFINANCE(A281,""PRICEOPEN"")"),4639.0)</f>
        <v>4639</v>
      </c>
      <c r="D281" s="14">
        <f>IFERROR(__xludf.DUMMYFUNCTION("GOOGLEFINANCE(A281,""HIGH"")"),4658.0)</f>
        <v>4658</v>
      </c>
      <c r="E281" s="14">
        <f>IFERROR(__xludf.DUMMYFUNCTION("GOOGLEFINANCE(A281,""LOW"")"),4514.5)</f>
        <v>4514.5</v>
      </c>
      <c r="F281" s="15" t="str">
        <f t="shared" si="8"/>
        <v/>
      </c>
      <c r="G281" s="16">
        <f>IFERROR(__xludf.DUMMYFUNCTION("GOOGLEFINANCE(A281,""CLOSEYEST"")"),4630.1)</f>
        <v>4630.1</v>
      </c>
      <c r="H281" s="17" t="str">
        <f t="shared" si="14"/>
        <v/>
      </c>
      <c r="I281" s="18">
        <f t="shared" si="9"/>
        <v>4600.866667</v>
      </c>
      <c r="J281" s="19">
        <f t="shared" si="10"/>
        <v>4687.233333</v>
      </c>
      <c r="K281" s="19"/>
      <c r="L281" s="19">
        <f t="shared" si="11"/>
        <v>4543.733333</v>
      </c>
      <c r="M281" s="19">
        <f t="shared" si="12"/>
        <v>4744.366667</v>
      </c>
      <c r="N281" s="19">
        <f t="shared" si="13"/>
        <v>4457.366667</v>
      </c>
    </row>
    <row r="282" ht="24.75" customHeight="1">
      <c r="A282" s="21" t="s">
        <v>245</v>
      </c>
      <c r="B282" s="13">
        <f>IFERROR(__xludf.DUMMYFUNCTION("GOOGLEFINANCE(A282,""PRICE"")"),576.1)</f>
        <v>576.1</v>
      </c>
      <c r="C282" s="14">
        <f>IFERROR(__xludf.DUMMYFUNCTION("GOOGLEFINANCE(A282,""PRICEOPEN"")"),585.5)</f>
        <v>585.5</v>
      </c>
      <c r="D282" s="14">
        <f>IFERROR(__xludf.DUMMYFUNCTION("GOOGLEFINANCE(A282,""HIGH"")"),587.8)</f>
        <v>587.8</v>
      </c>
      <c r="E282" s="14">
        <f>IFERROR(__xludf.DUMMYFUNCTION("GOOGLEFINANCE(A282,""LOW"")"),561.8)</f>
        <v>561.8</v>
      </c>
      <c r="F282" s="15" t="str">
        <f t="shared" si="8"/>
        <v/>
      </c>
      <c r="G282" s="16">
        <f>IFERROR(__xludf.DUMMYFUNCTION("GOOGLEFINANCE(A282,""CLOSEYEST"")"),602.9)</f>
        <v>602.9</v>
      </c>
      <c r="H282" s="17" t="str">
        <f t="shared" si="14"/>
        <v>GAP DOWN</v>
      </c>
      <c r="I282" s="18">
        <f t="shared" si="9"/>
        <v>584.1666667</v>
      </c>
      <c r="J282" s="19">
        <f t="shared" si="10"/>
        <v>606.5333333</v>
      </c>
      <c r="K282" s="19"/>
      <c r="L282" s="19">
        <f t="shared" si="11"/>
        <v>580.5333333</v>
      </c>
      <c r="M282" s="19">
        <f t="shared" si="12"/>
        <v>610.1666667</v>
      </c>
      <c r="N282" s="19">
        <f t="shared" si="13"/>
        <v>558.1666667</v>
      </c>
    </row>
    <row r="283" ht="24.75" customHeight="1">
      <c r="A283" s="21" t="s">
        <v>246</v>
      </c>
      <c r="B283" s="13">
        <f>IFERROR(__xludf.DUMMYFUNCTION("GOOGLEFINANCE(A283,""PRICE"")"),221.1)</f>
        <v>221.1</v>
      </c>
      <c r="C283" s="14">
        <f>IFERROR(__xludf.DUMMYFUNCTION("GOOGLEFINANCE(A283,""PRICEOPEN"")"),214.5)</f>
        <v>214.5</v>
      </c>
      <c r="D283" s="14">
        <f>IFERROR(__xludf.DUMMYFUNCTION("GOOGLEFINANCE(A283,""HIGH"")"),224.6)</f>
        <v>224.6</v>
      </c>
      <c r="E283" s="14">
        <f>IFERROR(__xludf.DUMMYFUNCTION("GOOGLEFINANCE(A283,""LOW"")"),214.5)</f>
        <v>214.5</v>
      </c>
      <c r="F283" s="15" t="str">
        <f t="shared" si="8"/>
        <v>BUY</v>
      </c>
      <c r="G283" s="16">
        <f>IFERROR(__xludf.DUMMYFUNCTION("GOOGLEFINANCE(A283,""CLOSEYEST"")"),214.5)</f>
        <v>214.5</v>
      </c>
      <c r="H283" s="17" t="str">
        <f t="shared" si="14"/>
        <v/>
      </c>
      <c r="I283" s="18">
        <f t="shared" si="9"/>
        <v>217.8666667</v>
      </c>
      <c r="J283" s="19">
        <f t="shared" si="10"/>
        <v>221.2333333</v>
      </c>
      <c r="K283" s="19"/>
      <c r="L283" s="19">
        <f t="shared" si="11"/>
        <v>211.1333333</v>
      </c>
      <c r="M283" s="19">
        <f t="shared" si="12"/>
        <v>227.9666667</v>
      </c>
      <c r="N283" s="19">
        <f t="shared" si="13"/>
        <v>207.7666667</v>
      </c>
    </row>
    <row r="284" ht="24.75" customHeight="1">
      <c r="A284" s="21" t="s">
        <v>247</v>
      </c>
      <c r="B284" s="13">
        <f>IFERROR(__xludf.DUMMYFUNCTION("GOOGLEFINANCE(A284,""PRICE"")"),13845.0)</f>
        <v>13845</v>
      </c>
      <c r="C284" s="14">
        <f>IFERROR(__xludf.DUMMYFUNCTION("GOOGLEFINANCE(A284,""PRICEOPEN"")"),13600.0)</f>
        <v>13600</v>
      </c>
      <c r="D284" s="14">
        <f>IFERROR(__xludf.DUMMYFUNCTION("GOOGLEFINANCE(A284,""HIGH"")"),14021.0)</f>
        <v>14021</v>
      </c>
      <c r="E284" s="14">
        <f>IFERROR(__xludf.DUMMYFUNCTION("GOOGLEFINANCE(A284,""LOW"")"),13600.0)</f>
        <v>13600</v>
      </c>
      <c r="F284" s="15" t="str">
        <f t="shared" si="8"/>
        <v>BUY</v>
      </c>
      <c r="G284" s="16">
        <f>IFERROR(__xludf.DUMMYFUNCTION("GOOGLEFINANCE(A284,""CLOSEYEST"")"),13374.0)</f>
        <v>13374</v>
      </c>
      <c r="H284" s="17" t="str">
        <f t="shared" si="14"/>
        <v>GAP UP</v>
      </c>
      <c r="I284" s="18">
        <f t="shared" si="9"/>
        <v>13665</v>
      </c>
      <c r="J284" s="19">
        <f t="shared" si="10"/>
        <v>13730</v>
      </c>
      <c r="K284" s="19"/>
      <c r="L284" s="19">
        <f t="shared" si="11"/>
        <v>13309</v>
      </c>
      <c r="M284" s="19">
        <f t="shared" si="12"/>
        <v>14086</v>
      </c>
      <c r="N284" s="19">
        <f t="shared" si="13"/>
        <v>13244</v>
      </c>
    </row>
    <row r="285" ht="24.75" customHeight="1">
      <c r="A285" s="21" t="s">
        <v>248</v>
      </c>
      <c r="B285" s="13" t="str">
        <f>IFERROR(__xludf.DUMMYFUNCTION("GOOGLEFINANCE(A285,""PRICE"")"),"#N/A")</f>
        <v>#N/A</v>
      </c>
      <c r="C285" s="14" t="str">
        <f>IFERROR(__xludf.DUMMYFUNCTION("GOOGLEFINANCE(A285,""PRICEOPEN"")"),"#N/A")</f>
        <v>#N/A</v>
      </c>
      <c r="D285" s="14" t="str">
        <f>IFERROR(__xludf.DUMMYFUNCTION("GOOGLEFINANCE(A285,""HIGH"")"),"#N/A")</f>
        <v>#N/A</v>
      </c>
      <c r="E285" s="14" t="str">
        <f>IFERROR(__xludf.DUMMYFUNCTION("GOOGLEFINANCE(A285,""LOW"")"),"#N/A")</f>
        <v>#N/A</v>
      </c>
      <c r="F285" s="15" t="str">
        <f t="shared" si="8"/>
        <v>#N/A</v>
      </c>
      <c r="G285" s="16" t="str">
        <f>IFERROR(__xludf.DUMMYFUNCTION("GOOGLEFINANCE(A285,""CLOSEYEST"")"),"#N/A")</f>
        <v>#N/A</v>
      </c>
      <c r="H285" s="17" t="str">
        <f t="shared" si="14"/>
        <v>#N/A</v>
      </c>
      <c r="I285" s="18" t="str">
        <f t="shared" si="9"/>
        <v>#N/A</v>
      </c>
      <c r="J285" s="19" t="str">
        <f t="shared" si="10"/>
        <v>#N/A</v>
      </c>
      <c r="K285" s="19"/>
      <c r="L285" s="19" t="str">
        <f t="shared" si="11"/>
        <v>#N/A</v>
      </c>
      <c r="M285" s="19" t="str">
        <f t="shared" si="12"/>
        <v>#N/A</v>
      </c>
      <c r="N285" s="19" t="str">
        <f t="shared" si="13"/>
        <v>#N/A</v>
      </c>
    </row>
    <row r="286" ht="24.75" customHeight="1">
      <c r="A286" s="21" t="s">
        <v>249</v>
      </c>
      <c r="B286" s="13">
        <f>IFERROR(__xludf.DUMMYFUNCTION("GOOGLEFINANCE(A286,""PRICE"")"),275.75)</f>
        <v>275.75</v>
      </c>
      <c r="C286" s="14">
        <f>IFERROR(__xludf.DUMMYFUNCTION("GOOGLEFINANCE(A286,""PRICEOPEN"")"),275.0)</f>
        <v>275</v>
      </c>
      <c r="D286" s="14">
        <f>IFERROR(__xludf.DUMMYFUNCTION("GOOGLEFINANCE(A286,""HIGH"")"),276.9)</f>
        <v>276.9</v>
      </c>
      <c r="E286" s="14">
        <f>IFERROR(__xludf.DUMMYFUNCTION("GOOGLEFINANCE(A286,""LOW"")"),269.5)</f>
        <v>269.5</v>
      </c>
      <c r="F286" s="15" t="str">
        <f t="shared" si="8"/>
        <v/>
      </c>
      <c r="G286" s="16">
        <f>IFERROR(__xludf.DUMMYFUNCTION("GOOGLEFINANCE(A286,""CLOSEYEST"")"),273.4)</f>
        <v>273.4</v>
      </c>
      <c r="H286" s="17" t="str">
        <f t="shared" si="14"/>
        <v/>
      </c>
      <c r="I286" s="18">
        <f t="shared" si="9"/>
        <v>273.2666667</v>
      </c>
      <c r="J286" s="19">
        <f t="shared" si="10"/>
        <v>277.0333333</v>
      </c>
      <c r="K286" s="19"/>
      <c r="L286" s="19">
        <f t="shared" si="11"/>
        <v>269.6333333</v>
      </c>
      <c r="M286" s="19">
        <f t="shared" si="12"/>
        <v>280.6666667</v>
      </c>
      <c r="N286" s="19">
        <f t="shared" si="13"/>
        <v>265.8666667</v>
      </c>
    </row>
    <row r="287" ht="24.75" customHeight="1">
      <c r="A287" s="21" t="s">
        <v>250</v>
      </c>
      <c r="B287" s="13">
        <f>IFERROR(__xludf.DUMMYFUNCTION("GOOGLEFINANCE(A287,""PRICE"")"),2401.9)</f>
        <v>2401.9</v>
      </c>
      <c r="C287" s="14">
        <f>IFERROR(__xludf.DUMMYFUNCTION("GOOGLEFINANCE(A287,""PRICEOPEN"")"),2412.0)</f>
        <v>2412</v>
      </c>
      <c r="D287" s="14">
        <f>IFERROR(__xludf.DUMMYFUNCTION("GOOGLEFINANCE(A287,""HIGH"")"),2420.7)</f>
        <v>2420.7</v>
      </c>
      <c r="E287" s="14">
        <f>IFERROR(__xludf.DUMMYFUNCTION("GOOGLEFINANCE(A287,""LOW"")"),2379.3)</f>
        <v>2379.3</v>
      </c>
      <c r="F287" s="15" t="str">
        <f t="shared" si="8"/>
        <v/>
      </c>
      <c r="G287" s="16">
        <f>IFERROR(__xludf.DUMMYFUNCTION("GOOGLEFINANCE(A287,""CLOSEYEST"")"),2398.2)</f>
        <v>2398.2</v>
      </c>
      <c r="H287" s="17" t="str">
        <f t="shared" si="14"/>
        <v/>
      </c>
      <c r="I287" s="18">
        <f t="shared" si="9"/>
        <v>2399.4</v>
      </c>
      <c r="J287" s="19">
        <f t="shared" si="10"/>
        <v>2419.5</v>
      </c>
      <c r="K287" s="19"/>
      <c r="L287" s="19">
        <f t="shared" si="11"/>
        <v>2378.1</v>
      </c>
      <c r="M287" s="19">
        <f t="shared" si="12"/>
        <v>2440.8</v>
      </c>
      <c r="N287" s="19">
        <f t="shared" si="13"/>
        <v>2358</v>
      </c>
    </row>
    <row r="288" ht="24.75" customHeight="1">
      <c r="A288" s="21" t="s">
        <v>251</v>
      </c>
      <c r="B288" s="13">
        <f>IFERROR(__xludf.DUMMYFUNCTION("GOOGLEFINANCE(A288,""PRICE"")"),525.95)</f>
        <v>525.95</v>
      </c>
      <c r="C288" s="14">
        <f>IFERROR(__xludf.DUMMYFUNCTION("GOOGLEFINANCE(A288,""PRICEOPEN"")"),528.0)</f>
        <v>528</v>
      </c>
      <c r="D288" s="14">
        <f>IFERROR(__xludf.DUMMYFUNCTION("GOOGLEFINANCE(A288,""HIGH"")"),531.0)</f>
        <v>531</v>
      </c>
      <c r="E288" s="14">
        <f>IFERROR(__xludf.DUMMYFUNCTION("GOOGLEFINANCE(A288,""LOW"")"),522.5)</f>
        <v>522.5</v>
      </c>
      <c r="F288" s="15" t="str">
        <f t="shared" si="8"/>
        <v/>
      </c>
      <c r="G288" s="16">
        <f>IFERROR(__xludf.DUMMYFUNCTION("GOOGLEFINANCE(A288,""CLOSEYEST"")"),525.8)</f>
        <v>525.8</v>
      </c>
      <c r="H288" s="17" t="str">
        <f t="shared" si="14"/>
        <v/>
      </c>
      <c r="I288" s="18">
        <f t="shared" si="9"/>
        <v>526.4333333</v>
      </c>
      <c r="J288" s="19">
        <f t="shared" si="10"/>
        <v>530.3666667</v>
      </c>
      <c r="K288" s="19"/>
      <c r="L288" s="19">
        <f t="shared" si="11"/>
        <v>521.8666667</v>
      </c>
      <c r="M288" s="19">
        <f t="shared" si="12"/>
        <v>534.9333333</v>
      </c>
      <c r="N288" s="19">
        <f t="shared" si="13"/>
        <v>517.9333333</v>
      </c>
    </row>
    <row r="289" ht="24.75" customHeight="1">
      <c r="A289" s="21" t="s">
        <v>252</v>
      </c>
      <c r="B289" s="13">
        <f>IFERROR(__xludf.DUMMYFUNCTION("GOOGLEFINANCE(A289,""PRICE"")"),1156.0)</f>
        <v>1156</v>
      </c>
      <c r="C289" s="14">
        <f>IFERROR(__xludf.DUMMYFUNCTION("GOOGLEFINANCE(A289,""PRICEOPEN"")"),1153.2)</f>
        <v>1153.2</v>
      </c>
      <c r="D289" s="14">
        <f>IFERROR(__xludf.DUMMYFUNCTION("GOOGLEFINANCE(A289,""HIGH"")"),1160.6)</f>
        <v>1160.6</v>
      </c>
      <c r="E289" s="14">
        <f>IFERROR(__xludf.DUMMYFUNCTION("GOOGLEFINANCE(A289,""LOW"")"),1142.0)</f>
        <v>1142</v>
      </c>
      <c r="F289" s="15" t="str">
        <f t="shared" si="8"/>
        <v/>
      </c>
      <c r="G289" s="16">
        <f>IFERROR(__xludf.DUMMYFUNCTION("GOOGLEFINANCE(A289,""CLOSEYEST"")"),1153.2)</f>
        <v>1153.2</v>
      </c>
      <c r="H289" s="17" t="str">
        <f t="shared" si="14"/>
        <v/>
      </c>
      <c r="I289" s="18">
        <f t="shared" si="9"/>
        <v>1151.933333</v>
      </c>
      <c r="J289" s="19">
        <f t="shared" si="10"/>
        <v>1161.866667</v>
      </c>
      <c r="K289" s="19"/>
      <c r="L289" s="19">
        <f t="shared" si="11"/>
        <v>1143.266667</v>
      </c>
      <c r="M289" s="19">
        <f t="shared" si="12"/>
        <v>1170.533333</v>
      </c>
      <c r="N289" s="19">
        <f t="shared" si="13"/>
        <v>1133.333333</v>
      </c>
    </row>
    <row r="290" ht="24.75" customHeight="1">
      <c r="A290" s="21" t="s">
        <v>253</v>
      </c>
      <c r="B290" s="13">
        <f>IFERROR(__xludf.DUMMYFUNCTION("GOOGLEFINANCE(A290,""PRICE"")"),538.15)</f>
        <v>538.15</v>
      </c>
      <c r="C290" s="14">
        <f>IFERROR(__xludf.DUMMYFUNCTION("GOOGLEFINANCE(A290,""PRICEOPEN"")"),549.0)</f>
        <v>549</v>
      </c>
      <c r="D290" s="14">
        <f>IFERROR(__xludf.DUMMYFUNCTION("GOOGLEFINANCE(A290,""HIGH"")"),549.0)</f>
        <v>549</v>
      </c>
      <c r="E290" s="14">
        <f>IFERROR(__xludf.DUMMYFUNCTION("GOOGLEFINANCE(A290,""LOW"")"),533.65)</f>
        <v>533.65</v>
      </c>
      <c r="F290" s="15" t="str">
        <f t="shared" si="8"/>
        <v>SELL</v>
      </c>
      <c r="G290" s="16">
        <f>IFERROR(__xludf.DUMMYFUNCTION("GOOGLEFINANCE(A290,""CLOSEYEST"")"),544.05)</f>
        <v>544.05</v>
      </c>
      <c r="H290" s="17" t="str">
        <f t="shared" si="14"/>
        <v/>
      </c>
      <c r="I290" s="18">
        <f t="shared" si="9"/>
        <v>542.2333333</v>
      </c>
      <c r="J290" s="19">
        <f t="shared" si="10"/>
        <v>550.8166667</v>
      </c>
      <c r="K290" s="19"/>
      <c r="L290" s="19">
        <f t="shared" si="11"/>
        <v>535.4666667</v>
      </c>
      <c r="M290" s="19">
        <f t="shared" si="12"/>
        <v>557.5833333</v>
      </c>
      <c r="N290" s="19">
        <f t="shared" si="13"/>
        <v>526.8833333</v>
      </c>
    </row>
    <row r="291" ht="24.75" customHeight="1">
      <c r="A291" s="21" t="s">
        <v>254</v>
      </c>
      <c r="B291" s="13">
        <f>IFERROR(__xludf.DUMMYFUNCTION("GOOGLEFINANCE(A291,""PRICE"")"),1534.3)</f>
        <v>1534.3</v>
      </c>
      <c r="C291" s="14">
        <f>IFERROR(__xludf.DUMMYFUNCTION("GOOGLEFINANCE(A291,""PRICEOPEN"")"),1549.1)</f>
        <v>1549.1</v>
      </c>
      <c r="D291" s="14">
        <f>IFERROR(__xludf.DUMMYFUNCTION("GOOGLEFINANCE(A291,""HIGH"")"),1554.0)</f>
        <v>1554</v>
      </c>
      <c r="E291" s="14">
        <f>IFERROR(__xludf.DUMMYFUNCTION("GOOGLEFINANCE(A291,""LOW"")"),1510.3)</f>
        <v>1510.3</v>
      </c>
      <c r="F291" s="15" t="str">
        <f t="shared" si="8"/>
        <v/>
      </c>
      <c r="G291" s="16">
        <f>IFERROR(__xludf.DUMMYFUNCTION("GOOGLEFINANCE(A291,""CLOSEYEST"")"),1542.1)</f>
        <v>1542.1</v>
      </c>
      <c r="H291" s="17" t="str">
        <f t="shared" si="14"/>
        <v/>
      </c>
      <c r="I291" s="18">
        <f t="shared" si="9"/>
        <v>1535.466667</v>
      </c>
      <c r="J291" s="19">
        <f t="shared" si="10"/>
        <v>1560.633333</v>
      </c>
      <c r="K291" s="19"/>
      <c r="L291" s="19">
        <f t="shared" si="11"/>
        <v>1516.933333</v>
      </c>
      <c r="M291" s="19">
        <f t="shared" si="12"/>
        <v>1579.166667</v>
      </c>
      <c r="N291" s="19">
        <f t="shared" si="13"/>
        <v>1491.766667</v>
      </c>
    </row>
    <row r="292" ht="24.75" customHeight="1">
      <c r="A292" s="21" t="s">
        <v>255</v>
      </c>
      <c r="B292" s="13">
        <f>IFERROR(__xludf.DUMMYFUNCTION("GOOGLEFINANCE(A292,""PRICE"")"),4869.1)</f>
        <v>4869.1</v>
      </c>
      <c r="C292" s="14">
        <f>IFERROR(__xludf.DUMMYFUNCTION("GOOGLEFINANCE(A292,""PRICEOPEN"")"),4845.0)</f>
        <v>4845</v>
      </c>
      <c r="D292" s="14">
        <f>IFERROR(__xludf.DUMMYFUNCTION("GOOGLEFINANCE(A292,""HIGH"")"),4950.0)</f>
        <v>4950</v>
      </c>
      <c r="E292" s="14">
        <f>IFERROR(__xludf.DUMMYFUNCTION("GOOGLEFINANCE(A292,""LOW"")"),4829.8)</f>
        <v>4829.8</v>
      </c>
      <c r="F292" s="15" t="str">
        <f t="shared" si="8"/>
        <v/>
      </c>
      <c r="G292" s="16">
        <f>IFERROR(__xludf.DUMMYFUNCTION("GOOGLEFINANCE(A292,""CLOSEYEST"")"),4766.2)</f>
        <v>4766.2</v>
      </c>
      <c r="H292" s="17" t="str">
        <f t="shared" si="14"/>
        <v>GAP UP</v>
      </c>
      <c r="I292" s="18">
        <f t="shared" si="9"/>
        <v>4848.666667</v>
      </c>
      <c r="J292" s="19">
        <f t="shared" si="10"/>
        <v>4867.533333</v>
      </c>
      <c r="K292" s="19"/>
      <c r="L292" s="19">
        <f t="shared" si="11"/>
        <v>4747.333333</v>
      </c>
      <c r="M292" s="19">
        <f t="shared" si="12"/>
        <v>4968.866667</v>
      </c>
      <c r="N292" s="19">
        <f t="shared" si="13"/>
        <v>4728.466667</v>
      </c>
    </row>
    <row r="293" ht="24.75" customHeight="1">
      <c r="A293" s="21" t="s">
        <v>256</v>
      </c>
      <c r="B293" s="13">
        <f>IFERROR(__xludf.DUMMYFUNCTION("GOOGLEFINANCE(A293,""PRICE"")"),1.7)</f>
        <v>1.7</v>
      </c>
      <c r="C293" s="14">
        <f>IFERROR(__xludf.DUMMYFUNCTION("GOOGLEFINANCE(A293,""PRICEOPEN"")"),1.7)</f>
        <v>1.7</v>
      </c>
      <c r="D293" s="14">
        <f>IFERROR(__xludf.DUMMYFUNCTION("GOOGLEFINANCE(A293,""HIGH"")"),1.75)</f>
        <v>1.75</v>
      </c>
      <c r="E293" s="14">
        <f>IFERROR(__xludf.DUMMYFUNCTION("GOOGLEFINANCE(A293,""LOW"")"),1.69)</f>
        <v>1.69</v>
      </c>
      <c r="F293" s="15" t="str">
        <f t="shared" si="8"/>
        <v/>
      </c>
      <c r="G293" s="16">
        <f>IFERROR(__xludf.DUMMYFUNCTION("GOOGLEFINANCE(A293,""CLOSEYEST"")"),1.72)</f>
        <v>1.72</v>
      </c>
      <c r="H293" s="17" t="str">
        <f t="shared" si="14"/>
        <v>GAP DOWN</v>
      </c>
      <c r="I293" s="18">
        <f t="shared" si="9"/>
        <v>1.72</v>
      </c>
      <c r="J293" s="19">
        <f t="shared" si="10"/>
        <v>1.75</v>
      </c>
      <c r="K293" s="19"/>
      <c r="L293" s="19">
        <f t="shared" si="11"/>
        <v>1.69</v>
      </c>
      <c r="M293" s="19">
        <f t="shared" si="12"/>
        <v>1.78</v>
      </c>
      <c r="N293" s="19">
        <f t="shared" si="13"/>
        <v>1.66</v>
      </c>
    </row>
    <row r="294" ht="24.75" customHeight="1">
      <c r="A294" s="21" t="s">
        <v>257</v>
      </c>
      <c r="B294" s="13">
        <f>IFERROR(__xludf.DUMMYFUNCTION("GOOGLEFINANCE(A294,""PRICE"")"),1887.0)</f>
        <v>1887</v>
      </c>
      <c r="C294" s="14">
        <f>IFERROR(__xludf.DUMMYFUNCTION("GOOGLEFINANCE(A294,""PRICEOPEN"")"),1910.0)</f>
        <v>1910</v>
      </c>
      <c r="D294" s="14">
        <f>IFERROR(__xludf.DUMMYFUNCTION("GOOGLEFINANCE(A294,""HIGH"")"),1922.3)</f>
        <v>1922.3</v>
      </c>
      <c r="E294" s="14">
        <f>IFERROR(__xludf.DUMMYFUNCTION("GOOGLEFINANCE(A294,""LOW"")"),1880.0)</f>
        <v>1880</v>
      </c>
      <c r="F294" s="15" t="str">
        <f t="shared" si="8"/>
        <v/>
      </c>
      <c r="G294" s="16">
        <f>IFERROR(__xludf.DUMMYFUNCTION("GOOGLEFINANCE(A294,""CLOSEYEST"")"),1899.5)</f>
        <v>1899.5</v>
      </c>
      <c r="H294" s="17" t="str">
        <f t="shared" si="14"/>
        <v/>
      </c>
      <c r="I294" s="18">
        <f t="shared" si="9"/>
        <v>1900.6</v>
      </c>
      <c r="J294" s="19">
        <f t="shared" si="10"/>
        <v>1921.2</v>
      </c>
      <c r="K294" s="19"/>
      <c r="L294" s="19">
        <f t="shared" si="11"/>
        <v>1878.9</v>
      </c>
      <c r="M294" s="19">
        <f t="shared" si="12"/>
        <v>1942.9</v>
      </c>
      <c r="N294" s="19">
        <f t="shared" si="13"/>
        <v>1858.3</v>
      </c>
    </row>
    <row r="295" ht="24.75" customHeight="1">
      <c r="A295" s="21" t="s">
        <v>258</v>
      </c>
      <c r="B295" s="13">
        <f>IFERROR(__xludf.DUMMYFUNCTION("GOOGLEFINANCE(A295,""PRICE"")"),37.8)</f>
        <v>37.8</v>
      </c>
      <c r="C295" s="14">
        <f>IFERROR(__xludf.DUMMYFUNCTION("GOOGLEFINANCE(A295,""PRICEOPEN"")"),37.65)</f>
        <v>37.65</v>
      </c>
      <c r="D295" s="14">
        <f>IFERROR(__xludf.DUMMYFUNCTION("GOOGLEFINANCE(A295,""HIGH"")"),38.06)</f>
        <v>38.06</v>
      </c>
      <c r="E295" s="14">
        <f>IFERROR(__xludf.DUMMYFUNCTION("GOOGLEFINANCE(A295,""LOW"")"),37.51)</f>
        <v>37.51</v>
      </c>
      <c r="F295" s="15" t="str">
        <f t="shared" si="8"/>
        <v/>
      </c>
      <c r="G295" s="16">
        <f>IFERROR(__xludf.DUMMYFUNCTION("GOOGLEFINANCE(A295,""CLOSEYEST"")"),37.63)</f>
        <v>37.63</v>
      </c>
      <c r="H295" s="17" t="str">
        <f t="shared" si="14"/>
        <v/>
      </c>
      <c r="I295" s="18">
        <f t="shared" si="9"/>
        <v>37.73333333</v>
      </c>
      <c r="J295" s="19">
        <f t="shared" si="10"/>
        <v>37.95666667</v>
      </c>
      <c r="K295" s="19"/>
      <c r="L295" s="19">
        <f t="shared" si="11"/>
        <v>37.40666667</v>
      </c>
      <c r="M295" s="19">
        <f t="shared" si="12"/>
        <v>38.28333333</v>
      </c>
      <c r="N295" s="19">
        <f t="shared" si="13"/>
        <v>37.18333333</v>
      </c>
    </row>
    <row r="296" ht="24.75" customHeight="1">
      <c r="A296" s="21" t="s">
        <v>259</v>
      </c>
      <c r="B296" s="13">
        <f>IFERROR(__xludf.DUMMYFUNCTION("GOOGLEFINANCE(A296,""PRICE"")"),938.95)</f>
        <v>938.95</v>
      </c>
      <c r="C296" s="14">
        <f>IFERROR(__xludf.DUMMYFUNCTION("GOOGLEFINANCE(A296,""PRICEOPEN"")"),916.5)</f>
        <v>916.5</v>
      </c>
      <c r="D296" s="14">
        <f>IFERROR(__xludf.DUMMYFUNCTION("GOOGLEFINANCE(A296,""HIGH"")"),939.9)</f>
        <v>939.9</v>
      </c>
      <c r="E296" s="14">
        <f>IFERROR(__xludf.DUMMYFUNCTION("GOOGLEFINANCE(A296,""LOW"")"),916.0)</f>
        <v>916</v>
      </c>
      <c r="F296" s="15" t="str">
        <f t="shared" si="8"/>
        <v/>
      </c>
      <c r="G296" s="16">
        <f>IFERROR(__xludf.DUMMYFUNCTION("GOOGLEFINANCE(A296,""CLOSEYEST"")"),916.45)</f>
        <v>916.45</v>
      </c>
      <c r="H296" s="17" t="str">
        <f t="shared" si="14"/>
        <v/>
      </c>
      <c r="I296" s="18">
        <f t="shared" si="9"/>
        <v>924.1166667</v>
      </c>
      <c r="J296" s="19">
        <f t="shared" si="10"/>
        <v>932.2333333</v>
      </c>
      <c r="K296" s="19"/>
      <c r="L296" s="19">
        <f t="shared" si="11"/>
        <v>908.3333333</v>
      </c>
      <c r="M296" s="19">
        <f t="shared" si="12"/>
        <v>948.0166667</v>
      </c>
      <c r="N296" s="19">
        <f t="shared" si="13"/>
        <v>900.2166667</v>
      </c>
    </row>
    <row r="297" ht="24.75" customHeight="1">
      <c r="A297" s="21" t="s">
        <v>260</v>
      </c>
      <c r="B297" s="13">
        <f>IFERROR(__xludf.DUMMYFUNCTION("GOOGLEFINANCE(A297,""PRICE"")"),1021.0)</f>
        <v>1021</v>
      </c>
      <c r="C297" s="14">
        <f>IFERROR(__xludf.DUMMYFUNCTION("GOOGLEFINANCE(A297,""PRICEOPEN"")"),1010.4)</f>
        <v>1010.4</v>
      </c>
      <c r="D297" s="14">
        <f>IFERROR(__xludf.DUMMYFUNCTION("GOOGLEFINANCE(A297,""HIGH"")"),1028.5)</f>
        <v>1028.5</v>
      </c>
      <c r="E297" s="14">
        <f>IFERROR(__xludf.DUMMYFUNCTION("GOOGLEFINANCE(A297,""LOW"")"),1007.3)</f>
        <v>1007.3</v>
      </c>
      <c r="F297" s="15" t="str">
        <f t="shared" si="8"/>
        <v/>
      </c>
      <c r="G297" s="16">
        <f>IFERROR(__xludf.DUMMYFUNCTION("GOOGLEFINANCE(A297,""CLOSEYEST"")"),1010.4)</f>
        <v>1010.4</v>
      </c>
      <c r="H297" s="17" t="str">
        <f t="shared" si="14"/>
        <v/>
      </c>
      <c r="I297" s="18">
        <f t="shared" si="9"/>
        <v>1015.4</v>
      </c>
      <c r="J297" s="19">
        <f t="shared" si="10"/>
        <v>1023.5</v>
      </c>
      <c r="K297" s="19"/>
      <c r="L297" s="19">
        <f t="shared" si="11"/>
        <v>1002.3</v>
      </c>
      <c r="M297" s="19">
        <f t="shared" si="12"/>
        <v>1036.6</v>
      </c>
      <c r="N297" s="19">
        <f t="shared" si="13"/>
        <v>994.2</v>
      </c>
    </row>
    <row r="298" ht="24.75" customHeight="1">
      <c r="A298" s="21" t="s">
        <v>261</v>
      </c>
      <c r="B298" s="13">
        <f>IFERROR(__xludf.DUMMYFUNCTION("GOOGLEFINANCE(A298,""PRICE"")"),323.0)</f>
        <v>323</v>
      </c>
      <c r="C298" s="14">
        <f>IFERROR(__xludf.DUMMYFUNCTION("GOOGLEFINANCE(A298,""PRICEOPEN"")"),318.25)</f>
        <v>318.25</v>
      </c>
      <c r="D298" s="14">
        <f>IFERROR(__xludf.DUMMYFUNCTION("GOOGLEFINANCE(A298,""HIGH"")"),328.1)</f>
        <v>328.1</v>
      </c>
      <c r="E298" s="14">
        <f>IFERROR(__xludf.DUMMYFUNCTION("GOOGLEFINANCE(A298,""LOW"")"),314.75)</f>
        <v>314.75</v>
      </c>
      <c r="F298" s="15" t="str">
        <f t="shared" si="8"/>
        <v/>
      </c>
      <c r="G298" s="16">
        <f>IFERROR(__xludf.DUMMYFUNCTION("GOOGLEFINANCE(A298,""CLOSEYEST"")"),318.25)</f>
        <v>318.25</v>
      </c>
      <c r="H298" s="17" t="str">
        <f t="shared" si="14"/>
        <v/>
      </c>
      <c r="I298" s="18">
        <f t="shared" si="9"/>
        <v>320.3666667</v>
      </c>
      <c r="J298" s="19">
        <f t="shared" si="10"/>
        <v>325.9833333</v>
      </c>
      <c r="K298" s="19"/>
      <c r="L298" s="19">
        <f t="shared" si="11"/>
        <v>312.6333333</v>
      </c>
      <c r="M298" s="19">
        <f t="shared" si="12"/>
        <v>333.7166667</v>
      </c>
      <c r="N298" s="19">
        <f t="shared" si="13"/>
        <v>307.0166667</v>
      </c>
    </row>
    <row r="299" ht="24.75" customHeight="1">
      <c r="A299" s="21" t="s">
        <v>262</v>
      </c>
      <c r="B299" s="13">
        <f>IFERROR(__xludf.DUMMYFUNCTION("GOOGLEFINANCE(A299,""PRICE"")"),1939.0)</f>
        <v>1939</v>
      </c>
      <c r="C299" s="14">
        <f>IFERROR(__xludf.DUMMYFUNCTION("GOOGLEFINANCE(A299,""PRICEOPEN"")"),1975.1)</f>
        <v>1975.1</v>
      </c>
      <c r="D299" s="14">
        <f>IFERROR(__xludf.DUMMYFUNCTION("GOOGLEFINANCE(A299,""HIGH"")"),1979.0)</f>
        <v>1979</v>
      </c>
      <c r="E299" s="14">
        <f>IFERROR(__xludf.DUMMYFUNCTION("GOOGLEFINANCE(A299,""LOW"")"),1915.6)</f>
        <v>1915.6</v>
      </c>
      <c r="F299" s="15" t="str">
        <f t="shared" si="8"/>
        <v/>
      </c>
      <c r="G299" s="16">
        <f>IFERROR(__xludf.DUMMYFUNCTION("GOOGLEFINANCE(A299,""CLOSEYEST"")"),1964.8)</f>
        <v>1964.8</v>
      </c>
      <c r="H299" s="17" t="str">
        <f t="shared" si="14"/>
        <v/>
      </c>
      <c r="I299" s="18">
        <f t="shared" si="9"/>
        <v>1953.133333</v>
      </c>
      <c r="J299" s="19">
        <f t="shared" si="10"/>
        <v>1990.666667</v>
      </c>
      <c r="K299" s="19"/>
      <c r="L299" s="19">
        <f t="shared" si="11"/>
        <v>1927.266667</v>
      </c>
      <c r="M299" s="19">
        <f t="shared" si="12"/>
        <v>2016.533333</v>
      </c>
      <c r="N299" s="19">
        <f t="shared" si="13"/>
        <v>1889.733333</v>
      </c>
    </row>
    <row r="300" ht="24.75" customHeight="1">
      <c r="A300" s="21" t="s">
        <v>263</v>
      </c>
      <c r="B300" s="13">
        <f>IFERROR(__xludf.DUMMYFUNCTION("GOOGLEFINANCE(A300,""PRICE"")"),767.4)</f>
        <v>767.4</v>
      </c>
      <c r="C300" s="14">
        <f>IFERROR(__xludf.DUMMYFUNCTION("GOOGLEFINANCE(A300,""PRICEOPEN"")"),742.0)</f>
        <v>742</v>
      </c>
      <c r="D300" s="14">
        <f>IFERROR(__xludf.DUMMYFUNCTION("GOOGLEFINANCE(A300,""HIGH"")"),769.3)</f>
        <v>769.3</v>
      </c>
      <c r="E300" s="14">
        <f>IFERROR(__xludf.DUMMYFUNCTION("GOOGLEFINANCE(A300,""LOW"")"),742.0)</f>
        <v>742</v>
      </c>
      <c r="F300" s="15" t="str">
        <f t="shared" si="8"/>
        <v>BUY</v>
      </c>
      <c r="G300" s="16">
        <f>IFERROR(__xludf.DUMMYFUNCTION("GOOGLEFINANCE(A300,""CLOSEYEST"")"),737.05)</f>
        <v>737.05</v>
      </c>
      <c r="H300" s="17" t="str">
        <f t="shared" si="14"/>
        <v/>
      </c>
      <c r="I300" s="18">
        <f t="shared" si="9"/>
        <v>749.45</v>
      </c>
      <c r="J300" s="19">
        <f t="shared" si="10"/>
        <v>756.9</v>
      </c>
      <c r="K300" s="19"/>
      <c r="L300" s="19">
        <f t="shared" si="11"/>
        <v>729.6</v>
      </c>
      <c r="M300" s="19">
        <f t="shared" si="12"/>
        <v>776.75</v>
      </c>
      <c r="N300" s="19">
        <f t="shared" si="13"/>
        <v>722.15</v>
      </c>
    </row>
    <row r="301" ht="24.75" customHeight="1">
      <c r="A301" s="21" t="s">
        <v>264</v>
      </c>
      <c r="B301" s="13">
        <f>IFERROR(__xludf.DUMMYFUNCTION("GOOGLEFINANCE(A301,""PRICE"")"),1243.0)</f>
        <v>1243</v>
      </c>
      <c r="C301" s="14">
        <f>IFERROR(__xludf.DUMMYFUNCTION("GOOGLEFINANCE(A301,""PRICEOPEN"")"),1231.2)</f>
        <v>1231.2</v>
      </c>
      <c r="D301" s="14">
        <f>IFERROR(__xludf.DUMMYFUNCTION("GOOGLEFINANCE(A301,""HIGH"")"),1244.6)</f>
        <v>1244.6</v>
      </c>
      <c r="E301" s="14">
        <f>IFERROR(__xludf.DUMMYFUNCTION("GOOGLEFINANCE(A301,""LOW"")"),1225.1)</f>
        <v>1225.1</v>
      </c>
      <c r="F301" s="15" t="str">
        <f t="shared" si="8"/>
        <v/>
      </c>
      <c r="G301" s="16">
        <f>IFERROR(__xludf.DUMMYFUNCTION("GOOGLEFINANCE(A301,""CLOSEYEST"")"),1230.8)</f>
        <v>1230.8</v>
      </c>
      <c r="H301" s="17" t="str">
        <f t="shared" si="14"/>
        <v/>
      </c>
      <c r="I301" s="18">
        <f t="shared" si="9"/>
        <v>1233.5</v>
      </c>
      <c r="J301" s="19">
        <f t="shared" si="10"/>
        <v>1241.9</v>
      </c>
      <c r="K301" s="19"/>
      <c r="L301" s="19">
        <f t="shared" si="11"/>
        <v>1222.4</v>
      </c>
      <c r="M301" s="19">
        <f t="shared" si="12"/>
        <v>1253</v>
      </c>
      <c r="N301" s="19">
        <f t="shared" si="13"/>
        <v>1214</v>
      </c>
    </row>
    <row r="302" ht="24.75" customHeight="1">
      <c r="A302" s="21" t="s">
        <v>265</v>
      </c>
      <c r="B302" s="13">
        <f>IFERROR(__xludf.DUMMYFUNCTION("GOOGLEFINANCE(A302,""PRICE"")"),519.6)</f>
        <v>519.6</v>
      </c>
      <c r="C302" s="14">
        <f>IFERROR(__xludf.DUMMYFUNCTION("GOOGLEFINANCE(A302,""PRICEOPEN"")"),510.6)</f>
        <v>510.6</v>
      </c>
      <c r="D302" s="14">
        <f>IFERROR(__xludf.DUMMYFUNCTION("GOOGLEFINANCE(A302,""HIGH"")"),521.35)</f>
        <v>521.35</v>
      </c>
      <c r="E302" s="14">
        <f>IFERROR(__xludf.DUMMYFUNCTION("GOOGLEFINANCE(A302,""LOW"")"),510.6)</f>
        <v>510.6</v>
      </c>
      <c r="F302" s="15" t="str">
        <f t="shared" si="8"/>
        <v>BUY</v>
      </c>
      <c r="G302" s="16">
        <f>IFERROR(__xludf.DUMMYFUNCTION("GOOGLEFINANCE(A302,""CLOSEYEST"")"),510.6)</f>
        <v>510.6</v>
      </c>
      <c r="H302" s="17" t="str">
        <f t="shared" si="14"/>
        <v/>
      </c>
      <c r="I302" s="18">
        <f t="shared" si="9"/>
        <v>514.1833333</v>
      </c>
      <c r="J302" s="19">
        <f t="shared" si="10"/>
        <v>517.7666667</v>
      </c>
      <c r="K302" s="19"/>
      <c r="L302" s="19">
        <f t="shared" si="11"/>
        <v>507.0166667</v>
      </c>
      <c r="M302" s="19">
        <f t="shared" si="12"/>
        <v>524.9333333</v>
      </c>
      <c r="N302" s="19">
        <f t="shared" si="13"/>
        <v>503.4333333</v>
      </c>
    </row>
    <row r="303" ht="24.75" customHeight="1">
      <c r="A303" s="21" t="s">
        <v>266</v>
      </c>
      <c r="B303" s="13">
        <f>IFERROR(__xludf.DUMMYFUNCTION("GOOGLEFINANCE(A303,""PRICE"")"),326.15)</f>
        <v>326.15</v>
      </c>
      <c r="C303" s="14">
        <f>IFERROR(__xludf.DUMMYFUNCTION("GOOGLEFINANCE(A303,""PRICEOPEN"")"),326.2)</f>
        <v>326.2</v>
      </c>
      <c r="D303" s="14">
        <f>IFERROR(__xludf.DUMMYFUNCTION("GOOGLEFINANCE(A303,""HIGH"")"),332.0)</f>
        <v>332</v>
      </c>
      <c r="E303" s="14">
        <f>IFERROR(__xludf.DUMMYFUNCTION("GOOGLEFINANCE(A303,""LOW"")"),322.85)</f>
        <v>322.85</v>
      </c>
      <c r="F303" s="15" t="str">
        <f t="shared" si="8"/>
        <v/>
      </c>
      <c r="G303" s="16">
        <f>IFERROR(__xludf.DUMMYFUNCTION("GOOGLEFINANCE(A303,""CLOSEYEST"")"),324.6)</f>
        <v>324.6</v>
      </c>
      <c r="H303" s="17" t="str">
        <f t="shared" si="14"/>
        <v/>
      </c>
      <c r="I303" s="18">
        <f t="shared" si="9"/>
        <v>326.4833333</v>
      </c>
      <c r="J303" s="19">
        <f t="shared" si="10"/>
        <v>330.1166667</v>
      </c>
      <c r="K303" s="19"/>
      <c r="L303" s="19">
        <f t="shared" si="11"/>
        <v>320.9666667</v>
      </c>
      <c r="M303" s="19">
        <f t="shared" si="12"/>
        <v>335.6333333</v>
      </c>
      <c r="N303" s="19">
        <f t="shared" si="13"/>
        <v>317.3333333</v>
      </c>
    </row>
    <row r="304" ht="24.75" customHeight="1">
      <c r="A304" s="21" t="s">
        <v>267</v>
      </c>
      <c r="B304" s="13">
        <f>IFERROR(__xludf.DUMMYFUNCTION("GOOGLEFINANCE(A304,""PRICE"")"),427.0)</f>
        <v>427</v>
      </c>
      <c r="C304" s="14">
        <f>IFERROR(__xludf.DUMMYFUNCTION("GOOGLEFINANCE(A304,""PRICEOPEN"")"),422.1)</f>
        <v>422.1</v>
      </c>
      <c r="D304" s="14">
        <f>IFERROR(__xludf.DUMMYFUNCTION("GOOGLEFINANCE(A304,""HIGH"")"),429.65)</f>
        <v>429.65</v>
      </c>
      <c r="E304" s="14">
        <f>IFERROR(__xludf.DUMMYFUNCTION("GOOGLEFINANCE(A304,""LOW"")"),417.0)</f>
        <v>417</v>
      </c>
      <c r="F304" s="15" t="str">
        <f t="shared" si="8"/>
        <v/>
      </c>
      <c r="G304" s="16">
        <f>IFERROR(__xludf.DUMMYFUNCTION("GOOGLEFINANCE(A304,""CLOSEYEST"")"),423.2)</f>
        <v>423.2</v>
      </c>
      <c r="H304" s="17" t="str">
        <f t="shared" si="14"/>
        <v/>
      </c>
      <c r="I304" s="18">
        <f t="shared" si="9"/>
        <v>423.2833333</v>
      </c>
      <c r="J304" s="19">
        <f t="shared" si="10"/>
        <v>429.5666667</v>
      </c>
      <c r="K304" s="19"/>
      <c r="L304" s="19">
        <f t="shared" si="11"/>
        <v>416.9166667</v>
      </c>
      <c r="M304" s="19">
        <f t="shared" si="12"/>
        <v>435.9333333</v>
      </c>
      <c r="N304" s="19">
        <f t="shared" si="13"/>
        <v>410.6333333</v>
      </c>
    </row>
    <row r="305" ht="24.75" customHeight="1">
      <c r="A305" s="21" t="s">
        <v>268</v>
      </c>
      <c r="B305" s="13">
        <f>IFERROR(__xludf.DUMMYFUNCTION("GOOGLEFINANCE(A305,""PRICE"")"),4696.0)</f>
        <v>4696</v>
      </c>
      <c r="C305" s="14">
        <f>IFERROR(__xludf.DUMMYFUNCTION("GOOGLEFINANCE(A305,""PRICEOPEN"")"),4723.5)</f>
        <v>4723.5</v>
      </c>
      <c r="D305" s="14">
        <f>IFERROR(__xludf.DUMMYFUNCTION("GOOGLEFINANCE(A305,""HIGH"")"),4753.5)</f>
        <v>4753.5</v>
      </c>
      <c r="E305" s="14">
        <f>IFERROR(__xludf.DUMMYFUNCTION("GOOGLEFINANCE(A305,""LOW"")"),4692.0)</f>
        <v>4692</v>
      </c>
      <c r="F305" s="15" t="str">
        <f t="shared" si="8"/>
        <v/>
      </c>
      <c r="G305" s="16">
        <f>IFERROR(__xludf.DUMMYFUNCTION("GOOGLEFINANCE(A305,""CLOSEYEST"")"),4704.8)</f>
        <v>4704.8</v>
      </c>
      <c r="H305" s="17" t="str">
        <f t="shared" si="14"/>
        <v/>
      </c>
      <c r="I305" s="18">
        <f t="shared" si="9"/>
        <v>4716.766667</v>
      </c>
      <c r="J305" s="19">
        <f t="shared" si="10"/>
        <v>4741.533333</v>
      </c>
      <c r="K305" s="19"/>
      <c r="L305" s="19">
        <f t="shared" si="11"/>
        <v>4680.033333</v>
      </c>
      <c r="M305" s="19">
        <f t="shared" si="12"/>
        <v>4778.266667</v>
      </c>
      <c r="N305" s="19">
        <f t="shared" si="13"/>
        <v>4655.266667</v>
      </c>
    </row>
    <row r="306" ht="24.75" customHeight="1">
      <c r="A306" s="21" t="s">
        <v>269</v>
      </c>
      <c r="B306" s="13">
        <f>IFERROR(__xludf.DUMMYFUNCTION("GOOGLEFINANCE(A306,""PRICE"")"),3213.0)</f>
        <v>3213</v>
      </c>
      <c r="C306" s="14">
        <f>IFERROR(__xludf.DUMMYFUNCTION("GOOGLEFINANCE(A306,""PRICEOPEN"")"),3247.8)</f>
        <v>3247.8</v>
      </c>
      <c r="D306" s="14">
        <f>IFERROR(__xludf.DUMMYFUNCTION("GOOGLEFINANCE(A306,""HIGH"")"),3270.5)</f>
        <v>3270.5</v>
      </c>
      <c r="E306" s="14">
        <f>IFERROR(__xludf.DUMMYFUNCTION("GOOGLEFINANCE(A306,""LOW"")"),3189.8)</f>
        <v>3189.8</v>
      </c>
      <c r="F306" s="15" t="str">
        <f t="shared" si="8"/>
        <v/>
      </c>
      <c r="G306" s="16">
        <f>IFERROR(__xludf.DUMMYFUNCTION("GOOGLEFINANCE(A306,""CLOSEYEST"")"),3247.8)</f>
        <v>3247.8</v>
      </c>
      <c r="H306" s="17" t="str">
        <f t="shared" si="14"/>
        <v/>
      </c>
      <c r="I306" s="18">
        <f t="shared" si="9"/>
        <v>3236.033333</v>
      </c>
      <c r="J306" s="19">
        <f t="shared" si="10"/>
        <v>3282.266667</v>
      </c>
      <c r="K306" s="19"/>
      <c r="L306" s="19">
        <f t="shared" si="11"/>
        <v>3201.566667</v>
      </c>
      <c r="M306" s="19">
        <f t="shared" si="12"/>
        <v>3316.733333</v>
      </c>
      <c r="N306" s="19">
        <f t="shared" si="13"/>
        <v>3155.333333</v>
      </c>
    </row>
    <row r="307" ht="24.75" customHeight="1">
      <c r="A307" s="21" t="s">
        <v>270</v>
      </c>
      <c r="B307" s="13">
        <f>IFERROR(__xludf.DUMMYFUNCTION("GOOGLEFINANCE(A307,""PRICE"")"),9500.0)</f>
        <v>9500</v>
      </c>
      <c r="C307" s="14">
        <f>IFERROR(__xludf.DUMMYFUNCTION("GOOGLEFINANCE(A307,""PRICEOPEN"")"),9617.0)</f>
        <v>9617</v>
      </c>
      <c r="D307" s="14">
        <f>IFERROR(__xludf.DUMMYFUNCTION("GOOGLEFINANCE(A307,""HIGH"")"),9714.0)</f>
        <v>9714</v>
      </c>
      <c r="E307" s="14">
        <f>IFERROR(__xludf.DUMMYFUNCTION("GOOGLEFINANCE(A307,""LOW"")"),9441.5)</f>
        <v>9441.5</v>
      </c>
      <c r="F307" s="15" t="str">
        <f t="shared" si="8"/>
        <v/>
      </c>
      <c r="G307" s="16">
        <f>IFERROR(__xludf.DUMMYFUNCTION("GOOGLEFINANCE(A307,""CLOSEYEST"")"),9598.0)</f>
        <v>9598</v>
      </c>
      <c r="H307" s="17" t="str">
        <f t="shared" si="14"/>
        <v/>
      </c>
      <c r="I307" s="18">
        <f t="shared" si="9"/>
        <v>9584.5</v>
      </c>
      <c r="J307" s="19">
        <f t="shared" si="10"/>
        <v>9727.5</v>
      </c>
      <c r="K307" s="19"/>
      <c r="L307" s="19">
        <f t="shared" si="11"/>
        <v>9455</v>
      </c>
      <c r="M307" s="19">
        <f t="shared" si="12"/>
        <v>9857</v>
      </c>
      <c r="N307" s="19">
        <f t="shared" si="13"/>
        <v>9312</v>
      </c>
    </row>
    <row r="308" ht="24.75" customHeight="1">
      <c r="A308" s="21" t="s">
        <v>271</v>
      </c>
      <c r="B308" s="13">
        <f>IFERROR(__xludf.DUMMYFUNCTION("GOOGLEFINANCE(A308,""PRICE"")"),1558.8)</f>
        <v>1558.8</v>
      </c>
      <c r="C308" s="14">
        <f>IFERROR(__xludf.DUMMYFUNCTION("GOOGLEFINANCE(A308,""PRICEOPEN"")"),1553.0)</f>
        <v>1553</v>
      </c>
      <c r="D308" s="14">
        <f>IFERROR(__xludf.DUMMYFUNCTION("GOOGLEFINANCE(A308,""HIGH"")"),1576.7)</f>
        <v>1576.7</v>
      </c>
      <c r="E308" s="14">
        <f>IFERROR(__xludf.DUMMYFUNCTION("GOOGLEFINANCE(A308,""LOW"")"),1541.2)</f>
        <v>1541.2</v>
      </c>
      <c r="F308" s="15" t="str">
        <f t="shared" si="8"/>
        <v/>
      </c>
      <c r="G308" s="16">
        <f>IFERROR(__xludf.DUMMYFUNCTION("GOOGLEFINANCE(A308,""CLOSEYEST"")"),1563.8)</f>
        <v>1563.8</v>
      </c>
      <c r="H308" s="17" t="str">
        <f t="shared" si="14"/>
        <v/>
      </c>
      <c r="I308" s="18">
        <f t="shared" si="9"/>
        <v>1560.566667</v>
      </c>
      <c r="J308" s="19">
        <f t="shared" si="10"/>
        <v>1579.933333</v>
      </c>
      <c r="K308" s="19"/>
      <c r="L308" s="19">
        <f t="shared" si="11"/>
        <v>1544.433333</v>
      </c>
      <c r="M308" s="19">
        <f t="shared" si="12"/>
        <v>1596.066667</v>
      </c>
      <c r="N308" s="19">
        <f t="shared" si="13"/>
        <v>1525.066667</v>
      </c>
    </row>
    <row r="309" ht="24.75" customHeight="1">
      <c r="A309" s="21" t="s">
        <v>272</v>
      </c>
      <c r="B309" s="13">
        <f>IFERROR(__xludf.DUMMYFUNCTION("GOOGLEFINANCE(A309,""PRICE"")"),5700.0)</f>
        <v>5700</v>
      </c>
      <c r="C309" s="14">
        <f>IFERROR(__xludf.DUMMYFUNCTION("GOOGLEFINANCE(A309,""PRICEOPEN"")"),5684.0)</f>
        <v>5684</v>
      </c>
      <c r="D309" s="14">
        <f>IFERROR(__xludf.DUMMYFUNCTION("GOOGLEFINANCE(A309,""HIGH"")"),5714.0)</f>
        <v>5714</v>
      </c>
      <c r="E309" s="14">
        <f>IFERROR(__xludf.DUMMYFUNCTION("GOOGLEFINANCE(A309,""LOW"")"),5606.0)</f>
        <v>5606</v>
      </c>
      <c r="F309" s="15" t="str">
        <f t="shared" si="8"/>
        <v/>
      </c>
      <c r="G309" s="16">
        <f>IFERROR(__xludf.DUMMYFUNCTION("GOOGLEFINANCE(A309,""CLOSEYEST"")"),5713.5)</f>
        <v>5713.5</v>
      </c>
      <c r="H309" s="17" t="str">
        <f t="shared" si="14"/>
        <v/>
      </c>
      <c r="I309" s="18">
        <f t="shared" si="9"/>
        <v>5677.833333</v>
      </c>
      <c r="J309" s="19">
        <f t="shared" si="10"/>
        <v>5749.666667</v>
      </c>
      <c r="K309" s="19"/>
      <c r="L309" s="19">
        <f t="shared" si="11"/>
        <v>5641.666667</v>
      </c>
      <c r="M309" s="19">
        <f t="shared" si="12"/>
        <v>5785.833333</v>
      </c>
      <c r="N309" s="19">
        <f t="shared" si="13"/>
        <v>5569.833333</v>
      </c>
    </row>
    <row r="310" ht="24.75" customHeight="1">
      <c r="A310" s="21" t="s">
        <v>273</v>
      </c>
      <c r="B310" s="13">
        <f>IFERROR(__xludf.DUMMYFUNCTION("GOOGLEFINANCE(A310,""PRICE"")"),824.4)</f>
        <v>824.4</v>
      </c>
      <c r="C310" s="14">
        <f>IFERROR(__xludf.DUMMYFUNCTION("GOOGLEFINANCE(A310,""PRICEOPEN"")"),813.7)</f>
        <v>813.7</v>
      </c>
      <c r="D310" s="14">
        <f>IFERROR(__xludf.DUMMYFUNCTION("GOOGLEFINANCE(A310,""HIGH"")"),825.1)</f>
        <v>825.1</v>
      </c>
      <c r="E310" s="14">
        <f>IFERROR(__xludf.DUMMYFUNCTION("GOOGLEFINANCE(A310,""LOW"")"),808.0)</f>
        <v>808</v>
      </c>
      <c r="F310" s="15" t="str">
        <f t="shared" si="8"/>
        <v/>
      </c>
      <c r="G310" s="16">
        <f>IFERROR(__xludf.DUMMYFUNCTION("GOOGLEFINANCE(A310,""CLOSEYEST"")"),806.55)</f>
        <v>806.55</v>
      </c>
      <c r="H310" s="17" t="str">
        <f t="shared" si="14"/>
        <v/>
      </c>
      <c r="I310" s="18">
        <f t="shared" si="9"/>
        <v>813.2166667</v>
      </c>
      <c r="J310" s="19">
        <f t="shared" si="10"/>
        <v>818.4333333</v>
      </c>
      <c r="K310" s="19"/>
      <c r="L310" s="19">
        <f t="shared" si="11"/>
        <v>801.3333333</v>
      </c>
      <c r="M310" s="19">
        <f t="shared" si="12"/>
        <v>830.3166667</v>
      </c>
      <c r="N310" s="19">
        <f t="shared" si="13"/>
        <v>796.1166667</v>
      </c>
    </row>
    <row r="311" ht="24.75" customHeight="1">
      <c r="A311" s="21" t="s">
        <v>274</v>
      </c>
      <c r="B311" s="13">
        <f>IFERROR(__xludf.DUMMYFUNCTION("GOOGLEFINANCE(A311,""PRICE"")"),2950.1)</f>
        <v>2950.1</v>
      </c>
      <c r="C311" s="14">
        <f>IFERROR(__xludf.DUMMYFUNCTION("GOOGLEFINANCE(A311,""PRICEOPEN"")"),2940.0)</f>
        <v>2940</v>
      </c>
      <c r="D311" s="14">
        <f>IFERROR(__xludf.DUMMYFUNCTION("GOOGLEFINANCE(A311,""HIGH"")"),2968.9)</f>
        <v>2968.9</v>
      </c>
      <c r="E311" s="14">
        <f>IFERROR(__xludf.DUMMYFUNCTION("GOOGLEFINANCE(A311,""LOW"")"),2897.0)</f>
        <v>2897</v>
      </c>
      <c r="F311" s="15" t="str">
        <f t="shared" si="8"/>
        <v/>
      </c>
      <c r="G311" s="16">
        <f>IFERROR(__xludf.DUMMYFUNCTION("GOOGLEFINANCE(A311,""CLOSEYEST"")"),2914.2)</f>
        <v>2914.2</v>
      </c>
      <c r="H311" s="17" t="str">
        <f t="shared" si="14"/>
        <v/>
      </c>
      <c r="I311" s="18">
        <f t="shared" si="9"/>
        <v>2926.7</v>
      </c>
      <c r="J311" s="19">
        <f t="shared" si="10"/>
        <v>2956.4</v>
      </c>
      <c r="K311" s="19"/>
      <c r="L311" s="19">
        <f t="shared" si="11"/>
        <v>2884.5</v>
      </c>
      <c r="M311" s="19">
        <f t="shared" si="12"/>
        <v>2998.6</v>
      </c>
      <c r="N311" s="19">
        <f t="shared" si="13"/>
        <v>2854.8</v>
      </c>
    </row>
    <row r="312" ht="24.75" customHeight="1">
      <c r="A312" s="21" t="s">
        <v>275</v>
      </c>
      <c r="B312" s="13">
        <f>IFERROR(__xludf.DUMMYFUNCTION("GOOGLEFINANCE(A312,""PRICE"")"),7.75)</f>
        <v>7.75</v>
      </c>
      <c r="C312" s="14">
        <f>IFERROR(__xludf.DUMMYFUNCTION("GOOGLEFINANCE(A312,""PRICEOPEN"")"),7.62)</f>
        <v>7.62</v>
      </c>
      <c r="D312" s="14">
        <f>IFERROR(__xludf.DUMMYFUNCTION("GOOGLEFINANCE(A312,""HIGH"")"),7.76)</f>
        <v>7.76</v>
      </c>
      <c r="E312" s="14">
        <f>IFERROR(__xludf.DUMMYFUNCTION("GOOGLEFINANCE(A312,""LOW"")"),7.58)</f>
        <v>7.58</v>
      </c>
      <c r="F312" s="15" t="str">
        <f t="shared" si="8"/>
        <v/>
      </c>
      <c r="G312" s="16">
        <f>IFERROR(__xludf.DUMMYFUNCTION("GOOGLEFINANCE(A312,""CLOSEYEST"")"),7.56)</f>
        <v>7.56</v>
      </c>
      <c r="H312" s="17" t="str">
        <f t="shared" si="14"/>
        <v/>
      </c>
      <c r="I312" s="18">
        <f t="shared" si="9"/>
        <v>7.633333333</v>
      </c>
      <c r="J312" s="19">
        <f t="shared" si="10"/>
        <v>7.686666667</v>
      </c>
      <c r="K312" s="19"/>
      <c r="L312" s="19">
        <f t="shared" si="11"/>
        <v>7.506666667</v>
      </c>
      <c r="M312" s="19">
        <f t="shared" si="12"/>
        <v>7.813333333</v>
      </c>
      <c r="N312" s="19">
        <f t="shared" si="13"/>
        <v>7.453333333</v>
      </c>
    </row>
    <row r="313" ht="24.75" customHeight="1">
      <c r="A313" s="21" t="s">
        <v>276</v>
      </c>
      <c r="B313" s="13">
        <f>IFERROR(__xludf.DUMMYFUNCTION("GOOGLEFINANCE(A313,""PRICE"")"),910.0)</f>
        <v>910</v>
      </c>
      <c r="C313" s="14">
        <f>IFERROR(__xludf.DUMMYFUNCTION("GOOGLEFINANCE(A313,""PRICEOPEN"")"),909.0)</f>
        <v>909</v>
      </c>
      <c r="D313" s="14">
        <f>IFERROR(__xludf.DUMMYFUNCTION("GOOGLEFINANCE(A313,""HIGH"")"),921.9)</f>
        <v>921.9</v>
      </c>
      <c r="E313" s="14">
        <f>IFERROR(__xludf.DUMMYFUNCTION("GOOGLEFINANCE(A313,""LOW"")"),905.7)</f>
        <v>905.7</v>
      </c>
      <c r="F313" s="15" t="str">
        <f t="shared" si="8"/>
        <v/>
      </c>
      <c r="G313" s="16">
        <f>IFERROR(__xludf.DUMMYFUNCTION("GOOGLEFINANCE(A313,""CLOSEYEST"")"),904.3)</f>
        <v>904.3</v>
      </c>
      <c r="H313" s="17" t="str">
        <f t="shared" si="14"/>
        <v/>
      </c>
      <c r="I313" s="18">
        <f t="shared" si="9"/>
        <v>910.6333333</v>
      </c>
      <c r="J313" s="19">
        <f t="shared" si="10"/>
        <v>915.5666667</v>
      </c>
      <c r="K313" s="19"/>
      <c r="L313" s="19">
        <f t="shared" si="11"/>
        <v>899.3666667</v>
      </c>
      <c r="M313" s="19">
        <f t="shared" si="12"/>
        <v>926.8333333</v>
      </c>
      <c r="N313" s="19">
        <f t="shared" si="13"/>
        <v>894.4333333</v>
      </c>
    </row>
    <row r="314" ht="24.75" customHeight="1">
      <c r="A314" s="21" t="s">
        <v>277</v>
      </c>
      <c r="B314" s="13">
        <f>IFERROR(__xludf.DUMMYFUNCTION("GOOGLEFINANCE(A314,""PRICE"")"),1996.7)</f>
        <v>1996.7</v>
      </c>
      <c r="C314" s="14">
        <f>IFERROR(__xludf.DUMMYFUNCTION("GOOGLEFINANCE(A314,""PRICEOPEN"")"),2030.0)</f>
        <v>2030</v>
      </c>
      <c r="D314" s="14">
        <f>IFERROR(__xludf.DUMMYFUNCTION("GOOGLEFINANCE(A314,""HIGH"")"),2031.9)</f>
        <v>2031.9</v>
      </c>
      <c r="E314" s="14">
        <f>IFERROR(__xludf.DUMMYFUNCTION("GOOGLEFINANCE(A314,""LOW"")"),1991.1)</f>
        <v>1991.1</v>
      </c>
      <c r="F314" s="15" t="str">
        <f t="shared" si="8"/>
        <v/>
      </c>
      <c r="G314" s="16">
        <f>IFERROR(__xludf.DUMMYFUNCTION("GOOGLEFINANCE(A314,""CLOSEYEST"")"),2041.1)</f>
        <v>2041.1</v>
      </c>
      <c r="H314" s="17" t="str">
        <f t="shared" si="14"/>
        <v/>
      </c>
      <c r="I314" s="18">
        <f t="shared" si="9"/>
        <v>2021.366667</v>
      </c>
      <c r="J314" s="19">
        <f t="shared" si="10"/>
        <v>2051.633333</v>
      </c>
      <c r="K314" s="19"/>
      <c r="L314" s="19">
        <f t="shared" si="11"/>
        <v>2010.833333</v>
      </c>
      <c r="M314" s="19">
        <f t="shared" si="12"/>
        <v>2062.166667</v>
      </c>
      <c r="N314" s="19">
        <f t="shared" si="13"/>
        <v>1980.566667</v>
      </c>
    </row>
    <row r="315" ht="24.75" customHeight="1">
      <c r="A315" s="21" t="s">
        <v>278</v>
      </c>
      <c r="B315" s="13">
        <f>IFERROR(__xludf.DUMMYFUNCTION("GOOGLEFINANCE(A315,""PRICE"")"),1489.8)</f>
        <v>1489.8</v>
      </c>
      <c r="C315" s="14">
        <f>IFERROR(__xludf.DUMMYFUNCTION("GOOGLEFINANCE(A315,""PRICEOPEN"")"),1475.5)</f>
        <v>1475.5</v>
      </c>
      <c r="D315" s="14">
        <f>IFERROR(__xludf.DUMMYFUNCTION("GOOGLEFINANCE(A315,""HIGH"")"),1493.9)</f>
        <v>1493.9</v>
      </c>
      <c r="E315" s="14">
        <f>IFERROR(__xludf.DUMMYFUNCTION("GOOGLEFINANCE(A315,""LOW"")"),1470.0)</f>
        <v>1470</v>
      </c>
      <c r="F315" s="15" t="str">
        <f t="shared" si="8"/>
        <v/>
      </c>
      <c r="G315" s="16">
        <f>IFERROR(__xludf.DUMMYFUNCTION("GOOGLEFINANCE(A315,""CLOSEYEST"")"),1475.5)</f>
        <v>1475.5</v>
      </c>
      <c r="H315" s="17" t="str">
        <f t="shared" si="14"/>
        <v/>
      </c>
      <c r="I315" s="18">
        <f t="shared" si="9"/>
        <v>1479.8</v>
      </c>
      <c r="J315" s="19">
        <f t="shared" si="10"/>
        <v>1489.6</v>
      </c>
      <c r="K315" s="19"/>
      <c r="L315" s="19">
        <f t="shared" si="11"/>
        <v>1465.7</v>
      </c>
      <c r="M315" s="19">
        <f t="shared" si="12"/>
        <v>1503.7</v>
      </c>
      <c r="N315" s="19">
        <f t="shared" si="13"/>
        <v>1455.9</v>
      </c>
    </row>
    <row r="316" ht="24.75" customHeight="1">
      <c r="A316" s="21" t="s">
        <v>279</v>
      </c>
      <c r="B316" s="13" t="str">
        <f>IFERROR(__xludf.DUMMYFUNCTION("GOOGLEFINANCE(A316,""PRICE"")"),"#N/A")</f>
        <v>#N/A</v>
      </c>
      <c r="C316" s="14" t="str">
        <f>IFERROR(__xludf.DUMMYFUNCTION("GOOGLEFINANCE(A316,""PRICEOPEN"")"),"#N/A")</f>
        <v>#N/A</v>
      </c>
      <c r="D316" s="14" t="str">
        <f>IFERROR(__xludf.DUMMYFUNCTION("GOOGLEFINANCE(A316,""HIGH"")"),"#N/A")</f>
        <v>#N/A</v>
      </c>
      <c r="E316" s="14" t="str">
        <f>IFERROR(__xludf.DUMMYFUNCTION("GOOGLEFINANCE(A316,""LOW"")"),"#N/A")</f>
        <v>#N/A</v>
      </c>
      <c r="F316" s="15" t="str">
        <f t="shared" si="8"/>
        <v>#N/A</v>
      </c>
      <c r="G316" s="16" t="str">
        <f>IFERROR(__xludf.DUMMYFUNCTION("GOOGLEFINANCE(A316,""CLOSEYEST"")"),"#N/A")</f>
        <v>#N/A</v>
      </c>
      <c r="H316" s="17" t="str">
        <f t="shared" si="14"/>
        <v>#N/A</v>
      </c>
      <c r="I316" s="18" t="str">
        <f t="shared" si="9"/>
        <v>#N/A</v>
      </c>
      <c r="J316" s="19" t="str">
        <f t="shared" si="10"/>
        <v>#N/A</v>
      </c>
      <c r="K316" s="19"/>
      <c r="L316" s="19" t="str">
        <f t="shared" si="11"/>
        <v>#N/A</v>
      </c>
      <c r="M316" s="19" t="str">
        <f t="shared" si="12"/>
        <v>#N/A</v>
      </c>
      <c r="N316" s="19" t="str">
        <f t="shared" si="13"/>
        <v>#N/A</v>
      </c>
    </row>
    <row r="317" ht="24.75" customHeight="1">
      <c r="A317" s="21" t="s">
        <v>280</v>
      </c>
      <c r="B317" s="13">
        <f>IFERROR(__xludf.DUMMYFUNCTION("GOOGLEFINANCE(A317,""PRICE"")"),350.4)</f>
        <v>350.4</v>
      </c>
      <c r="C317" s="14">
        <f>IFERROR(__xludf.DUMMYFUNCTION("GOOGLEFINANCE(A317,""PRICEOPEN"")"),350.3)</f>
        <v>350.3</v>
      </c>
      <c r="D317" s="14">
        <f>IFERROR(__xludf.DUMMYFUNCTION("GOOGLEFINANCE(A317,""HIGH"")"),351.2)</f>
        <v>351.2</v>
      </c>
      <c r="E317" s="14">
        <f>IFERROR(__xludf.DUMMYFUNCTION("GOOGLEFINANCE(A317,""LOW"")"),346.5)</f>
        <v>346.5</v>
      </c>
      <c r="F317" s="15" t="str">
        <f t="shared" si="8"/>
        <v/>
      </c>
      <c r="G317" s="16">
        <f>IFERROR(__xludf.DUMMYFUNCTION("GOOGLEFINANCE(A317,""CLOSEYEST"")"),350.3)</f>
        <v>350.3</v>
      </c>
      <c r="H317" s="17" t="str">
        <f t="shared" si="14"/>
        <v/>
      </c>
      <c r="I317" s="18">
        <f t="shared" si="9"/>
        <v>349.3333333</v>
      </c>
      <c r="J317" s="19">
        <f t="shared" si="10"/>
        <v>352.1666667</v>
      </c>
      <c r="K317" s="19"/>
      <c r="L317" s="19">
        <f t="shared" si="11"/>
        <v>347.4666667</v>
      </c>
      <c r="M317" s="19">
        <f t="shared" si="12"/>
        <v>354.0333333</v>
      </c>
      <c r="N317" s="19">
        <f t="shared" si="13"/>
        <v>344.6333333</v>
      </c>
    </row>
    <row r="318" ht="24.75" customHeight="1">
      <c r="A318" s="21" t="s">
        <v>281</v>
      </c>
      <c r="B318" s="13">
        <f>IFERROR(__xludf.DUMMYFUNCTION("GOOGLEFINANCE(A318,""PRICE"")"),30.82)</f>
        <v>30.82</v>
      </c>
      <c r="C318" s="14">
        <f>IFERROR(__xludf.DUMMYFUNCTION("GOOGLEFINANCE(A318,""PRICEOPEN"")"),30.62)</f>
        <v>30.62</v>
      </c>
      <c r="D318" s="14">
        <f>IFERROR(__xludf.DUMMYFUNCTION("GOOGLEFINANCE(A318,""HIGH"")"),30.99)</f>
        <v>30.99</v>
      </c>
      <c r="E318" s="14">
        <f>IFERROR(__xludf.DUMMYFUNCTION("GOOGLEFINANCE(A318,""LOW"")"),30.55)</f>
        <v>30.55</v>
      </c>
      <c r="F318" s="15" t="str">
        <f t="shared" si="8"/>
        <v/>
      </c>
      <c r="G318" s="16">
        <f>IFERROR(__xludf.DUMMYFUNCTION("GOOGLEFINANCE(A318,""CLOSEYEST"")"),30.62)</f>
        <v>30.62</v>
      </c>
      <c r="H318" s="17" t="str">
        <f t="shared" si="14"/>
        <v/>
      </c>
      <c r="I318" s="18">
        <f t="shared" si="9"/>
        <v>30.72</v>
      </c>
      <c r="J318" s="19">
        <f t="shared" si="10"/>
        <v>30.89</v>
      </c>
      <c r="K318" s="19"/>
      <c r="L318" s="19">
        <f t="shared" si="11"/>
        <v>30.45</v>
      </c>
      <c r="M318" s="19">
        <f t="shared" si="12"/>
        <v>31.16</v>
      </c>
      <c r="N318" s="19">
        <f t="shared" si="13"/>
        <v>30.28</v>
      </c>
    </row>
    <row r="319" ht="24.75" customHeight="1">
      <c r="A319" s="21" t="s">
        <v>282</v>
      </c>
      <c r="B319" s="13">
        <f>IFERROR(__xludf.DUMMYFUNCTION("GOOGLEFINANCE(A319,""PRICE"")"),528.8)</f>
        <v>528.8</v>
      </c>
      <c r="C319" s="14">
        <f>IFERROR(__xludf.DUMMYFUNCTION("GOOGLEFINANCE(A319,""PRICEOPEN"")"),440.7)</f>
        <v>440.7</v>
      </c>
      <c r="D319" s="14">
        <f>IFERROR(__xludf.DUMMYFUNCTION("GOOGLEFINANCE(A319,""HIGH"")"),528.8)</f>
        <v>528.8</v>
      </c>
      <c r="E319" s="14">
        <f>IFERROR(__xludf.DUMMYFUNCTION("GOOGLEFINANCE(A319,""LOW"")"),438.35)</f>
        <v>438.35</v>
      </c>
      <c r="F319" s="15" t="str">
        <f t="shared" si="8"/>
        <v/>
      </c>
      <c r="G319" s="16">
        <f>IFERROR(__xludf.DUMMYFUNCTION("GOOGLEFINANCE(A319,""CLOSEYEST"")"),440.7)</f>
        <v>440.7</v>
      </c>
      <c r="H319" s="17" t="str">
        <f t="shared" si="14"/>
        <v/>
      </c>
      <c r="I319" s="18">
        <f t="shared" si="9"/>
        <v>469.2833333</v>
      </c>
      <c r="J319" s="19">
        <f t="shared" si="10"/>
        <v>500.2166667</v>
      </c>
      <c r="K319" s="19"/>
      <c r="L319" s="19">
        <f t="shared" si="11"/>
        <v>409.7666667</v>
      </c>
      <c r="M319" s="19">
        <f t="shared" si="12"/>
        <v>559.7333333</v>
      </c>
      <c r="N319" s="19">
        <f t="shared" si="13"/>
        <v>378.8333333</v>
      </c>
    </row>
    <row r="320" ht="24.75" customHeight="1">
      <c r="A320" s="21" t="s">
        <v>283</v>
      </c>
      <c r="B320" s="13">
        <f>IFERROR(__xludf.DUMMYFUNCTION("GOOGLEFINANCE(A320,""PRICE"")"),1193.0)</f>
        <v>1193</v>
      </c>
      <c r="C320" s="14">
        <f>IFERROR(__xludf.DUMMYFUNCTION("GOOGLEFINANCE(A320,""PRICEOPEN"")"),1177.7)</f>
        <v>1177.7</v>
      </c>
      <c r="D320" s="14">
        <f>IFERROR(__xludf.DUMMYFUNCTION("GOOGLEFINANCE(A320,""HIGH"")"),1199.5)</f>
        <v>1199.5</v>
      </c>
      <c r="E320" s="14">
        <f>IFERROR(__xludf.DUMMYFUNCTION("GOOGLEFINANCE(A320,""LOW"")"),1169.7)</f>
        <v>1169.7</v>
      </c>
      <c r="F320" s="15" t="str">
        <f t="shared" si="8"/>
        <v/>
      </c>
      <c r="G320" s="16">
        <f>IFERROR(__xludf.DUMMYFUNCTION("GOOGLEFINANCE(A320,""CLOSEYEST"")"),1169.5)</f>
        <v>1169.5</v>
      </c>
      <c r="H320" s="17" t="str">
        <f t="shared" si="14"/>
        <v/>
      </c>
      <c r="I320" s="18">
        <f t="shared" si="9"/>
        <v>1179.566667</v>
      </c>
      <c r="J320" s="19">
        <f t="shared" si="10"/>
        <v>1189.433333</v>
      </c>
      <c r="K320" s="19"/>
      <c r="L320" s="19">
        <f t="shared" si="11"/>
        <v>1159.633333</v>
      </c>
      <c r="M320" s="19">
        <f t="shared" si="12"/>
        <v>1209.366667</v>
      </c>
      <c r="N320" s="19">
        <f t="shared" si="13"/>
        <v>1149.766667</v>
      </c>
    </row>
    <row r="321" ht="24.75" customHeight="1">
      <c r="A321" s="21" t="s">
        <v>284</v>
      </c>
      <c r="B321" s="13">
        <f>IFERROR(__xludf.DUMMYFUNCTION("GOOGLEFINANCE(A321,""PRICE"")"),3075.0)</f>
        <v>3075</v>
      </c>
      <c r="C321" s="14">
        <f>IFERROR(__xludf.DUMMYFUNCTION("GOOGLEFINANCE(A321,""PRICEOPEN"")"),3068.8)</f>
        <v>3068.8</v>
      </c>
      <c r="D321" s="14">
        <f>IFERROR(__xludf.DUMMYFUNCTION("GOOGLEFINANCE(A321,""HIGH"")"),3091.6)</f>
        <v>3091.6</v>
      </c>
      <c r="E321" s="14">
        <f>IFERROR(__xludf.DUMMYFUNCTION("GOOGLEFINANCE(A321,""LOW"")"),3020.6)</f>
        <v>3020.6</v>
      </c>
      <c r="F321" s="15" t="str">
        <f t="shared" si="8"/>
        <v/>
      </c>
      <c r="G321" s="16">
        <f>IFERROR(__xludf.DUMMYFUNCTION("GOOGLEFINANCE(A321,""CLOSEYEST"")"),3068.8)</f>
        <v>3068.8</v>
      </c>
      <c r="H321" s="17" t="str">
        <f t="shared" si="14"/>
        <v/>
      </c>
      <c r="I321" s="18">
        <f t="shared" si="9"/>
        <v>3060.333333</v>
      </c>
      <c r="J321" s="19">
        <f t="shared" si="10"/>
        <v>3100.066667</v>
      </c>
      <c r="K321" s="19"/>
      <c r="L321" s="19">
        <f t="shared" si="11"/>
        <v>3029.066667</v>
      </c>
      <c r="M321" s="19">
        <f t="shared" si="12"/>
        <v>3131.333333</v>
      </c>
      <c r="N321" s="19">
        <f t="shared" si="13"/>
        <v>2989.333333</v>
      </c>
    </row>
    <row r="322" ht="24.75" customHeight="1">
      <c r="A322" s="21" t="s">
        <v>285</v>
      </c>
      <c r="B322" s="13" t="str">
        <f>IFERROR(__xludf.DUMMYFUNCTION("GOOGLEFINANCE(A322,""PRICE"")"),"#N/A")</f>
        <v>#N/A</v>
      </c>
      <c r="C322" s="14" t="str">
        <f>IFERROR(__xludf.DUMMYFUNCTION("GOOGLEFINANCE(A322,""PRICEOPEN"")"),"#N/A")</f>
        <v>#N/A</v>
      </c>
      <c r="D322" s="14" t="str">
        <f>IFERROR(__xludf.DUMMYFUNCTION("GOOGLEFINANCE(A322,""HIGH"")"),"#N/A")</f>
        <v>#N/A</v>
      </c>
      <c r="E322" s="14" t="str">
        <f>IFERROR(__xludf.DUMMYFUNCTION("GOOGLEFINANCE(A322,""LOW"")"),"#N/A")</f>
        <v>#N/A</v>
      </c>
      <c r="F322" s="15" t="str">
        <f t="shared" si="8"/>
        <v>#N/A</v>
      </c>
      <c r="G322" s="16" t="str">
        <f>IFERROR(__xludf.DUMMYFUNCTION("GOOGLEFINANCE(A322,""CLOSEYEST"")"),"#N/A")</f>
        <v>#N/A</v>
      </c>
      <c r="H322" s="17" t="str">
        <f t="shared" si="14"/>
        <v>#N/A</v>
      </c>
      <c r="I322" s="18" t="str">
        <f t="shared" si="9"/>
        <v>#N/A</v>
      </c>
      <c r="J322" s="19" t="str">
        <f t="shared" si="10"/>
        <v>#N/A</v>
      </c>
      <c r="K322" s="19"/>
      <c r="L322" s="19" t="str">
        <f t="shared" si="11"/>
        <v>#N/A</v>
      </c>
      <c r="M322" s="19" t="str">
        <f t="shared" si="12"/>
        <v>#N/A</v>
      </c>
      <c r="N322" s="19" t="str">
        <f t="shared" si="13"/>
        <v>#N/A</v>
      </c>
    </row>
    <row r="323" ht="24.75" customHeight="1">
      <c r="A323" s="21" t="s">
        <v>286</v>
      </c>
      <c r="B323" s="13">
        <f>IFERROR(__xludf.DUMMYFUNCTION("GOOGLEFINANCE(A323,""PRICE"")"),17.89)</f>
        <v>17.89</v>
      </c>
      <c r="C323" s="14">
        <f>IFERROR(__xludf.DUMMYFUNCTION("GOOGLEFINANCE(A323,""PRICEOPEN"")"),17.37)</f>
        <v>17.37</v>
      </c>
      <c r="D323" s="14">
        <f>IFERROR(__xludf.DUMMYFUNCTION("GOOGLEFINANCE(A323,""HIGH"")"),17.89)</f>
        <v>17.89</v>
      </c>
      <c r="E323" s="14">
        <f>IFERROR(__xludf.DUMMYFUNCTION("GOOGLEFINANCE(A323,""LOW"")"),17.37)</f>
        <v>17.37</v>
      </c>
      <c r="F323" s="15" t="str">
        <f t="shared" si="8"/>
        <v>BUY</v>
      </c>
      <c r="G323" s="16">
        <f>IFERROR(__xludf.DUMMYFUNCTION("GOOGLEFINANCE(A323,""CLOSEYEST"")"),17.44)</f>
        <v>17.44</v>
      </c>
      <c r="H323" s="17" t="str">
        <f t="shared" si="14"/>
        <v/>
      </c>
      <c r="I323" s="18">
        <f t="shared" si="9"/>
        <v>17.56666667</v>
      </c>
      <c r="J323" s="19">
        <f t="shared" si="10"/>
        <v>17.76333333</v>
      </c>
      <c r="K323" s="19"/>
      <c r="L323" s="19">
        <f t="shared" si="11"/>
        <v>17.24333333</v>
      </c>
      <c r="M323" s="19">
        <f t="shared" si="12"/>
        <v>18.08666667</v>
      </c>
      <c r="N323" s="19">
        <f t="shared" si="13"/>
        <v>17.04666667</v>
      </c>
    </row>
    <row r="324" ht="24.75" customHeight="1">
      <c r="A324" s="21" t="s">
        <v>287</v>
      </c>
      <c r="B324" s="13">
        <f>IFERROR(__xludf.DUMMYFUNCTION("GOOGLEFINANCE(A324,""PRICE"")"),42.14)</f>
        <v>42.14</v>
      </c>
      <c r="C324" s="14">
        <f>IFERROR(__xludf.DUMMYFUNCTION("GOOGLEFINANCE(A324,""PRICEOPEN"")"),41.5)</f>
        <v>41.5</v>
      </c>
      <c r="D324" s="14">
        <f>IFERROR(__xludf.DUMMYFUNCTION("GOOGLEFINANCE(A324,""HIGH"")"),42.15)</f>
        <v>42.15</v>
      </c>
      <c r="E324" s="14">
        <f>IFERROR(__xludf.DUMMYFUNCTION("GOOGLEFINANCE(A324,""LOW"")"),41.4)</f>
        <v>41.4</v>
      </c>
      <c r="F324" s="15" t="str">
        <f t="shared" si="8"/>
        <v/>
      </c>
      <c r="G324" s="16">
        <f>IFERROR(__xludf.DUMMYFUNCTION("GOOGLEFINANCE(A324,""CLOSEYEST"")"),41.47)</f>
        <v>41.47</v>
      </c>
      <c r="H324" s="17" t="str">
        <f t="shared" si="14"/>
        <v/>
      </c>
      <c r="I324" s="18">
        <f t="shared" si="9"/>
        <v>41.67333333</v>
      </c>
      <c r="J324" s="19">
        <f t="shared" si="10"/>
        <v>41.94666667</v>
      </c>
      <c r="K324" s="19"/>
      <c r="L324" s="19">
        <f t="shared" si="11"/>
        <v>41.19666667</v>
      </c>
      <c r="M324" s="19">
        <f t="shared" si="12"/>
        <v>42.42333333</v>
      </c>
      <c r="N324" s="19">
        <f t="shared" si="13"/>
        <v>40.92333333</v>
      </c>
    </row>
    <row r="325" ht="24.75" customHeight="1">
      <c r="A325" s="21" t="s">
        <v>288</v>
      </c>
      <c r="B325" s="13">
        <f>IFERROR(__xludf.DUMMYFUNCTION("GOOGLEFINANCE(A325,""PRICE"")"),407.2)</f>
        <v>407.2</v>
      </c>
      <c r="C325" s="14">
        <f>IFERROR(__xludf.DUMMYFUNCTION("GOOGLEFINANCE(A325,""PRICEOPEN"")"),413.85)</f>
        <v>413.85</v>
      </c>
      <c r="D325" s="14">
        <f>IFERROR(__xludf.DUMMYFUNCTION("GOOGLEFINANCE(A325,""HIGH"")"),413.85)</f>
        <v>413.85</v>
      </c>
      <c r="E325" s="14">
        <f>IFERROR(__xludf.DUMMYFUNCTION("GOOGLEFINANCE(A325,""LOW"")"),407.05)</f>
        <v>407.05</v>
      </c>
      <c r="F325" s="15" t="str">
        <f t="shared" si="8"/>
        <v>SELL</v>
      </c>
      <c r="G325" s="16">
        <f>IFERROR(__xludf.DUMMYFUNCTION("GOOGLEFINANCE(A325,""CLOSEYEST"")"),409.45)</f>
        <v>409.45</v>
      </c>
      <c r="H325" s="17" t="str">
        <f t="shared" si="14"/>
        <v>GAP UP</v>
      </c>
      <c r="I325" s="18">
        <f t="shared" si="9"/>
        <v>410.1166667</v>
      </c>
      <c r="J325" s="19">
        <f t="shared" si="10"/>
        <v>413.1833333</v>
      </c>
      <c r="K325" s="19"/>
      <c r="L325" s="19">
        <f t="shared" si="11"/>
        <v>406.3833333</v>
      </c>
      <c r="M325" s="19">
        <f t="shared" si="12"/>
        <v>416.9166667</v>
      </c>
      <c r="N325" s="19">
        <f t="shared" si="13"/>
        <v>403.3166667</v>
      </c>
    </row>
    <row r="326" ht="24.75" customHeight="1">
      <c r="A326" s="21" t="s">
        <v>289</v>
      </c>
      <c r="B326" s="13">
        <f>IFERROR(__xludf.DUMMYFUNCTION("GOOGLEFINANCE(A326,""PRICE"")"),398.0)</f>
        <v>398</v>
      </c>
      <c r="C326" s="14">
        <f>IFERROR(__xludf.DUMMYFUNCTION("GOOGLEFINANCE(A326,""PRICEOPEN"")"),394.9)</f>
        <v>394.9</v>
      </c>
      <c r="D326" s="14">
        <f>IFERROR(__xludf.DUMMYFUNCTION("GOOGLEFINANCE(A326,""HIGH"")"),398.35)</f>
        <v>398.35</v>
      </c>
      <c r="E326" s="14">
        <f>IFERROR(__xludf.DUMMYFUNCTION("GOOGLEFINANCE(A326,""LOW"")"),392.5)</f>
        <v>392.5</v>
      </c>
      <c r="F326" s="15" t="str">
        <f t="shared" si="8"/>
        <v/>
      </c>
      <c r="G326" s="16">
        <f>IFERROR(__xludf.DUMMYFUNCTION("GOOGLEFINANCE(A326,""CLOSEYEST"")"),395.05)</f>
        <v>395.05</v>
      </c>
      <c r="H326" s="17" t="str">
        <f t="shared" si="14"/>
        <v/>
      </c>
      <c r="I326" s="18">
        <f t="shared" si="9"/>
        <v>395.3</v>
      </c>
      <c r="J326" s="19">
        <f t="shared" si="10"/>
        <v>398.1</v>
      </c>
      <c r="K326" s="19"/>
      <c r="L326" s="19">
        <f t="shared" si="11"/>
        <v>392.25</v>
      </c>
      <c r="M326" s="19">
        <f t="shared" si="12"/>
        <v>401.15</v>
      </c>
      <c r="N326" s="19">
        <f t="shared" si="13"/>
        <v>389.45</v>
      </c>
    </row>
    <row r="327" ht="24.75" customHeight="1">
      <c r="A327" s="21" t="s">
        <v>290</v>
      </c>
      <c r="B327" s="13">
        <f>IFERROR(__xludf.DUMMYFUNCTION("GOOGLEFINANCE(A327,""PRICE"")"),472.0)</f>
        <v>472</v>
      </c>
      <c r="C327" s="14">
        <f>IFERROR(__xludf.DUMMYFUNCTION("GOOGLEFINANCE(A327,""PRICEOPEN"")"),469.2)</f>
        <v>469.2</v>
      </c>
      <c r="D327" s="14">
        <f>IFERROR(__xludf.DUMMYFUNCTION("GOOGLEFINANCE(A327,""HIGH"")"),475.5)</f>
        <v>475.5</v>
      </c>
      <c r="E327" s="14">
        <f>IFERROR(__xludf.DUMMYFUNCTION("GOOGLEFINANCE(A327,""LOW"")"),466.25)</f>
        <v>466.25</v>
      </c>
      <c r="F327" s="15" t="str">
        <f t="shared" si="8"/>
        <v/>
      </c>
      <c r="G327" s="16">
        <f>IFERROR(__xludf.DUMMYFUNCTION("GOOGLEFINANCE(A327,""CLOSEYEST"")"),467.65)</f>
        <v>467.65</v>
      </c>
      <c r="H327" s="17" t="str">
        <f t="shared" si="14"/>
        <v/>
      </c>
      <c r="I327" s="18">
        <f t="shared" si="9"/>
        <v>469.8</v>
      </c>
      <c r="J327" s="19">
        <f t="shared" si="10"/>
        <v>473.35</v>
      </c>
      <c r="K327" s="19"/>
      <c r="L327" s="19">
        <f t="shared" si="11"/>
        <v>464.1</v>
      </c>
      <c r="M327" s="19">
        <f t="shared" si="12"/>
        <v>479.05</v>
      </c>
      <c r="N327" s="19">
        <f t="shared" si="13"/>
        <v>460.55</v>
      </c>
    </row>
    <row r="328" ht="24.75" customHeight="1">
      <c r="A328" s="21" t="s">
        <v>291</v>
      </c>
      <c r="B328" s="13">
        <f>IFERROR(__xludf.DUMMYFUNCTION("GOOGLEFINANCE(A328,""PRICE"")"),1977.0)</f>
        <v>1977</v>
      </c>
      <c r="C328" s="14">
        <f>IFERROR(__xludf.DUMMYFUNCTION("GOOGLEFINANCE(A328,""PRICEOPEN"")"),1959.2)</f>
        <v>1959.2</v>
      </c>
      <c r="D328" s="14">
        <f>IFERROR(__xludf.DUMMYFUNCTION("GOOGLEFINANCE(A328,""HIGH"")"),1990.0)</f>
        <v>1990</v>
      </c>
      <c r="E328" s="14">
        <f>IFERROR(__xludf.DUMMYFUNCTION("GOOGLEFINANCE(A328,""LOW"")"),1950.2)</f>
        <v>1950.2</v>
      </c>
      <c r="F328" s="15" t="str">
        <f t="shared" si="8"/>
        <v/>
      </c>
      <c r="G328" s="16">
        <f>IFERROR(__xludf.DUMMYFUNCTION("GOOGLEFINANCE(A328,""CLOSEYEST"")"),1959.2)</f>
        <v>1959.2</v>
      </c>
      <c r="H328" s="17" t="str">
        <f t="shared" si="14"/>
        <v/>
      </c>
      <c r="I328" s="18">
        <f t="shared" si="9"/>
        <v>1966.466667</v>
      </c>
      <c r="J328" s="19">
        <f t="shared" si="10"/>
        <v>1982.733333</v>
      </c>
      <c r="K328" s="19"/>
      <c r="L328" s="19">
        <f t="shared" si="11"/>
        <v>1942.933333</v>
      </c>
      <c r="M328" s="19">
        <f t="shared" si="12"/>
        <v>2006.266667</v>
      </c>
      <c r="N328" s="19">
        <f t="shared" si="13"/>
        <v>1926.666667</v>
      </c>
    </row>
    <row r="329" ht="24.75" customHeight="1">
      <c r="A329" s="21" t="s">
        <v>292</v>
      </c>
      <c r="B329" s="13">
        <f>IFERROR(__xludf.DUMMYFUNCTION("GOOGLEFINANCE(A329,""PRICE"")"),807.7)</f>
        <v>807.7</v>
      </c>
      <c r="C329" s="14">
        <f>IFERROR(__xludf.DUMMYFUNCTION("GOOGLEFINANCE(A329,""PRICEOPEN"")"),798.9)</f>
        <v>798.9</v>
      </c>
      <c r="D329" s="14">
        <f>IFERROR(__xludf.DUMMYFUNCTION("GOOGLEFINANCE(A329,""HIGH"")"),811.0)</f>
        <v>811</v>
      </c>
      <c r="E329" s="14">
        <f>IFERROR(__xludf.DUMMYFUNCTION("GOOGLEFINANCE(A329,""LOW"")"),798.9)</f>
        <v>798.9</v>
      </c>
      <c r="F329" s="15" t="str">
        <f t="shared" si="8"/>
        <v>BUY</v>
      </c>
      <c r="G329" s="16">
        <f>IFERROR(__xludf.DUMMYFUNCTION("GOOGLEFINANCE(A329,""CLOSEYEST"")"),801.6)</f>
        <v>801.6</v>
      </c>
      <c r="H329" s="17" t="str">
        <f t="shared" si="14"/>
        <v/>
      </c>
      <c r="I329" s="18">
        <f t="shared" si="9"/>
        <v>803.8333333</v>
      </c>
      <c r="J329" s="19">
        <f t="shared" si="10"/>
        <v>808.7666667</v>
      </c>
      <c r="K329" s="19"/>
      <c r="L329" s="19">
        <f t="shared" si="11"/>
        <v>796.6666667</v>
      </c>
      <c r="M329" s="19">
        <f t="shared" si="12"/>
        <v>815.9333333</v>
      </c>
      <c r="N329" s="19">
        <f t="shared" si="13"/>
        <v>791.7333333</v>
      </c>
    </row>
    <row r="330" ht="24.75" customHeight="1">
      <c r="A330" s="21" t="s">
        <v>293</v>
      </c>
      <c r="B330" s="13">
        <f>IFERROR(__xludf.DUMMYFUNCTION("GOOGLEFINANCE(A330,""PRICE"")"),544.05)</f>
        <v>544.05</v>
      </c>
      <c r="C330" s="14">
        <f>IFERROR(__xludf.DUMMYFUNCTION("GOOGLEFINANCE(A330,""PRICEOPEN"")"),549.0)</f>
        <v>549</v>
      </c>
      <c r="D330" s="14">
        <f>IFERROR(__xludf.DUMMYFUNCTION("GOOGLEFINANCE(A330,""HIGH"")"),550.7)</f>
        <v>550.7</v>
      </c>
      <c r="E330" s="14">
        <f>IFERROR(__xludf.DUMMYFUNCTION("GOOGLEFINANCE(A330,""LOW"")"),541.45)</f>
        <v>541.45</v>
      </c>
      <c r="F330" s="15" t="str">
        <f t="shared" si="8"/>
        <v/>
      </c>
      <c r="G330" s="16">
        <f>IFERROR(__xludf.DUMMYFUNCTION("GOOGLEFINANCE(A330,""CLOSEYEST"")"),547.85)</f>
        <v>547.85</v>
      </c>
      <c r="H330" s="17" t="str">
        <f t="shared" si="14"/>
        <v/>
      </c>
      <c r="I330" s="18">
        <f t="shared" si="9"/>
        <v>546.6666667</v>
      </c>
      <c r="J330" s="19">
        <f t="shared" si="10"/>
        <v>551.8833333</v>
      </c>
      <c r="K330" s="19"/>
      <c r="L330" s="19">
        <f t="shared" si="11"/>
        <v>542.6333333</v>
      </c>
      <c r="M330" s="19">
        <f t="shared" si="12"/>
        <v>555.9166667</v>
      </c>
      <c r="N330" s="19">
        <f t="shared" si="13"/>
        <v>537.4166667</v>
      </c>
    </row>
    <row r="331" ht="24.75" customHeight="1">
      <c r="A331" s="21" t="s">
        <v>294</v>
      </c>
      <c r="B331" s="13" t="str">
        <f>IFERROR(__xludf.DUMMYFUNCTION("GOOGLEFINANCE(A331,""PRICE"")"),"#N/A")</f>
        <v>#N/A</v>
      </c>
      <c r="C331" s="14" t="str">
        <f>IFERROR(__xludf.DUMMYFUNCTION("GOOGLEFINANCE(A331,""PRICEOPEN"")"),"#N/A")</f>
        <v>#N/A</v>
      </c>
      <c r="D331" s="14" t="str">
        <f>IFERROR(__xludf.DUMMYFUNCTION("GOOGLEFINANCE(A331,""HIGH"")"),"#N/A")</f>
        <v>#N/A</v>
      </c>
      <c r="E331" s="14" t="str">
        <f>IFERROR(__xludf.DUMMYFUNCTION("GOOGLEFINANCE(A331,""LOW"")"),"#N/A")</f>
        <v>#N/A</v>
      </c>
      <c r="F331" s="15" t="str">
        <f t="shared" si="8"/>
        <v>#N/A</v>
      </c>
      <c r="G331" s="16" t="str">
        <f>IFERROR(__xludf.DUMMYFUNCTION("GOOGLEFINANCE(A331,""CLOSEYEST"")"),"#N/A")</f>
        <v>#N/A</v>
      </c>
      <c r="H331" s="17" t="str">
        <f t="shared" si="14"/>
        <v>#N/A</v>
      </c>
      <c r="I331" s="18" t="str">
        <f t="shared" si="9"/>
        <v>#N/A</v>
      </c>
      <c r="J331" s="19" t="str">
        <f t="shared" si="10"/>
        <v>#N/A</v>
      </c>
      <c r="K331" s="19"/>
      <c r="L331" s="19" t="str">
        <f t="shared" si="11"/>
        <v>#N/A</v>
      </c>
      <c r="M331" s="19" t="str">
        <f t="shared" si="12"/>
        <v>#N/A</v>
      </c>
      <c r="N331" s="19" t="str">
        <f t="shared" si="13"/>
        <v>#N/A</v>
      </c>
    </row>
    <row r="332" ht="24.75" customHeight="1">
      <c r="A332" s="21" t="s">
        <v>295</v>
      </c>
      <c r="B332" s="13">
        <f>IFERROR(__xludf.DUMMYFUNCTION("GOOGLEFINANCE(A332,""PRICE"")"),286.15)</f>
        <v>286.15</v>
      </c>
      <c r="C332" s="14">
        <f>IFERROR(__xludf.DUMMYFUNCTION("GOOGLEFINANCE(A332,""PRICEOPEN"")"),287.6)</f>
        <v>287.6</v>
      </c>
      <c r="D332" s="14">
        <f>IFERROR(__xludf.DUMMYFUNCTION("GOOGLEFINANCE(A332,""HIGH"")"),287.6)</f>
        <v>287.6</v>
      </c>
      <c r="E332" s="14">
        <f>IFERROR(__xludf.DUMMYFUNCTION("GOOGLEFINANCE(A332,""LOW"")"),281.55)</f>
        <v>281.55</v>
      </c>
      <c r="F332" s="15" t="str">
        <f t="shared" si="8"/>
        <v>SELL</v>
      </c>
      <c r="G332" s="16">
        <f>IFERROR(__xludf.DUMMYFUNCTION("GOOGLEFINANCE(A332,""CLOSEYEST"")"),286.35)</f>
        <v>286.35</v>
      </c>
      <c r="H332" s="17" t="str">
        <f t="shared" si="14"/>
        <v/>
      </c>
      <c r="I332" s="18">
        <f t="shared" si="9"/>
        <v>285.1666667</v>
      </c>
      <c r="J332" s="19">
        <f t="shared" si="10"/>
        <v>288.7833333</v>
      </c>
      <c r="K332" s="19"/>
      <c r="L332" s="19">
        <f t="shared" si="11"/>
        <v>282.7333333</v>
      </c>
      <c r="M332" s="19">
        <f t="shared" si="12"/>
        <v>291.2166667</v>
      </c>
      <c r="N332" s="19">
        <f t="shared" si="13"/>
        <v>279.1166667</v>
      </c>
    </row>
    <row r="333" ht="24.75" customHeight="1">
      <c r="A333" s="21" t="s">
        <v>296</v>
      </c>
      <c r="B333" s="13">
        <f>IFERROR(__xludf.DUMMYFUNCTION("GOOGLEFINANCE(A333,""PRICE"")"),1317.0)</f>
        <v>1317</v>
      </c>
      <c r="C333" s="14">
        <f>IFERROR(__xludf.DUMMYFUNCTION("GOOGLEFINANCE(A333,""PRICEOPEN"")"),1296.5)</f>
        <v>1296.5</v>
      </c>
      <c r="D333" s="14">
        <f>IFERROR(__xludf.DUMMYFUNCTION("GOOGLEFINANCE(A333,""HIGH"")"),1329.5)</f>
        <v>1329.5</v>
      </c>
      <c r="E333" s="14">
        <f>IFERROR(__xludf.DUMMYFUNCTION("GOOGLEFINANCE(A333,""LOW"")"),1296.5)</f>
        <v>1296.5</v>
      </c>
      <c r="F333" s="15" t="str">
        <f t="shared" si="8"/>
        <v>BUY</v>
      </c>
      <c r="G333" s="16">
        <f>IFERROR(__xludf.DUMMYFUNCTION("GOOGLEFINANCE(A333,""CLOSEYEST"")"),1309.1)</f>
        <v>1309.1</v>
      </c>
      <c r="H333" s="17" t="str">
        <f t="shared" si="14"/>
        <v/>
      </c>
      <c r="I333" s="18">
        <f t="shared" si="9"/>
        <v>1311.7</v>
      </c>
      <c r="J333" s="19">
        <f t="shared" si="10"/>
        <v>1326.9</v>
      </c>
      <c r="K333" s="19"/>
      <c r="L333" s="19">
        <f t="shared" si="11"/>
        <v>1293.9</v>
      </c>
      <c r="M333" s="19">
        <f t="shared" si="12"/>
        <v>1344.7</v>
      </c>
      <c r="N333" s="19">
        <f t="shared" si="13"/>
        <v>1278.7</v>
      </c>
    </row>
    <row r="334" ht="24.75" customHeight="1">
      <c r="A334" s="21" t="s">
        <v>297</v>
      </c>
      <c r="B334" s="13">
        <f>IFERROR(__xludf.DUMMYFUNCTION("GOOGLEFINANCE(A334,""PRICE"")"),3819.0)</f>
        <v>3819</v>
      </c>
      <c r="C334" s="14">
        <f>IFERROR(__xludf.DUMMYFUNCTION("GOOGLEFINANCE(A334,""PRICEOPEN"")"),3858.0)</f>
        <v>3858</v>
      </c>
      <c r="D334" s="14">
        <f>IFERROR(__xludf.DUMMYFUNCTION("GOOGLEFINANCE(A334,""HIGH"")"),3865.0)</f>
        <v>3865</v>
      </c>
      <c r="E334" s="14">
        <f>IFERROR(__xludf.DUMMYFUNCTION("GOOGLEFINANCE(A334,""LOW"")"),3788.5)</f>
        <v>3788.5</v>
      </c>
      <c r="F334" s="15" t="str">
        <f t="shared" si="8"/>
        <v/>
      </c>
      <c r="G334" s="16">
        <f>IFERROR(__xludf.DUMMYFUNCTION("GOOGLEFINANCE(A334,""CLOSEYEST"")"),3823.2)</f>
        <v>3823.2</v>
      </c>
      <c r="H334" s="17" t="str">
        <f t="shared" si="14"/>
        <v/>
      </c>
      <c r="I334" s="18">
        <f t="shared" si="9"/>
        <v>3825.566667</v>
      </c>
      <c r="J334" s="19">
        <f t="shared" si="10"/>
        <v>3862.633333</v>
      </c>
      <c r="K334" s="19"/>
      <c r="L334" s="19">
        <f t="shared" si="11"/>
        <v>3786.133333</v>
      </c>
      <c r="M334" s="19">
        <f t="shared" si="12"/>
        <v>3902.066667</v>
      </c>
      <c r="N334" s="19">
        <f t="shared" si="13"/>
        <v>3749.066667</v>
      </c>
    </row>
    <row r="335" ht="24.75" customHeight="1">
      <c r="A335" s="21" t="s">
        <v>298</v>
      </c>
      <c r="B335" s="13">
        <f>IFERROR(__xludf.DUMMYFUNCTION("GOOGLEFINANCE(A335,""PRICE"")"),911.0)</f>
        <v>911</v>
      </c>
      <c r="C335" s="14">
        <f>IFERROR(__xludf.DUMMYFUNCTION("GOOGLEFINANCE(A335,""PRICEOPEN"")"),903.7)</f>
        <v>903.7</v>
      </c>
      <c r="D335" s="14">
        <f>IFERROR(__xludf.DUMMYFUNCTION("GOOGLEFINANCE(A335,""HIGH"")"),914.0)</f>
        <v>914</v>
      </c>
      <c r="E335" s="14">
        <f>IFERROR(__xludf.DUMMYFUNCTION("GOOGLEFINANCE(A335,""LOW"")"),896.4)</f>
        <v>896.4</v>
      </c>
      <c r="F335" s="15" t="str">
        <f t="shared" si="8"/>
        <v/>
      </c>
      <c r="G335" s="16">
        <f>IFERROR(__xludf.DUMMYFUNCTION("GOOGLEFINANCE(A335,""CLOSEYEST"")"),900.1)</f>
        <v>900.1</v>
      </c>
      <c r="H335" s="17" t="str">
        <f t="shared" si="14"/>
        <v/>
      </c>
      <c r="I335" s="18">
        <f t="shared" si="9"/>
        <v>903.5</v>
      </c>
      <c r="J335" s="19">
        <f t="shared" si="10"/>
        <v>910.6</v>
      </c>
      <c r="K335" s="19"/>
      <c r="L335" s="19">
        <f t="shared" si="11"/>
        <v>893</v>
      </c>
      <c r="M335" s="19">
        <f t="shared" si="12"/>
        <v>921.1</v>
      </c>
      <c r="N335" s="19">
        <f t="shared" si="13"/>
        <v>885.9</v>
      </c>
    </row>
    <row r="336" ht="24.75" customHeight="1">
      <c r="A336" s="21" t="s">
        <v>299</v>
      </c>
      <c r="B336" s="13">
        <f>IFERROR(__xludf.DUMMYFUNCTION("GOOGLEFINANCE(A336,""PRICE"")"),641.0)</f>
        <v>641</v>
      </c>
      <c r="C336" s="14">
        <f>IFERROR(__xludf.DUMMYFUNCTION("GOOGLEFINANCE(A336,""PRICEOPEN"")"),642.8)</f>
        <v>642.8</v>
      </c>
      <c r="D336" s="14">
        <f>IFERROR(__xludf.DUMMYFUNCTION("GOOGLEFINANCE(A336,""HIGH"")"),648.0)</f>
        <v>648</v>
      </c>
      <c r="E336" s="14">
        <f>IFERROR(__xludf.DUMMYFUNCTION("GOOGLEFINANCE(A336,""LOW"")"),637.1)</f>
        <v>637.1</v>
      </c>
      <c r="F336" s="15" t="str">
        <f t="shared" si="8"/>
        <v/>
      </c>
      <c r="G336" s="16">
        <f>IFERROR(__xludf.DUMMYFUNCTION("GOOGLEFINANCE(A336,""CLOSEYEST"")"),637.05)</f>
        <v>637.05</v>
      </c>
      <c r="H336" s="17" t="str">
        <f t="shared" si="14"/>
        <v/>
      </c>
      <c r="I336" s="18">
        <f t="shared" si="9"/>
        <v>640.7166667</v>
      </c>
      <c r="J336" s="19">
        <f t="shared" si="10"/>
        <v>644.3333333</v>
      </c>
      <c r="K336" s="19"/>
      <c r="L336" s="19">
        <f t="shared" si="11"/>
        <v>633.4333333</v>
      </c>
      <c r="M336" s="19">
        <f t="shared" si="12"/>
        <v>651.6166667</v>
      </c>
      <c r="N336" s="19">
        <f t="shared" si="13"/>
        <v>629.8166667</v>
      </c>
    </row>
    <row r="337" ht="24.75" customHeight="1">
      <c r="A337" s="21" t="s">
        <v>300</v>
      </c>
      <c r="B337" s="13">
        <f>IFERROR(__xludf.DUMMYFUNCTION("GOOGLEFINANCE(A337,""PRICE"")"),56.52)</f>
        <v>56.52</v>
      </c>
      <c r="C337" s="14">
        <f>IFERROR(__xludf.DUMMYFUNCTION("GOOGLEFINANCE(A337,""PRICEOPEN"")"),55.67)</f>
        <v>55.67</v>
      </c>
      <c r="D337" s="14">
        <f>IFERROR(__xludf.DUMMYFUNCTION("GOOGLEFINANCE(A337,""HIGH"")"),57.1)</f>
        <v>57.1</v>
      </c>
      <c r="E337" s="14">
        <f>IFERROR(__xludf.DUMMYFUNCTION("GOOGLEFINANCE(A337,""LOW"")"),55.66)</f>
        <v>55.66</v>
      </c>
      <c r="F337" s="15" t="str">
        <f t="shared" si="8"/>
        <v/>
      </c>
      <c r="G337" s="16">
        <f>IFERROR(__xludf.DUMMYFUNCTION("GOOGLEFINANCE(A337,""CLOSEYEST"")"),55.95)</f>
        <v>55.95</v>
      </c>
      <c r="H337" s="17" t="str">
        <f t="shared" si="14"/>
        <v/>
      </c>
      <c r="I337" s="18">
        <f t="shared" si="9"/>
        <v>56.23666667</v>
      </c>
      <c r="J337" s="19">
        <f t="shared" si="10"/>
        <v>56.81333333</v>
      </c>
      <c r="K337" s="19"/>
      <c r="L337" s="19">
        <f t="shared" si="11"/>
        <v>55.37333333</v>
      </c>
      <c r="M337" s="19">
        <f t="shared" si="12"/>
        <v>57.67666667</v>
      </c>
      <c r="N337" s="19">
        <f t="shared" si="13"/>
        <v>54.79666667</v>
      </c>
    </row>
    <row r="338" ht="24.75" customHeight="1">
      <c r="A338" s="21" t="s">
        <v>301</v>
      </c>
      <c r="B338" s="13">
        <f>IFERROR(__xludf.DUMMYFUNCTION("GOOGLEFINANCE(A338,""PRICE"")"),4696.0)</f>
        <v>4696</v>
      </c>
      <c r="C338" s="14">
        <f>IFERROR(__xludf.DUMMYFUNCTION("GOOGLEFINANCE(A338,""PRICEOPEN"")"),4630.0)</f>
        <v>4630</v>
      </c>
      <c r="D338" s="14">
        <f>IFERROR(__xludf.DUMMYFUNCTION("GOOGLEFINANCE(A338,""HIGH"")"),4829.9)</f>
        <v>4829.9</v>
      </c>
      <c r="E338" s="14">
        <f>IFERROR(__xludf.DUMMYFUNCTION("GOOGLEFINANCE(A338,""LOW"")"),4595.0)</f>
        <v>4595</v>
      </c>
      <c r="F338" s="15" t="str">
        <f t="shared" si="8"/>
        <v/>
      </c>
      <c r="G338" s="16">
        <f>IFERROR(__xludf.DUMMYFUNCTION("GOOGLEFINANCE(A338,""CLOSEYEST"")"),4589.7)</f>
        <v>4589.7</v>
      </c>
      <c r="H338" s="17" t="str">
        <f t="shared" si="14"/>
        <v/>
      </c>
      <c r="I338" s="18">
        <f t="shared" si="9"/>
        <v>4671.533333</v>
      </c>
      <c r="J338" s="19">
        <f t="shared" si="10"/>
        <v>4748.066667</v>
      </c>
      <c r="K338" s="19"/>
      <c r="L338" s="19">
        <f t="shared" si="11"/>
        <v>4513.166667</v>
      </c>
      <c r="M338" s="19">
        <f t="shared" si="12"/>
        <v>4906.433333</v>
      </c>
      <c r="N338" s="19">
        <f t="shared" si="13"/>
        <v>4436.633333</v>
      </c>
    </row>
    <row r="339" ht="24.75" customHeight="1">
      <c r="A339" s="21" t="s">
        <v>302</v>
      </c>
      <c r="B339" s="13">
        <f>IFERROR(__xludf.DUMMYFUNCTION("GOOGLEFINANCE(A339,""PRICE"")"),895.2)</f>
        <v>895.2</v>
      </c>
      <c r="C339" s="14">
        <f>IFERROR(__xludf.DUMMYFUNCTION("GOOGLEFINANCE(A339,""PRICEOPEN"")"),876.2)</f>
        <v>876.2</v>
      </c>
      <c r="D339" s="14">
        <f>IFERROR(__xludf.DUMMYFUNCTION("GOOGLEFINANCE(A339,""HIGH"")"),898.0)</f>
        <v>898</v>
      </c>
      <c r="E339" s="14">
        <f>IFERROR(__xludf.DUMMYFUNCTION("GOOGLEFINANCE(A339,""LOW"")"),870.0)</f>
        <v>870</v>
      </c>
      <c r="F339" s="15" t="str">
        <f t="shared" si="8"/>
        <v/>
      </c>
      <c r="G339" s="16">
        <f>IFERROR(__xludf.DUMMYFUNCTION("GOOGLEFINANCE(A339,""CLOSEYEST"")"),868.5)</f>
        <v>868.5</v>
      </c>
      <c r="H339" s="17" t="str">
        <f t="shared" si="14"/>
        <v/>
      </c>
      <c r="I339" s="18">
        <f t="shared" si="9"/>
        <v>878.8333333</v>
      </c>
      <c r="J339" s="19">
        <f t="shared" si="10"/>
        <v>887.6666667</v>
      </c>
      <c r="K339" s="19"/>
      <c r="L339" s="19">
        <f t="shared" si="11"/>
        <v>859.6666667</v>
      </c>
      <c r="M339" s="19">
        <f t="shared" si="12"/>
        <v>906.8333333</v>
      </c>
      <c r="N339" s="19">
        <f t="shared" si="13"/>
        <v>850.8333333</v>
      </c>
    </row>
    <row r="340" ht="24.75" customHeight="1">
      <c r="A340" s="21" t="s">
        <v>303</v>
      </c>
      <c r="B340" s="13">
        <f>IFERROR(__xludf.DUMMYFUNCTION("GOOGLEFINANCE(A340,""PRICE"")"),1755.0)</f>
        <v>1755</v>
      </c>
      <c r="C340" s="14">
        <f>IFERROR(__xludf.DUMMYFUNCTION("GOOGLEFINANCE(A340,""PRICEOPEN"")"),1741.9)</f>
        <v>1741.9</v>
      </c>
      <c r="D340" s="14">
        <f>IFERROR(__xludf.DUMMYFUNCTION("GOOGLEFINANCE(A340,""HIGH"")"),1803.0)</f>
        <v>1803</v>
      </c>
      <c r="E340" s="14">
        <f>IFERROR(__xludf.DUMMYFUNCTION("GOOGLEFINANCE(A340,""LOW"")"),1737.9)</f>
        <v>1737.9</v>
      </c>
      <c r="F340" s="15" t="str">
        <f t="shared" si="8"/>
        <v/>
      </c>
      <c r="G340" s="16">
        <f>IFERROR(__xludf.DUMMYFUNCTION("GOOGLEFINANCE(A340,""CLOSEYEST"")"),1731.5)</f>
        <v>1731.5</v>
      </c>
      <c r="H340" s="17" t="str">
        <f t="shared" si="14"/>
        <v/>
      </c>
      <c r="I340" s="18">
        <f t="shared" si="9"/>
        <v>1757.466667</v>
      </c>
      <c r="J340" s="19">
        <f t="shared" si="10"/>
        <v>1777.033333</v>
      </c>
      <c r="K340" s="19"/>
      <c r="L340" s="19">
        <f t="shared" si="11"/>
        <v>1711.933333</v>
      </c>
      <c r="M340" s="19">
        <f t="shared" si="12"/>
        <v>1822.566667</v>
      </c>
      <c r="N340" s="19">
        <f t="shared" si="13"/>
        <v>1692.366667</v>
      </c>
    </row>
    <row r="341" ht="24.75" customHeight="1">
      <c r="A341" s="21" t="s">
        <v>304</v>
      </c>
      <c r="B341" s="13">
        <f>IFERROR(__xludf.DUMMYFUNCTION("GOOGLEFINANCE(A341,""PRICE"")"),1667.1)</f>
        <v>1667.1</v>
      </c>
      <c r="C341" s="14">
        <f>IFERROR(__xludf.DUMMYFUNCTION("GOOGLEFINANCE(A341,""PRICEOPEN"")"),1690.0)</f>
        <v>1690</v>
      </c>
      <c r="D341" s="14">
        <f>IFERROR(__xludf.DUMMYFUNCTION("GOOGLEFINANCE(A341,""HIGH"")"),1695.0)</f>
        <v>1695</v>
      </c>
      <c r="E341" s="14">
        <f>IFERROR(__xludf.DUMMYFUNCTION("GOOGLEFINANCE(A341,""LOW"")"),1665.0)</f>
        <v>1665</v>
      </c>
      <c r="F341" s="15" t="str">
        <f t="shared" si="8"/>
        <v/>
      </c>
      <c r="G341" s="16">
        <f>IFERROR(__xludf.DUMMYFUNCTION("GOOGLEFINANCE(A341,""CLOSEYEST"")"),1689.7)</f>
        <v>1689.7</v>
      </c>
      <c r="H341" s="17" t="str">
        <f t="shared" si="14"/>
        <v/>
      </c>
      <c r="I341" s="18">
        <f t="shared" si="9"/>
        <v>1683.233333</v>
      </c>
      <c r="J341" s="19">
        <f t="shared" si="10"/>
        <v>1701.466667</v>
      </c>
      <c r="K341" s="19"/>
      <c r="L341" s="19">
        <f t="shared" si="11"/>
        <v>1671.466667</v>
      </c>
      <c r="M341" s="19">
        <f t="shared" si="12"/>
        <v>1713.233333</v>
      </c>
      <c r="N341" s="19">
        <f t="shared" si="13"/>
        <v>1653.233333</v>
      </c>
    </row>
    <row r="342" ht="24.75" customHeight="1">
      <c r="A342" s="21" t="s">
        <v>305</v>
      </c>
      <c r="B342" s="13" t="str">
        <f>IFERROR(__xludf.DUMMYFUNCTION("GOOGLEFINANCE(A342,""PRICE"")"),"#N/A")</f>
        <v>#N/A</v>
      </c>
      <c r="C342" s="14" t="str">
        <f>IFERROR(__xludf.DUMMYFUNCTION("GOOGLEFINANCE(A342,""PRICEOPEN"")"),"#N/A")</f>
        <v>#N/A</v>
      </c>
      <c r="D342" s="14" t="str">
        <f>IFERROR(__xludf.DUMMYFUNCTION("GOOGLEFINANCE(A342,""HIGH"")"),"#N/A")</f>
        <v>#N/A</v>
      </c>
      <c r="E342" s="14" t="str">
        <f>IFERROR(__xludf.DUMMYFUNCTION("GOOGLEFINANCE(A342,""LOW"")"),"#N/A")</f>
        <v>#N/A</v>
      </c>
      <c r="F342" s="15" t="str">
        <f t="shared" si="8"/>
        <v>#N/A</v>
      </c>
      <c r="G342" s="16" t="str">
        <f>IFERROR(__xludf.DUMMYFUNCTION("GOOGLEFINANCE(A342,""CLOSEYEST"")"),"#N/A")</f>
        <v>#N/A</v>
      </c>
      <c r="H342" s="17" t="str">
        <f t="shared" si="14"/>
        <v>#N/A</v>
      </c>
      <c r="I342" s="18" t="str">
        <f t="shared" si="9"/>
        <v>#N/A</v>
      </c>
      <c r="J342" s="19" t="str">
        <f t="shared" si="10"/>
        <v>#N/A</v>
      </c>
      <c r="K342" s="19"/>
      <c r="L342" s="19" t="str">
        <f t="shared" si="11"/>
        <v>#N/A</v>
      </c>
      <c r="M342" s="19" t="str">
        <f t="shared" si="12"/>
        <v>#N/A</v>
      </c>
      <c r="N342" s="19" t="str">
        <f t="shared" si="13"/>
        <v>#N/A</v>
      </c>
    </row>
    <row r="343" ht="24.75" customHeight="1">
      <c r="A343" s="21" t="s">
        <v>306</v>
      </c>
      <c r="B343" s="13">
        <f>IFERROR(__xludf.DUMMYFUNCTION("GOOGLEFINANCE(A343,""PRICE"")"),748.0)</f>
        <v>748</v>
      </c>
      <c r="C343" s="14">
        <f>IFERROR(__xludf.DUMMYFUNCTION("GOOGLEFINANCE(A343,""PRICEOPEN"")"),741.8)</f>
        <v>741.8</v>
      </c>
      <c r="D343" s="14">
        <f>IFERROR(__xludf.DUMMYFUNCTION("GOOGLEFINANCE(A343,""HIGH"")"),752.45)</f>
        <v>752.45</v>
      </c>
      <c r="E343" s="14">
        <f>IFERROR(__xludf.DUMMYFUNCTION("GOOGLEFINANCE(A343,""LOW"")"),732.0)</f>
        <v>732</v>
      </c>
      <c r="F343" s="15" t="str">
        <f t="shared" si="8"/>
        <v/>
      </c>
      <c r="G343" s="16">
        <f>IFERROR(__xludf.DUMMYFUNCTION("GOOGLEFINANCE(A343,""CLOSEYEST"")"),741.8)</f>
        <v>741.8</v>
      </c>
      <c r="H343" s="17" t="str">
        <f t="shared" si="14"/>
        <v/>
      </c>
      <c r="I343" s="18">
        <f t="shared" si="9"/>
        <v>742.0833333</v>
      </c>
      <c r="J343" s="19">
        <f t="shared" si="10"/>
        <v>752.1666667</v>
      </c>
      <c r="K343" s="19"/>
      <c r="L343" s="19">
        <f t="shared" si="11"/>
        <v>731.7166667</v>
      </c>
      <c r="M343" s="19">
        <f t="shared" si="12"/>
        <v>762.5333333</v>
      </c>
      <c r="N343" s="19">
        <f t="shared" si="13"/>
        <v>721.6333333</v>
      </c>
    </row>
    <row r="344" ht="24.75" customHeight="1">
      <c r="A344" s="21" t="s">
        <v>307</v>
      </c>
      <c r="B344" s="13" t="str">
        <f>IFERROR(__xludf.DUMMYFUNCTION("GOOGLEFINANCE(A344,""PRICE"")"),"#N/A")</f>
        <v>#N/A</v>
      </c>
      <c r="C344" s="14" t="str">
        <f>IFERROR(__xludf.DUMMYFUNCTION("GOOGLEFINANCE(A344,""PRICEOPEN"")"),"#N/A")</f>
        <v>#N/A</v>
      </c>
      <c r="D344" s="14" t="str">
        <f>IFERROR(__xludf.DUMMYFUNCTION("GOOGLEFINANCE(A344,""HIGH"")"),"#N/A")</f>
        <v>#N/A</v>
      </c>
      <c r="E344" s="14" t="str">
        <f>IFERROR(__xludf.DUMMYFUNCTION("GOOGLEFINANCE(A344,""LOW"")"),"#N/A")</f>
        <v>#N/A</v>
      </c>
      <c r="F344" s="15" t="str">
        <f t="shared" si="8"/>
        <v>#N/A</v>
      </c>
      <c r="G344" s="16" t="str">
        <f>IFERROR(__xludf.DUMMYFUNCTION("GOOGLEFINANCE(A344,""CLOSEYEST"")"),"#N/A")</f>
        <v>#N/A</v>
      </c>
      <c r="H344" s="17" t="str">
        <f t="shared" si="14"/>
        <v>#N/A</v>
      </c>
      <c r="I344" s="18" t="str">
        <f t="shared" si="9"/>
        <v>#N/A</v>
      </c>
      <c r="J344" s="19" t="str">
        <f t="shared" si="10"/>
        <v>#N/A</v>
      </c>
      <c r="K344" s="19"/>
      <c r="L344" s="19" t="str">
        <f t="shared" si="11"/>
        <v>#N/A</v>
      </c>
      <c r="M344" s="19" t="str">
        <f t="shared" si="12"/>
        <v>#N/A</v>
      </c>
      <c r="N344" s="19" t="str">
        <f t="shared" si="13"/>
        <v>#N/A</v>
      </c>
    </row>
    <row r="345" ht="24.75" customHeight="1">
      <c r="A345" s="21" t="s">
        <v>308</v>
      </c>
      <c r="B345" s="13">
        <f>IFERROR(__xludf.DUMMYFUNCTION("GOOGLEFINANCE(A345,""PRICE"")"),279.0)</f>
        <v>279</v>
      </c>
      <c r="C345" s="14">
        <f>IFERROR(__xludf.DUMMYFUNCTION("GOOGLEFINANCE(A345,""PRICEOPEN"")"),279.0)</f>
        <v>279</v>
      </c>
      <c r="D345" s="14">
        <f>IFERROR(__xludf.DUMMYFUNCTION("GOOGLEFINANCE(A345,""HIGH"")"),282.45)</f>
        <v>282.45</v>
      </c>
      <c r="E345" s="14">
        <f>IFERROR(__xludf.DUMMYFUNCTION("GOOGLEFINANCE(A345,""LOW"")"),277.2)</f>
        <v>277.2</v>
      </c>
      <c r="F345" s="15" t="str">
        <f t="shared" si="8"/>
        <v/>
      </c>
      <c r="G345" s="16">
        <f>IFERROR(__xludf.DUMMYFUNCTION("GOOGLEFINANCE(A345,""CLOSEYEST"")"),279.0)</f>
        <v>279</v>
      </c>
      <c r="H345" s="17" t="str">
        <f t="shared" si="14"/>
        <v/>
      </c>
      <c r="I345" s="18">
        <f t="shared" si="9"/>
        <v>279.55</v>
      </c>
      <c r="J345" s="19">
        <f t="shared" si="10"/>
        <v>281.9</v>
      </c>
      <c r="K345" s="19"/>
      <c r="L345" s="19">
        <f t="shared" si="11"/>
        <v>276.65</v>
      </c>
      <c r="M345" s="19">
        <f t="shared" si="12"/>
        <v>284.8</v>
      </c>
      <c r="N345" s="19">
        <f t="shared" si="13"/>
        <v>274.3</v>
      </c>
    </row>
    <row r="346" ht="24.75" customHeight="1">
      <c r="A346" s="21" t="s">
        <v>309</v>
      </c>
      <c r="B346" s="13">
        <f>IFERROR(__xludf.DUMMYFUNCTION("GOOGLEFINANCE(A346,""PRICE"")"),22.29)</f>
        <v>22.29</v>
      </c>
      <c r="C346" s="14">
        <f>IFERROR(__xludf.DUMMYFUNCTION("GOOGLEFINANCE(A346,""PRICEOPEN"")"),22.55)</f>
        <v>22.55</v>
      </c>
      <c r="D346" s="14">
        <f>IFERROR(__xludf.DUMMYFUNCTION("GOOGLEFINANCE(A346,""HIGH"")"),22.55)</f>
        <v>22.55</v>
      </c>
      <c r="E346" s="14">
        <f>IFERROR(__xludf.DUMMYFUNCTION("GOOGLEFINANCE(A346,""LOW"")"),22.21)</f>
        <v>22.21</v>
      </c>
      <c r="F346" s="15" t="str">
        <f t="shared" si="8"/>
        <v>SELL</v>
      </c>
      <c r="G346" s="16">
        <f>IFERROR(__xludf.DUMMYFUNCTION("GOOGLEFINANCE(A346,""CLOSEYEST"")"),22.17)</f>
        <v>22.17</v>
      </c>
      <c r="H346" s="17" t="str">
        <f t="shared" si="14"/>
        <v>GAP UP</v>
      </c>
      <c r="I346" s="18">
        <f t="shared" si="9"/>
        <v>22.31</v>
      </c>
      <c r="J346" s="19">
        <f t="shared" si="10"/>
        <v>22.41</v>
      </c>
      <c r="K346" s="19"/>
      <c r="L346" s="19">
        <f t="shared" si="11"/>
        <v>22.07</v>
      </c>
      <c r="M346" s="19">
        <f t="shared" si="12"/>
        <v>22.65</v>
      </c>
      <c r="N346" s="19">
        <f t="shared" si="13"/>
        <v>21.97</v>
      </c>
    </row>
    <row r="347" ht="24.75" customHeight="1">
      <c r="A347" s="21" t="s">
        <v>310</v>
      </c>
      <c r="B347" s="13">
        <f>IFERROR(__xludf.DUMMYFUNCTION("GOOGLEFINANCE(A347,""PRICE"")"),16.54)</f>
        <v>16.54</v>
      </c>
      <c r="C347" s="14">
        <f>IFERROR(__xludf.DUMMYFUNCTION("GOOGLEFINANCE(A347,""PRICEOPEN"")"),16.58)</f>
        <v>16.58</v>
      </c>
      <c r="D347" s="14">
        <f>IFERROR(__xludf.DUMMYFUNCTION("GOOGLEFINANCE(A347,""HIGH"")"),16.58)</f>
        <v>16.58</v>
      </c>
      <c r="E347" s="14">
        <f>IFERROR(__xludf.DUMMYFUNCTION("GOOGLEFINANCE(A347,""LOW"")"),16.54)</f>
        <v>16.54</v>
      </c>
      <c r="F347" s="15" t="str">
        <f t="shared" si="8"/>
        <v>SELL</v>
      </c>
      <c r="G347" s="16">
        <f>IFERROR(__xludf.DUMMYFUNCTION("GOOGLEFINANCE(A347,""CLOSEYEST"")"),16.53)</f>
        <v>16.53</v>
      </c>
      <c r="H347" s="17" t="str">
        <f t="shared" si="14"/>
        <v/>
      </c>
      <c r="I347" s="18">
        <f t="shared" si="9"/>
        <v>16.55</v>
      </c>
      <c r="J347" s="19">
        <f t="shared" si="10"/>
        <v>16.56</v>
      </c>
      <c r="K347" s="19"/>
      <c r="L347" s="19">
        <f t="shared" si="11"/>
        <v>16.52</v>
      </c>
      <c r="M347" s="19">
        <f t="shared" si="12"/>
        <v>16.59</v>
      </c>
      <c r="N347" s="19">
        <f t="shared" si="13"/>
        <v>16.51</v>
      </c>
    </row>
    <row r="348" ht="24.75" customHeight="1">
      <c r="A348" s="21" t="s">
        <v>311</v>
      </c>
      <c r="B348" s="13">
        <f>IFERROR(__xludf.DUMMYFUNCTION("GOOGLEFINANCE(A348,""PRICE"")"),337.65)</f>
        <v>337.65</v>
      </c>
      <c r="C348" s="14">
        <f>IFERROR(__xludf.DUMMYFUNCTION("GOOGLEFINANCE(A348,""PRICEOPEN"")"),338.0)</f>
        <v>338</v>
      </c>
      <c r="D348" s="14">
        <f>IFERROR(__xludf.DUMMYFUNCTION("GOOGLEFINANCE(A348,""HIGH"")"),343.7)</f>
        <v>343.7</v>
      </c>
      <c r="E348" s="14">
        <f>IFERROR(__xludf.DUMMYFUNCTION("GOOGLEFINANCE(A348,""LOW"")"),335.0)</f>
        <v>335</v>
      </c>
      <c r="F348" s="15" t="str">
        <f t="shared" si="8"/>
        <v/>
      </c>
      <c r="G348" s="16">
        <f>IFERROR(__xludf.DUMMYFUNCTION("GOOGLEFINANCE(A348,""CLOSEYEST"")"),335.3)</f>
        <v>335.3</v>
      </c>
      <c r="H348" s="17" t="str">
        <f t="shared" si="14"/>
        <v/>
      </c>
      <c r="I348" s="18">
        <f t="shared" si="9"/>
        <v>338</v>
      </c>
      <c r="J348" s="19">
        <f t="shared" si="10"/>
        <v>341</v>
      </c>
      <c r="K348" s="19"/>
      <c r="L348" s="19">
        <f t="shared" si="11"/>
        <v>332.3</v>
      </c>
      <c r="M348" s="19">
        <f t="shared" si="12"/>
        <v>346.7</v>
      </c>
      <c r="N348" s="19">
        <f t="shared" si="13"/>
        <v>329.3</v>
      </c>
    </row>
    <row r="349" ht="24.75" customHeight="1">
      <c r="A349" s="21" t="s">
        <v>312</v>
      </c>
      <c r="B349" s="13">
        <f>IFERROR(__xludf.DUMMYFUNCTION("GOOGLEFINANCE(A349,""PRICE"")"),91.52)</f>
        <v>91.52</v>
      </c>
      <c r="C349" s="14">
        <f>IFERROR(__xludf.DUMMYFUNCTION("GOOGLEFINANCE(A349,""PRICEOPEN"")"),91.34)</f>
        <v>91.34</v>
      </c>
      <c r="D349" s="14">
        <f>IFERROR(__xludf.DUMMYFUNCTION("GOOGLEFINANCE(A349,""HIGH"")"),92.16)</f>
        <v>92.16</v>
      </c>
      <c r="E349" s="14">
        <f>IFERROR(__xludf.DUMMYFUNCTION("GOOGLEFINANCE(A349,""LOW"")"),90.88)</f>
        <v>90.88</v>
      </c>
      <c r="F349" s="15" t="str">
        <f t="shared" si="8"/>
        <v/>
      </c>
      <c r="G349" s="16">
        <f>IFERROR(__xludf.DUMMYFUNCTION("GOOGLEFINANCE(A349,""CLOSEYEST"")"),90.95)</f>
        <v>90.95</v>
      </c>
      <c r="H349" s="17" t="str">
        <f t="shared" si="14"/>
        <v/>
      </c>
      <c r="I349" s="18">
        <f t="shared" si="9"/>
        <v>91.33</v>
      </c>
      <c r="J349" s="19">
        <f t="shared" si="10"/>
        <v>91.78</v>
      </c>
      <c r="K349" s="19"/>
      <c r="L349" s="19">
        <f t="shared" si="11"/>
        <v>90.5</v>
      </c>
      <c r="M349" s="19">
        <f t="shared" si="12"/>
        <v>92.61</v>
      </c>
      <c r="N349" s="19">
        <f t="shared" si="13"/>
        <v>90.05</v>
      </c>
    </row>
    <row r="350" ht="24.75" customHeight="1">
      <c r="A350" s="21" t="s">
        <v>313</v>
      </c>
      <c r="B350" s="13">
        <f>IFERROR(__xludf.DUMMYFUNCTION("GOOGLEFINANCE(A350,""PRICE"")"),214.5)</f>
        <v>214.5</v>
      </c>
      <c r="C350" s="14">
        <f>IFERROR(__xludf.DUMMYFUNCTION("GOOGLEFINANCE(A350,""PRICEOPEN"")"),210.0)</f>
        <v>210</v>
      </c>
      <c r="D350" s="14">
        <f>IFERROR(__xludf.DUMMYFUNCTION("GOOGLEFINANCE(A350,""HIGH"")"),216.8)</f>
        <v>216.8</v>
      </c>
      <c r="E350" s="14">
        <f>IFERROR(__xludf.DUMMYFUNCTION("GOOGLEFINANCE(A350,""LOW"")"),209.63)</f>
        <v>209.63</v>
      </c>
      <c r="F350" s="15" t="str">
        <f t="shared" si="8"/>
        <v/>
      </c>
      <c r="G350" s="16">
        <f>IFERROR(__xludf.DUMMYFUNCTION("GOOGLEFINANCE(A350,""CLOSEYEST"")"),209.03)</f>
        <v>209.03</v>
      </c>
      <c r="H350" s="17" t="str">
        <f t="shared" si="14"/>
        <v/>
      </c>
      <c r="I350" s="18">
        <f t="shared" si="9"/>
        <v>211.82</v>
      </c>
      <c r="J350" s="19">
        <f t="shared" si="10"/>
        <v>214.01</v>
      </c>
      <c r="K350" s="19"/>
      <c r="L350" s="19">
        <f t="shared" si="11"/>
        <v>206.84</v>
      </c>
      <c r="M350" s="19">
        <f t="shared" si="12"/>
        <v>218.99</v>
      </c>
      <c r="N350" s="19">
        <f t="shared" si="13"/>
        <v>204.65</v>
      </c>
    </row>
    <row r="351" ht="24.75" customHeight="1">
      <c r="A351" s="21" t="s">
        <v>314</v>
      </c>
      <c r="B351" s="13">
        <f>IFERROR(__xludf.DUMMYFUNCTION("GOOGLEFINANCE(A351,""PRICE"")"),206.1)</f>
        <v>206.1</v>
      </c>
      <c r="C351" s="14">
        <f>IFERROR(__xludf.DUMMYFUNCTION("GOOGLEFINANCE(A351,""PRICEOPEN"")"),200.2)</f>
        <v>200.2</v>
      </c>
      <c r="D351" s="14">
        <f>IFERROR(__xludf.DUMMYFUNCTION("GOOGLEFINANCE(A351,""HIGH"")"),206.69)</f>
        <v>206.69</v>
      </c>
      <c r="E351" s="14">
        <f>IFERROR(__xludf.DUMMYFUNCTION("GOOGLEFINANCE(A351,""LOW"")"),199.67)</f>
        <v>199.67</v>
      </c>
      <c r="F351" s="15" t="str">
        <f t="shared" si="8"/>
        <v/>
      </c>
      <c r="G351" s="16">
        <f>IFERROR(__xludf.DUMMYFUNCTION("GOOGLEFINANCE(A351,""CLOSEYEST"")"),199.4)</f>
        <v>199.4</v>
      </c>
      <c r="H351" s="17" t="str">
        <f t="shared" si="14"/>
        <v/>
      </c>
      <c r="I351" s="18">
        <f t="shared" si="9"/>
        <v>201.92</v>
      </c>
      <c r="J351" s="19">
        <f t="shared" si="10"/>
        <v>204.17</v>
      </c>
      <c r="K351" s="19"/>
      <c r="L351" s="19">
        <f t="shared" si="11"/>
        <v>197.15</v>
      </c>
      <c r="M351" s="19">
        <f t="shared" si="12"/>
        <v>208.94</v>
      </c>
      <c r="N351" s="19">
        <f t="shared" si="13"/>
        <v>194.9</v>
      </c>
    </row>
    <row r="352" ht="24.75" customHeight="1">
      <c r="A352" s="21" t="s">
        <v>315</v>
      </c>
      <c r="B352" s="13">
        <f>IFERROR(__xludf.DUMMYFUNCTION("GOOGLEFINANCE(A352,""PRICE"")"),166.0)</f>
        <v>166</v>
      </c>
      <c r="C352" s="14">
        <f>IFERROR(__xludf.DUMMYFUNCTION("GOOGLEFINANCE(A352,""PRICEOPEN"")"),163.2)</f>
        <v>163.2</v>
      </c>
      <c r="D352" s="14">
        <f>IFERROR(__xludf.DUMMYFUNCTION("GOOGLEFINANCE(A352,""HIGH"")"),166.67)</f>
        <v>166.67</v>
      </c>
      <c r="E352" s="14">
        <f>IFERROR(__xludf.DUMMYFUNCTION("GOOGLEFINANCE(A352,""LOW"")"),163.18)</f>
        <v>163.18</v>
      </c>
      <c r="F352" s="15" t="str">
        <f t="shared" si="8"/>
        <v/>
      </c>
      <c r="G352" s="16">
        <f>IFERROR(__xludf.DUMMYFUNCTION("GOOGLEFINANCE(A352,""CLOSEYEST"")"),162.37)</f>
        <v>162.37</v>
      </c>
      <c r="H352" s="17" t="str">
        <f t="shared" si="14"/>
        <v/>
      </c>
      <c r="I352" s="18">
        <f t="shared" si="9"/>
        <v>164.0733333</v>
      </c>
      <c r="J352" s="19">
        <f t="shared" si="10"/>
        <v>164.9666667</v>
      </c>
      <c r="K352" s="19"/>
      <c r="L352" s="19">
        <f t="shared" si="11"/>
        <v>161.4766667</v>
      </c>
      <c r="M352" s="19">
        <f t="shared" si="12"/>
        <v>167.5633333</v>
      </c>
      <c r="N352" s="19">
        <f t="shared" si="13"/>
        <v>160.5833333</v>
      </c>
    </row>
    <row r="353" ht="24.75" customHeight="1">
      <c r="A353" s="21" t="s">
        <v>316</v>
      </c>
      <c r="B353" s="13">
        <f>IFERROR(__xludf.DUMMYFUNCTION("GOOGLEFINANCE(A353,""PRICE"")"),202.7)</f>
        <v>202.7</v>
      </c>
      <c r="C353" s="14">
        <f>IFERROR(__xludf.DUMMYFUNCTION("GOOGLEFINANCE(A353,""PRICEOPEN"")"),201.5)</f>
        <v>201.5</v>
      </c>
      <c r="D353" s="14">
        <f>IFERROR(__xludf.DUMMYFUNCTION("GOOGLEFINANCE(A353,""HIGH"")"),203.1)</f>
        <v>203.1</v>
      </c>
      <c r="E353" s="14">
        <f>IFERROR(__xludf.DUMMYFUNCTION("GOOGLEFINANCE(A353,""LOW"")"),200.61)</f>
        <v>200.61</v>
      </c>
      <c r="F353" s="15" t="str">
        <f t="shared" si="8"/>
        <v/>
      </c>
      <c r="G353" s="16">
        <f>IFERROR(__xludf.DUMMYFUNCTION("GOOGLEFINANCE(A353,""CLOSEYEST"")"),201.03)</f>
        <v>201.03</v>
      </c>
      <c r="H353" s="17" t="str">
        <f t="shared" si="14"/>
        <v/>
      </c>
      <c r="I353" s="18">
        <f t="shared" si="9"/>
        <v>201.58</v>
      </c>
      <c r="J353" s="19">
        <f t="shared" si="10"/>
        <v>202.55</v>
      </c>
      <c r="K353" s="19"/>
      <c r="L353" s="19">
        <f t="shared" si="11"/>
        <v>200.06</v>
      </c>
      <c r="M353" s="19">
        <f t="shared" si="12"/>
        <v>204.07</v>
      </c>
      <c r="N353" s="19">
        <f t="shared" si="13"/>
        <v>199.09</v>
      </c>
    </row>
    <row r="354" ht="24.75" customHeight="1">
      <c r="A354" s="21" t="s">
        <v>317</v>
      </c>
      <c r="B354" s="13">
        <f>IFERROR(__xludf.DUMMYFUNCTION("GOOGLEFINANCE(A354,""PRICE"")"),1840.3)</f>
        <v>1840.3</v>
      </c>
      <c r="C354" s="14">
        <f>IFERROR(__xludf.DUMMYFUNCTION("GOOGLEFINANCE(A354,""PRICEOPEN"")"),1909.8)</f>
        <v>1909.8</v>
      </c>
      <c r="D354" s="14">
        <f>IFERROR(__xludf.DUMMYFUNCTION("GOOGLEFINANCE(A354,""HIGH"")"),1918.9)</f>
        <v>1918.9</v>
      </c>
      <c r="E354" s="14">
        <f>IFERROR(__xludf.DUMMYFUNCTION("GOOGLEFINANCE(A354,""LOW"")"),1808.8)</f>
        <v>1808.8</v>
      </c>
      <c r="F354" s="15" t="str">
        <f t="shared" si="8"/>
        <v/>
      </c>
      <c r="G354" s="16">
        <f>IFERROR(__xludf.DUMMYFUNCTION("GOOGLEFINANCE(A354,""CLOSEYEST"")"),1907.6)</f>
        <v>1907.6</v>
      </c>
      <c r="H354" s="17" t="str">
        <f t="shared" si="14"/>
        <v/>
      </c>
      <c r="I354" s="18">
        <f t="shared" si="9"/>
        <v>1878.433333</v>
      </c>
      <c r="J354" s="19">
        <f t="shared" si="10"/>
        <v>1948.066667</v>
      </c>
      <c r="K354" s="19"/>
      <c r="L354" s="19">
        <f t="shared" si="11"/>
        <v>1837.966667</v>
      </c>
      <c r="M354" s="19">
        <f t="shared" si="12"/>
        <v>1988.533333</v>
      </c>
      <c r="N354" s="19">
        <f t="shared" si="13"/>
        <v>1768.333333</v>
      </c>
    </row>
    <row r="355" ht="24.75" customHeight="1">
      <c r="A355" s="21" t="s">
        <v>318</v>
      </c>
      <c r="B355" s="13">
        <f>IFERROR(__xludf.DUMMYFUNCTION("GOOGLEFINANCE(A355,""PRICE"")"),1416.0)</f>
        <v>1416</v>
      </c>
      <c r="C355" s="14">
        <f>IFERROR(__xludf.DUMMYFUNCTION("GOOGLEFINANCE(A355,""PRICEOPEN"")"),1404.6)</f>
        <v>1404.6</v>
      </c>
      <c r="D355" s="14">
        <f>IFERROR(__xludf.DUMMYFUNCTION("GOOGLEFINANCE(A355,""HIGH"")"),1424.1)</f>
        <v>1424.1</v>
      </c>
      <c r="E355" s="14">
        <f>IFERROR(__xludf.DUMMYFUNCTION("GOOGLEFINANCE(A355,""LOW"")"),1400.0)</f>
        <v>1400</v>
      </c>
      <c r="F355" s="15" t="str">
        <f t="shared" si="8"/>
        <v/>
      </c>
      <c r="G355" s="16">
        <f>IFERROR(__xludf.DUMMYFUNCTION("GOOGLEFINANCE(A355,""CLOSEYEST"")"),1401.9)</f>
        <v>1401.9</v>
      </c>
      <c r="H355" s="17" t="str">
        <f t="shared" si="14"/>
        <v/>
      </c>
      <c r="I355" s="18">
        <f t="shared" si="9"/>
        <v>1408.666667</v>
      </c>
      <c r="J355" s="19">
        <f t="shared" si="10"/>
        <v>1417.333333</v>
      </c>
      <c r="K355" s="19"/>
      <c r="L355" s="19">
        <f t="shared" si="11"/>
        <v>1393.233333</v>
      </c>
      <c r="M355" s="19">
        <f t="shared" si="12"/>
        <v>1432.766667</v>
      </c>
      <c r="N355" s="19">
        <f t="shared" si="13"/>
        <v>1384.566667</v>
      </c>
    </row>
    <row r="356" ht="24.75" customHeight="1">
      <c r="A356" s="21" t="s">
        <v>319</v>
      </c>
      <c r="B356" s="13">
        <f>IFERROR(__xludf.DUMMYFUNCTION("GOOGLEFINANCE(A356,""PRICE"")"),256.6)</f>
        <v>256.6</v>
      </c>
      <c r="C356" s="14">
        <f>IFERROR(__xludf.DUMMYFUNCTION("GOOGLEFINANCE(A356,""PRICEOPEN"")"),255.15)</f>
        <v>255.15</v>
      </c>
      <c r="D356" s="14">
        <f>IFERROR(__xludf.DUMMYFUNCTION("GOOGLEFINANCE(A356,""HIGH"")"),258.1)</f>
        <v>258.1</v>
      </c>
      <c r="E356" s="14">
        <f>IFERROR(__xludf.DUMMYFUNCTION("GOOGLEFINANCE(A356,""LOW"")"),252.15)</f>
        <v>252.15</v>
      </c>
      <c r="F356" s="15" t="str">
        <f t="shared" si="8"/>
        <v/>
      </c>
      <c r="G356" s="16">
        <f>IFERROR(__xludf.DUMMYFUNCTION("GOOGLEFINANCE(A356,""CLOSEYEST"")"),255.1)</f>
        <v>255.1</v>
      </c>
      <c r="H356" s="17" t="str">
        <f t="shared" si="14"/>
        <v/>
      </c>
      <c r="I356" s="18">
        <f t="shared" si="9"/>
        <v>255.1166667</v>
      </c>
      <c r="J356" s="19">
        <f t="shared" si="10"/>
        <v>258.0833333</v>
      </c>
      <c r="K356" s="19"/>
      <c r="L356" s="19">
        <f t="shared" si="11"/>
        <v>252.1333333</v>
      </c>
      <c r="M356" s="19">
        <f t="shared" si="12"/>
        <v>261.0666667</v>
      </c>
      <c r="N356" s="19">
        <f t="shared" si="13"/>
        <v>249.1666667</v>
      </c>
    </row>
    <row r="357" ht="24.75" customHeight="1">
      <c r="A357" s="21" t="s">
        <v>320</v>
      </c>
      <c r="B357" s="13" t="str">
        <f>IFERROR(__xludf.DUMMYFUNCTION("GOOGLEFINANCE(A357,""PRICE"")"),"#N/A")</f>
        <v>#N/A</v>
      </c>
      <c r="C357" s="14" t="str">
        <f>IFERROR(__xludf.DUMMYFUNCTION("GOOGLEFINANCE(A357,""PRICEOPEN"")"),"#N/A")</f>
        <v>#N/A</v>
      </c>
      <c r="D357" s="14" t="str">
        <f>IFERROR(__xludf.DUMMYFUNCTION("GOOGLEFINANCE(A357,""HIGH"")"),"#N/A")</f>
        <v>#N/A</v>
      </c>
      <c r="E357" s="14" t="str">
        <f>IFERROR(__xludf.DUMMYFUNCTION("GOOGLEFINANCE(A357,""LOW"")"),"#N/A")</f>
        <v>#N/A</v>
      </c>
      <c r="F357" s="15" t="str">
        <f t="shared" si="8"/>
        <v>#N/A</v>
      </c>
      <c r="G357" s="16" t="str">
        <f>IFERROR(__xludf.DUMMYFUNCTION("GOOGLEFINANCE(A357,""CLOSEYEST"")"),"#N/A")</f>
        <v>#N/A</v>
      </c>
      <c r="H357" s="17" t="str">
        <f t="shared" si="14"/>
        <v>#N/A</v>
      </c>
      <c r="I357" s="18" t="str">
        <f t="shared" si="9"/>
        <v>#N/A</v>
      </c>
      <c r="J357" s="19" t="str">
        <f t="shared" si="10"/>
        <v>#N/A</v>
      </c>
      <c r="K357" s="19"/>
      <c r="L357" s="19" t="str">
        <f t="shared" si="11"/>
        <v>#N/A</v>
      </c>
      <c r="M357" s="19" t="str">
        <f t="shared" si="12"/>
        <v>#N/A</v>
      </c>
      <c r="N357" s="19" t="str">
        <f t="shared" si="13"/>
        <v>#N/A</v>
      </c>
    </row>
    <row r="358" ht="24.75" customHeight="1">
      <c r="A358" s="21" t="s">
        <v>321</v>
      </c>
      <c r="B358" s="13">
        <f>IFERROR(__xludf.DUMMYFUNCTION("GOOGLEFINANCE(A358,""PRICE"")"),797.4)</f>
        <v>797.4</v>
      </c>
      <c r="C358" s="14">
        <f>IFERROR(__xludf.DUMMYFUNCTION("GOOGLEFINANCE(A358,""PRICEOPEN"")"),799.5)</f>
        <v>799.5</v>
      </c>
      <c r="D358" s="14">
        <f>IFERROR(__xludf.DUMMYFUNCTION("GOOGLEFINANCE(A358,""HIGH"")"),809.0)</f>
        <v>809</v>
      </c>
      <c r="E358" s="14">
        <f>IFERROR(__xludf.DUMMYFUNCTION("GOOGLEFINANCE(A358,""LOW"")"),790.4)</f>
        <v>790.4</v>
      </c>
      <c r="F358" s="15" t="str">
        <f t="shared" si="8"/>
        <v/>
      </c>
      <c r="G358" s="16">
        <f>IFERROR(__xludf.DUMMYFUNCTION("GOOGLEFINANCE(A358,""CLOSEYEST"")"),797.95)</f>
        <v>797.95</v>
      </c>
      <c r="H358" s="17" t="str">
        <f t="shared" si="14"/>
        <v/>
      </c>
      <c r="I358" s="18">
        <f t="shared" si="9"/>
        <v>799.1166667</v>
      </c>
      <c r="J358" s="19">
        <f t="shared" si="10"/>
        <v>807.8333333</v>
      </c>
      <c r="K358" s="19"/>
      <c r="L358" s="19">
        <f t="shared" si="11"/>
        <v>789.2333333</v>
      </c>
      <c r="M358" s="19">
        <f t="shared" si="12"/>
        <v>817.7166667</v>
      </c>
      <c r="N358" s="19">
        <f t="shared" si="13"/>
        <v>780.5166667</v>
      </c>
    </row>
    <row r="359" ht="24.75" customHeight="1">
      <c r="A359" s="21" t="s">
        <v>322</v>
      </c>
      <c r="B359" s="13">
        <f>IFERROR(__xludf.DUMMYFUNCTION("GOOGLEFINANCE(A359,""PRICE"")"),8205.5)</f>
        <v>8205.5</v>
      </c>
      <c r="C359" s="14">
        <f>IFERROR(__xludf.DUMMYFUNCTION("GOOGLEFINANCE(A359,""PRICEOPEN"")"),8238.0)</f>
        <v>8238</v>
      </c>
      <c r="D359" s="14">
        <f>IFERROR(__xludf.DUMMYFUNCTION("GOOGLEFINANCE(A359,""HIGH"")"),8295.5)</f>
        <v>8295.5</v>
      </c>
      <c r="E359" s="14">
        <f>IFERROR(__xludf.DUMMYFUNCTION("GOOGLEFINANCE(A359,""LOW"")"),8168.0)</f>
        <v>8168</v>
      </c>
      <c r="F359" s="15" t="str">
        <f t="shared" si="8"/>
        <v/>
      </c>
      <c r="G359" s="16">
        <f>IFERROR(__xludf.DUMMYFUNCTION("GOOGLEFINANCE(A359,""CLOSEYEST"")"),8241.5)</f>
        <v>8241.5</v>
      </c>
      <c r="H359" s="17" t="str">
        <f t="shared" si="14"/>
        <v/>
      </c>
      <c r="I359" s="18">
        <f t="shared" si="9"/>
        <v>8235</v>
      </c>
      <c r="J359" s="19">
        <f t="shared" si="10"/>
        <v>8302</v>
      </c>
      <c r="K359" s="19"/>
      <c r="L359" s="19">
        <f t="shared" si="11"/>
        <v>8174.5</v>
      </c>
      <c r="M359" s="19">
        <f t="shared" si="12"/>
        <v>8362.5</v>
      </c>
      <c r="N359" s="19">
        <f t="shared" si="13"/>
        <v>8107.5</v>
      </c>
    </row>
    <row r="360" ht="24.75" customHeight="1">
      <c r="A360" s="21" t="s">
        <v>323</v>
      </c>
      <c r="B360" s="13">
        <f>IFERROR(__xludf.DUMMYFUNCTION("GOOGLEFINANCE(A360,""PRICE"")"),458.0)</f>
        <v>458</v>
      </c>
      <c r="C360" s="14">
        <f>IFERROR(__xludf.DUMMYFUNCTION("GOOGLEFINANCE(A360,""PRICEOPEN"")"),450.2)</f>
        <v>450.2</v>
      </c>
      <c r="D360" s="14">
        <f>IFERROR(__xludf.DUMMYFUNCTION("GOOGLEFINANCE(A360,""HIGH"")"),468.6)</f>
        <v>468.6</v>
      </c>
      <c r="E360" s="14">
        <f>IFERROR(__xludf.DUMMYFUNCTION("GOOGLEFINANCE(A360,""LOW"")"),450.1)</f>
        <v>450.1</v>
      </c>
      <c r="F360" s="15" t="str">
        <f t="shared" si="8"/>
        <v/>
      </c>
      <c r="G360" s="16">
        <f>IFERROR(__xludf.DUMMYFUNCTION("GOOGLEFINANCE(A360,""CLOSEYEST"")"),452.2)</f>
        <v>452.2</v>
      </c>
      <c r="H360" s="17" t="str">
        <f t="shared" si="14"/>
        <v/>
      </c>
      <c r="I360" s="18">
        <f t="shared" si="9"/>
        <v>456.9666667</v>
      </c>
      <c r="J360" s="19">
        <f t="shared" si="10"/>
        <v>463.8333333</v>
      </c>
      <c r="K360" s="19"/>
      <c r="L360" s="19">
        <f t="shared" si="11"/>
        <v>445.3333333</v>
      </c>
      <c r="M360" s="19">
        <f t="shared" si="12"/>
        <v>475.4666667</v>
      </c>
      <c r="N360" s="19">
        <f t="shared" si="13"/>
        <v>438.4666667</v>
      </c>
    </row>
    <row r="361" ht="24.75" customHeight="1">
      <c r="A361" s="21" t="s">
        <v>324</v>
      </c>
      <c r="B361" s="13">
        <f>IFERROR(__xludf.DUMMYFUNCTION("GOOGLEFINANCE(A361,""PRICE"")"),462.15)</f>
        <v>462.15</v>
      </c>
      <c r="C361" s="14">
        <f>IFERROR(__xludf.DUMMYFUNCTION("GOOGLEFINANCE(A361,""PRICEOPEN"")"),459.85)</f>
        <v>459.85</v>
      </c>
      <c r="D361" s="14">
        <f>IFERROR(__xludf.DUMMYFUNCTION("GOOGLEFINANCE(A361,""HIGH"")"),466.9)</f>
        <v>466.9</v>
      </c>
      <c r="E361" s="14">
        <f>IFERROR(__xludf.DUMMYFUNCTION("GOOGLEFINANCE(A361,""LOW"")"),455.2)</f>
        <v>455.2</v>
      </c>
      <c r="F361" s="15" t="str">
        <f t="shared" si="8"/>
        <v/>
      </c>
      <c r="G361" s="16">
        <f>IFERROR(__xludf.DUMMYFUNCTION("GOOGLEFINANCE(A361,""CLOSEYEST"")"),459.85)</f>
        <v>459.85</v>
      </c>
      <c r="H361" s="17" t="str">
        <f t="shared" si="14"/>
        <v/>
      </c>
      <c r="I361" s="18">
        <f t="shared" si="9"/>
        <v>460.65</v>
      </c>
      <c r="J361" s="19">
        <f t="shared" si="10"/>
        <v>466.1</v>
      </c>
      <c r="K361" s="19"/>
      <c r="L361" s="19">
        <f t="shared" si="11"/>
        <v>454.4</v>
      </c>
      <c r="M361" s="19">
        <f t="shared" si="12"/>
        <v>472.35</v>
      </c>
      <c r="N361" s="19">
        <f t="shared" si="13"/>
        <v>448.95</v>
      </c>
    </row>
    <row r="362" ht="24.75" customHeight="1">
      <c r="A362" s="21" t="s">
        <v>325</v>
      </c>
      <c r="B362" s="13">
        <f>IFERROR(__xludf.DUMMYFUNCTION("GOOGLEFINANCE(A362,""PRICE"")"),690.0)</f>
        <v>690</v>
      </c>
      <c r="C362" s="14">
        <f>IFERROR(__xludf.DUMMYFUNCTION("GOOGLEFINANCE(A362,""PRICEOPEN"")"),687.9)</f>
        <v>687.9</v>
      </c>
      <c r="D362" s="14">
        <f>IFERROR(__xludf.DUMMYFUNCTION("GOOGLEFINANCE(A362,""HIGH"")"),694.0)</f>
        <v>694</v>
      </c>
      <c r="E362" s="14">
        <f>IFERROR(__xludf.DUMMYFUNCTION("GOOGLEFINANCE(A362,""LOW"")"),676.8)</f>
        <v>676.8</v>
      </c>
      <c r="F362" s="15" t="str">
        <f t="shared" si="8"/>
        <v/>
      </c>
      <c r="G362" s="16">
        <f>IFERROR(__xludf.DUMMYFUNCTION("GOOGLEFINANCE(A362,""CLOSEYEST"")"),687.9)</f>
        <v>687.9</v>
      </c>
      <c r="H362" s="17" t="str">
        <f t="shared" si="14"/>
        <v/>
      </c>
      <c r="I362" s="18">
        <f t="shared" si="9"/>
        <v>686.2333333</v>
      </c>
      <c r="J362" s="19">
        <f t="shared" si="10"/>
        <v>695.6666667</v>
      </c>
      <c r="K362" s="19"/>
      <c r="L362" s="19">
        <f t="shared" si="11"/>
        <v>678.4666667</v>
      </c>
      <c r="M362" s="19">
        <f t="shared" si="12"/>
        <v>703.4333333</v>
      </c>
      <c r="N362" s="19">
        <f t="shared" si="13"/>
        <v>669.0333333</v>
      </c>
    </row>
    <row r="363" ht="24.75" customHeight="1">
      <c r="A363" s="21" t="s">
        <v>326</v>
      </c>
      <c r="B363" s="13">
        <f>IFERROR(__xludf.DUMMYFUNCTION("GOOGLEFINANCE(A363,""PRICE"")"),75.9)</f>
        <v>75.9</v>
      </c>
      <c r="C363" s="14">
        <f>IFERROR(__xludf.DUMMYFUNCTION("GOOGLEFINANCE(A363,""PRICEOPEN"")"),73.5)</f>
        <v>73.5</v>
      </c>
      <c r="D363" s="14">
        <f>IFERROR(__xludf.DUMMYFUNCTION("GOOGLEFINANCE(A363,""HIGH"")"),76.15)</f>
        <v>76.15</v>
      </c>
      <c r="E363" s="14">
        <f>IFERROR(__xludf.DUMMYFUNCTION("GOOGLEFINANCE(A363,""LOW"")"),72.81)</f>
        <v>72.81</v>
      </c>
      <c r="F363" s="15" t="str">
        <f t="shared" si="8"/>
        <v/>
      </c>
      <c r="G363" s="16">
        <f>IFERROR(__xludf.DUMMYFUNCTION("GOOGLEFINANCE(A363,""CLOSEYEST"")"),73.42)</f>
        <v>73.42</v>
      </c>
      <c r="H363" s="17" t="str">
        <f t="shared" si="14"/>
        <v/>
      </c>
      <c r="I363" s="18">
        <f t="shared" si="9"/>
        <v>74.12666667</v>
      </c>
      <c r="J363" s="19">
        <f t="shared" si="10"/>
        <v>75.44333333</v>
      </c>
      <c r="K363" s="19"/>
      <c r="L363" s="19">
        <f t="shared" si="11"/>
        <v>72.10333333</v>
      </c>
      <c r="M363" s="19">
        <f t="shared" si="12"/>
        <v>77.46666667</v>
      </c>
      <c r="N363" s="19">
        <f t="shared" si="13"/>
        <v>70.78666667</v>
      </c>
    </row>
    <row r="364" ht="24.75" customHeight="1">
      <c r="A364" s="21" t="s">
        <v>327</v>
      </c>
      <c r="B364" s="13">
        <f>IFERROR(__xludf.DUMMYFUNCTION("GOOGLEFINANCE(A364,""PRICE"")"),4601.5)</f>
        <v>4601.5</v>
      </c>
      <c r="C364" s="14">
        <f>IFERROR(__xludf.DUMMYFUNCTION("GOOGLEFINANCE(A364,""PRICEOPEN"")"),4549.9)</f>
        <v>4549.9</v>
      </c>
      <c r="D364" s="14">
        <f>IFERROR(__xludf.DUMMYFUNCTION("GOOGLEFINANCE(A364,""HIGH"")"),4668.1)</f>
        <v>4668.1</v>
      </c>
      <c r="E364" s="14">
        <f>IFERROR(__xludf.DUMMYFUNCTION("GOOGLEFINANCE(A364,""LOW"")"),4481.0)</f>
        <v>4481</v>
      </c>
      <c r="F364" s="15" t="str">
        <f t="shared" si="8"/>
        <v/>
      </c>
      <c r="G364" s="16">
        <f>IFERROR(__xludf.DUMMYFUNCTION("GOOGLEFINANCE(A364,""CLOSEYEST"")"),4532.8)</f>
        <v>4532.8</v>
      </c>
      <c r="H364" s="17" t="str">
        <f t="shared" si="14"/>
        <v/>
      </c>
      <c r="I364" s="18">
        <f t="shared" si="9"/>
        <v>4560.633333</v>
      </c>
      <c r="J364" s="19">
        <f t="shared" si="10"/>
        <v>4640.266667</v>
      </c>
      <c r="K364" s="19"/>
      <c r="L364" s="19">
        <f t="shared" si="11"/>
        <v>4453.166667</v>
      </c>
      <c r="M364" s="19">
        <f t="shared" si="12"/>
        <v>4747.733333</v>
      </c>
      <c r="N364" s="19">
        <f t="shared" si="13"/>
        <v>4373.533333</v>
      </c>
    </row>
    <row r="365" ht="24.75" customHeight="1">
      <c r="A365" s="21" t="s">
        <v>328</v>
      </c>
      <c r="B365" s="13">
        <f>IFERROR(__xludf.DUMMYFUNCTION("GOOGLEFINANCE(A365,""PRICE"")"),1174.7)</f>
        <v>1174.7</v>
      </c>
      <c r="C365" s="14">
        <f>IFERROR(__xludf.DUMMYFUNCTION("GOOGLEFINANCE(A365,""PRICEOPEN"")"),1155.0)</f>
        <v>1155</v>
      </c>
      <c r="D365" s="14">
        <f>IFERROR(__xludf.DUMMYFUNCTION("GOOGLEFINANCE(A365,""HIGH"")"),1175.0)</f>
        <v>1175</v>
      </c>
      <c r="E365" s="14">
        <f>IFERROR(__xludf.DUMMYFUNCTION("GOOGLEFINANCE(A365,""LOW"")"),1147.1)</f>
        <v>1147.1</v>
      </c>
      <c r="F365" s="15" t="str">
        <f t="shared" si="8"/>
        <v/>
      </c>
      <c r="G365" s="16">
        <f>IFERROR(__xludf.DUMMYFUNCTION("GOOGLEFINANCE(A365,""CLOSEYEST"")"),1149.4)</f>
        <v>1149.4</v>
      </c>
      <c r="H365" s="17" t="str">
        <f t="shared" si="14"/>
        <v/>
      </c>
      <c r="I365" s="18">
        <f t="shared" si="9"/>
        <v>1157.166667</v>
      </c>
      <c r="J365" s="19">
        <f t="shared" si="10"/>
        <v>1167.233333</v>
      </c>
      <c r="K365" s="19"/>
      <c r="L365" s="19">
        <f t="shared" si="11"/>
        <v>1139.333333</v>
      </c>
      <c r="M365" s="19">
        <f t="shared" si="12"/>
        <v>1185.066667</v>
      </c>
      <c r="N365" s="19">
        <f t="shared" si="13"/>
        <v>1129.266667</v>
      </c>
    </row>
    <row r="366" ht="24.75" customHeight="1">
      <c r="A366" s="21" t="s">
        <v>329</v>
      </c>
      <c r="B366" s="13">
        <f>IFERROR(__xludf.DUMMYFUNCTION("GOOGLEFINANCE(A366,""PRICE"")"),494.85)</f>
        <v>494.85</v>
      </c>
      <c r="C366" s="14">
        <f>IFERROR(__xludf.DUMMYFUNCTION("GOOGLEFINANCE(A366,""PRICEOPEN"")"),485.9)</f>
        <v>485.9</v>
      </c>
      <c r="D366" s="14">
        <f>IFERROR(__xludf.DUMMYFUNCTION("GOOGLEFINANCE(A366,""HIGH"")"),496.0)</f>
        <v>496</v>
      </c>
      <c r="E366" s="14">
        <f>IFERROR(__xludf.DUMMYFUNCTION("GOOGLEFINANCE(A366,""LOW"")"),483.15)</f>
        <v>483.15</v>
      </c>
      <c r="F366" s="15" t="str">
        <f t="shared" si="8"/>
        <v/>
      </c>
      <c r="G366" s="16">
        <f>IFERROR(__xludf.DUMMYFUNCTION("GOOGLEFINANCE(A366,""CLOSEYEST"")"),481.95)</f>
        <v>481.95</v>
      </c>
      <c r="H366" s="17" t="str">
        <f t="shared" si="14"/>
        <v/>
      </c>
      <c r="I366" s="18">
        <f t="shared" si="9"/>
        <v>487.0333333</v>
      </c>
      <c r="J366" s="19">
        <f t="shared" si="10"/>
        <v>490.9166667</v>
      </c>
      <c r="K366" s="19"/>
      <c r="L366" s="19">
        <f t="shared" si="11"/>
        <v>478.0666667</v>
      </c>
      <c r="M366" s="19">
        <f t="shared" si="12"/>
        <v>499.8833333</v>
      </c>
      <c r="N366" s="19">
        <f t="shared" si="13"/>
        <v>474.1833333</v>
      </c>
    </row>
    <row r="367" ht="24.75" customHeight="1">
      <c r="A367" s="21" t="s">
        <v>330</v>
      </c>
      <c r="B367" s="13">
        <f>IFERROR(__xludf.DUMMYFUNCTION("GOOGLEFINANCE(A367,""PRICE"")"),1207.8)</f>
        <v>1207.8</v>
      </c>
      <c r="C367" s="14">
        <f>IFERROR(__xludf.DUMMYFUNCTION("GOOGLEFINANCE(A367,""PRICEOPEN"")"),1213.3)</f>
        <v>1213.3</v>
      </c>
      <c r="D367" s="14">
        <f>IFERROR(__xludf.DUMMYFUNCTION("GOOGLEFINANCE(A367,""HIGH"")"),1226.0)</f>
        <v>1226</v>
      </c>
      <c r="E367" s="14">
        <f>IFERROR(__xludf.DUMMYFUNCTION("GOOGLEFINANCE(A367,""LOW"")"),1198.0)</f>
        <v>1198</v>
      </c>
      <c r="F367" s="15" t="str">
        <f t="shared" si="8"/>
        <v/>
      </c>
      <c r="G367" s="16">
        <f>IFERROR(__xludf.DUMMYFUNCTION("GOOGLEFINANCE(A367,""CLOSEYEST"")"),1213.3)</f>
        <v>1213.3</v>
      </c>
      <c r="H367" s="17" t="str">
        <f t="shared" si="14"/>
        <v/>
      </c>
      <c r="I367" s="18">
        <f t="shared" si="9"/>
        <v>1212.433333</v>
      </c>
      <c r="J367" s="19">
        <f t="shared" si="10"/>
        <v>1226.866667</v>
      </c>
      <c r="K367" s="19"/>
      <c r="L367" s="19">
        <f t="shared" si="11"/>
        <v>1198.866667</v>
      </c>
      <c r="M367" s="19">
        <f t="shared" si="12"/>
        <v>1240.433333</v>
      </c>
      <c r="N367" s="19">
        <f t="shared" si="13"/>
        <v>1184.433333</v>
      </c>
    </row>
    <row r="368" ht="24.75" customHeight="1">
      <c r="A368" s="21" t="s">
        <v>331</v>
      </c>
      <c r="B368" s="13" t="str">
        <f>IFERROR(__xludf.DUMMYFUNCTION("GOOGLEFINANCE(A368,""PRICE"")"),"#N/A")</f>
        <v>#N/A</v>
      </c>
      <c r="C368" s="14" t="str">
        <f>IFERROR(__xludf.DUMMYFUNCTION("GOOGLEFINANCE(A368,""PRICEOPEN"")"),"#N/A")</f>
        <v>#N/A</v>
      </c>
      <c r="D368" s="14" t="str">
        <f>IFERROR(__xludf.DUMMYFUNCTION("GOOGLEFINANCE(A368,""HIGH"")"),"#N/A")</f>
        <v>#N/A</v>
      </c>
      <c r="E368" s="14" t="str">
        <f>IFERROR(__xludf.DUMMYFUNCTION("GOOGLEFINANCE(A368,""LOW"")"),"#N/A")</f>
        <v>#N/A</v>
      </c>
      <c r="F368" s="15" t="str">
        <f t="shared" si="8"/>
        <v>#N/A</v>
      </c>
      <c r="G368" s="16" t="str">
        <f>IFERROR(__xludf.DUMMYFUNCTION("GOOGLEFINANCE(A368,""CLOSEYEST"")"),"#N/A")</f>
        <v>#N/A</v>
      </c>
      <c r="H368" s="17" t="str">
        <f t="shared" si="14"/>
        <v>#N/A</v>
      </c>
      <c r="I368" s="18" t="str">
        <f t="shared" si="9"/>
        <v>#N/A</v>
      </c>
      <c r="J368" s="19" t="str">
        <f t="shared" si="10"/>
        <v>#N/A</v>
      </c>
      <c r="K368" s="19"/>
      <c r="L368" s="19" t="str">
        <f t="shared" si="11"/>
        <v>#N/A</v>
      </c>
      <c r="M368" s="19" t="str">
        <f t="shared" si="12"/>
        <v>#N/A</v>
      </c>
      <c r="N368" s="19" t="str">
        <f t="shared" si="13"/>
        <v>#N/A</v>
      </c>
    </row>
    <row r="369" ht="24.75" customHeight="1">
      <c r="A369" s="21" t="s">
        <v>332</v>
      </c>
      <c r="B369" s="13">
        <f>IFERROR(__xludf.DUMMYFUNCTION("GOOGLEFINANCE(A369,""PRICE"")"),315.4)</f>
        <v>315.4</v>
      </c>
      <c r="C369" s="14">
        <f>IFERROR(__xludf.DUMMYFUNCTION("GOOGLEFINANCE(A369,""PRICEOPEN"")"),307.0)</f>
        <v>307</v>
      </c>
      <c r="D369" s="14">
        <f>IFERROR(__xludf.DUMMYFUNCTION("GOOGLEFINANCE(A369,""HIGH"")"),317.7)</f>
        <v>317.7</v>
      </c>
      <c r="E369" s="14">
        <f>IFERROR(__xludf.DUMMYFUNCTION("GOOGLEFINANCE(A369,""LOW"")"),305.8)</f>
        <v>305.8</v>
      </c>
      <c r="F369" s="15" t="str">
        <f t="shared" si="8"/>
        <v/>
      </c>
      <c r="G369" s="16">
        <f>IFERROR(__xludf.DUMMYFUNCTION("GOOGLEFINANCE(A369,""CLOSEYEST"")"),307.05)</f>
        <v>307.05</v>
      </c>
      <c r="H369" s="17" t="str">
        <f t="shared" si="14"/>
        <v/>
      </c>
      <c r="I369" s="18">
        <f t="shared" si="9"/>
        <v>310.1833333</v>
      </c>
      <c r="J369" s="19">
        <f t="shared" si="10"/>
        <v>314.5666667</v>
      </c>
      <c r="K369" s="19"/>
      <c r="L369" s="19">
        <f t="shared" si="11"/>
        <v>302.6666667</v>
      </c>
      <c r="M369" s="19">
        <f t="shared" si="12"/>
        <v>322.0833333</v>
      </c>
      <c r="N369" s="19">
        <f t="shared" si="13"/>
        <v>298.2833333</v>
      </c>
    </row>
    <row r="370" ht="24.75" customHeight="1">
      <c r="A370" s="21" t="s">
        <v>333</v>
      </c>
      <c r="B370" s="13">
        <f>IFERROR(__xludf.DUMMYFUNCTION("GOOGLEFINANCE(A370,""PRICE"")"),2259.7)</f>
        <v>2259.7</v>
      </c>
      <c r="C370" s="14">
        <f>IFERROR(__xludf.DUMMYFUNCTION("GOOGLEFINANCE(A370,""PRICEOPEN"")"),2241.9)</f>
        <v>2241.9</v>
      </c>
      <c r="D370" s="14">
        <f>IFERROR(__xludf.DUMMYFUNCTION("GOOGLEFINANCE(A370,""HIGH"")"),2259.7)</f>
        <v>2259.7</v>
      </c>
      <c r="E370" s="14">
        <f>IFERROR(__xludf.DUMMYFUNCTION("GOOGLEFINANCE(A370,""LOW"")"),2223.0)</f>
        <v>2223</v>
      </c>
      <c r="F370" s="15" t="str">
        <f t="shared" si="8"/>
        <v/>
      </c>
      <c r="G370" s="16">
        <f>IFERROR(__xludf.DUMMYFUNCTION("GOOGLEFINANCE(A370,""CLOSEYEST"")"),2226.7)</f>
        <v>2226.7</v>
      </c>
      <c r="H370" s="17" t="str">
        <f t="shared" si="14"/>
        <v/>
      </c>
      <c r="I370" s="18">
        <f t="shared" si="9"/>
        <v>2236.466667</v>
      </c>
      <c r="J370" s="19">
        <f t="shared" si="10"/>
        <v>2249.933333</v>
      </c>
      <c r="K370" s="19"/>
      <c r="L370" s="19">
        <f t="shared" si="11"/>
        <v>2213.233333</v>
      </c>
      <c r="M370" s="19">
        <f t="shared" si="12"/>
        <v>2273.166667</v>
      </c>
      <c r="N370" s="19">
        <f t="shared" si="13"/>
        <v>2199.766667</v>
      </c>
    </row>
    <row r="371" ht="24.75" customHeight="1">
      <c r="A371" s="21" t="s">
        <v>334</v>
      </c>
      <c r="B371" s="13">
        <f>IFERROR(__xludf.DUMMYFUNCTION("GOOGLEFINANCE(A371,""PRICE"")"),762.0)</f>
        <v>762</v>
      </c>
      <c r="C371" s="14">
        <f>IFERROR(__xludf.DUMMYFUNCTION("GOOGLEFINANCE(A371,""PRICEOPEN"")"),768.75)</f>
        <v>768.75</v>
      </c>
      <c r="D371" s="14">
        <f>IFERROR(__xludf.DUMMYFUNCTION("GOOGLEFINANCE(A371,""HIGH"")"),771.0)</f>
        <v>771</v>
      </c>
      <c r="E371" s="14">
        <f>IFERROR(__xludf.DUMMYFUNCTION("GOOGLEFINANCE(A371,""LOW"")"),757.8)</f>
        <v>757.8</v>
      </c>
      <c r="F371" s="15" t="str">
        <f t="shared" si="8"/>
        <v/>
      </c>
      <c r="G371" s="16">
        <f>IFERROR(__xludf.DUMMYFUNCTION("GOOGLEFINANCE(A371,""CLOSEYEST"")"),768.75)</f>
        <v>768.75</v>
      </c>
      <c r="H371" s="17" t="str">
        <f t="shared" si="14"/>
        <v/>
      </c>
      <c r="I371" s="18">
        <f t="shared" si="9"/>
        <v>765.85</v>
      </c>
      <c r="J371" s="19">
        <f t="shared" si="10"/>
        <v>773.9</v>
      </c>
      <c r="K371" s="19"/>
      <c r="L371" s="19">
        <f t="shared" si="11"/>
        <v>760.7</v>
      </c>
      <c r="M371" s="19">
        <f t="shared" si="12"/>
        <v>779.05</v>
      </c>
      <c r="N371" s="19">
        <f t="shared" si="13"/>
        <v>752.65</v>
      </c>
    </row>
    <row r="372" ht="24.75" customHeight="1">
      <c r="A372" s="21" t="s">
        <v>335</v>
      </c>
      <c r="B372" s="13">
        <f>IFERROR(__xludf.DUMMYFUNCTION("GOOGLEFINANCE(A372,""PRICE"")"),1309.7)</f>
        <v>1309.7</v>
      </c>
      <c r="C372" s="14">
        <f>IFERROR(__xludf.DUMMYFUNCTION("GOOGLEFINANCE(A372,""PRICEOPEN"")"),1299.5)</f>
        <v>1299.5</v>
      </c>
      <c r="D372" s="14">
        <f>IFERROR(__xludf.DUMMYFUNCTION("GOOGLEFINANCE(A372,""HIGH"")"),1311.0)</f>
        <v>1311</v>
      </c>
      <c r="E372" s="14">
        <f>IFERROR(__xludf.DUMMYFUNCTION("GOOGLEFINANCE(A372,""LOW"")"),1295.0)</f>
        <v>1295</v>
      </c>
      <c r="F372" s="15" t="str">
        <f t="shared" si="8"/>
        <v/>
      </c>
      <c r="G372" s="16">
        <f>IFERROR(__xludf.DUMMYFUNCTION("GOOGLEFINANCE(A372,""CLOSEYEST"")"),1299.5)</f>
        <v>1299.5</v>
      </c>
      <c r="H372" s="17" t="str">
        <f t="shared" si="14"/>
        <v/>
      </c>
      <c r="I372" s="18">
        <f t="shared" si="9"/>
        <v>1301.833333</v>
      </c>
      <c r="J372" s="19">
        <f t="shared" si="10"/>
        <v>1308.666667</v>
      </c>
      <c r="K372" s="19"/>
      <c r="L372" s="19">
        <f t="shared" si="11"/>
        <v>1292.666667</v>
      </c>
      <c r="M372" s="19">
        <f t="shared" si="12"/>
        <v>1317.833333</v>
      </c>
      <c r="N372" s="19">
        <f t="shared" si="13"/>
        <v>1285.833333</v>
      </c>
    </row>
    <row r="373" ht="24.75" customHeight="1">
      <c r="A373" s="21" t="s">
        <v>336</v>
      </c>
      <c r="B373" s="13">
        <f>IFERROR(__xludf.DUMMYFUNCTION("GOOGLEFINANCE(A373,""PRICE"")"),123.12)</f>
        <v>123.12</v>
      </c>
      <c r="C373" s="14">
        <f>IFERROR(__xludf.DUMMYFUNCTION("GOOGLEFINANCE(A373,""PRICEOPEN"")"),122.0)</f>
        <v>122</v>
      </c>
      <c r="D373" s="14">
        <f>IFERROR(__xludf.DUMMYFUNCTION("GOOGLEFINANCE(A373,""HIGH"")"),124.5)</f>
        <v>124.5</v>
      </c>
      <c r="E373" s="14">
        <f>IFERROR(__xludf.DUMMYFUNCTION("GOOGLEFINANCE(A373,""LOW"")"),118.75)</f>
        <v>118.75</v>
      </c>
      <c r="F373" s="15" t="str">
        <f t="shared" si="8"/>
        <v/>
      </c>
      <c r="G373" s="16">
        <f>IFERROR(__xludf.DUMMYFUNCTION("GOOGLEFINANCE(A373,""CLOSEYEST"")"),121.57)</f>
        <v>121.57</v>
      </c>
      <c r="H373" s="17" t="str">
        <f t="shared" si="14"/>
        <v/>
      </c>
      <c r="I373" s="18">
        <f t="shared" si="9"/>
        <v>121.6066667</v>
      </c>
      <c r="J373" s="19">
        <f t="shared" si="10"/>
        <v>124.4633333</v>
      </c>
      <c r="K373" s="19"/>
      <c r="L373" s="19">
        <f t="shared" si="11"/>
        <v>118.7133333</v>
      </c>
      <c r="M373" s="19">
        <f t="shared" si="12"/>
        <v>127.3566667</v>
      </c>
      <c r="N373" s="19">
        <f t="shared" si="13"/>
        <v>115.8566667</v>
      </c>
    </row>
    <row r="374" ht="24.75" customHeight="1">
      <c r="A374" s="21" t="s">
        <v>337</v>
      </c>
      <c r="B374" s="13">
        <f>IFERROR(__xludf.DUMMYFUNCTION("GOOGLEFINANCE(A374,""PRICE"")"),54.62)</f>
        <v>54.62</v>
      </c>
      <c r="C374" s="14">
        <f>IFERROR(__xludf.DUMMYFUNCTION("GOOGLEFINANCE(A374,""PRICEOPEN"")"),55.44)</f>
        <v>55.44</v>
      </c>
      <c r="D374" s="14">
        <f>IFERROR(__xludf.DUMMYFUNCTION("GOOGLEFINANCE(A374,""HIGH"")"),55.48)</f>
        <v>55.48</v>
      </c>
      <c r="E374" s="14">
        <f>IFERROR(__xludf.DUMMYFUNCTION("GOOGLEFINANCE(A374,""LOW"")"),53.85)</f>
        <v>53.85</v>
      </c>
      <c r="F374" s="15" t="str">
        <f t="shared" si="8"/>
        <v/>
      </c>
      <c r="G374" s="16">
        <f>IFERROR(__xludf.DUMMYFUNCTION("GOOGLEFINANCE(A374,""CLOSEYEST"")"),55.18)</f>
        <v>55.18</v>
      </c>
      <c r="H374" s="17" t="str">
        <f t="shared" si="14"/>
        <v/>
      </c>
      <c r="I374" s="18">
        <f t="shared" si="9"/>
        <v>54.83666667</v>
      </c>
      <c r="J374" s="19">
        <f t="shared" si="10"/>
        <v>55.82333333</v>
      </c>
      <c r="K374" s="19"/>
      <c r="L374" s="19">
        <f t="shared" si="11"/>
        <v>54.19333333</v>
      </c>
      <c r="M374" s="19">
        <f t="shared" si="12"/>
        <v>56.46666667</v>
      </c>
      <c r="N374" s="19">
        <f t="shared" si="13"/>
        <v>53.20666667</v>
      </c>
    </row>
    <row r="375" ht="24.75" customHeight="1">
      <c r="A375" s="21" t="s">
        <v>338</v>
      </c>
      <c r="B375" s="13" t="str">
        <f>IFERROR(__xludf.DUMMYFUNCTION("GOOGLEFINANCE(A375,""PRICE"")"),"#N/A")</f>
        <v>#N/A</v>
      </c>
      <c r="C375" s="14" t="str">
        <f>IFERROR(__xludf.DUMMYFUNCTION("GOOGLEFINANCE(A375,""PRICEOPEN"")"),"#N/A")</f>
        <v>#N/A</v>
      </c>
      <c r="D375" s="14" t="str">
        <f>IFERROR(__xludf.DUMMYFUNCTION("GOOGLEFINANCE(A375,""HIGH"")"),"#N/A")</f>
        <v>#N/A</v>
      </c>
      <c r="E375" s="14" t="str">
        <f>IFERROR(__xludf.DUMMYFUNCTION("GOOGLEFINANCE(A375,""LOW"")"),"#N/A")</f>
        <v>#N/A</v>
      </c>
      <c r="F375" s="15" t="str">
        <f t="shared" si="8"/>
        <v>#N/A</v>
      </c>
      <c r="G375" s="16" t="str">
        <f>IFERROR(__xludf.DUMMYFUNCTION("GOOGLEFINANCE(A375,""CLOSEYEST"")"),"#N/A")</f>
        <v>#N/A</v>
      </c>
      <c r="H375" s="17" t="str">
        <f t="shared" si="14"/>
        <v>#N/A</v>
      </c>
      <c r="I375" s="18" t="str">
        <f t="shared" si="9"/>
        <v>#N/A</v>
      </c>
      <c r="J375" s="19" t="str">
        <f t="shared" si="10"/>
        <v>#N/A</v>
      </c>
      <c r="K375" s="19"/>
      <c r="L375" s="19" t="str">
        <f t="shared" si="11"/>
        <v>#N/A</v>
      </c>
      <c r="M375" s="19" t="str">
        <f t="shared" si="12"/>
        <v>#N/A</v>
      </c>
      <c r="N375" s="19" t="str">
        <f t="shared" si="13"/>
        <v>#N/A</v>
      </c>
    </row>
    <row r="376" ht="24.75" customHeight="1">
      <c r="A376" s="21" t="s">
        <v>339</v>
      </c>
      <c r="B376" s="13">
        <f>IFERROR(__xludf.DUMMYFUNCTION("GOOGLEFINANCE(A376,""PRICE"")"),10.51)</f>
        <v>10.51</v>
      </c>
      <c r="C376" s="14">
        <f>IFERROR(__xludf.DUMMYFUNCTION("GOOGLEFINANCE(A376,""PRICEOPEN"")"),10.53)</f>
        <v>10.53</v>
      </c>
      <c r="D376" s="14">
        <f>IFERROR(__xludf.DUMMYFUNCTION("GOOGLEFINANCE(A376,""HIGH"")"),10.53)</f>
        <v>10.53</v>
      </c>
      <c r="E376" s="14">
        <f>IFERROR(__xludf.DUMMYFUNCTION("GOOGLEFINANCE(A376,""LOW"")"),10.51)</f>
        <v>10.51</v>
      </c>
      <c r="F376" s="15" t="str">
        <f t="shared" si="8"/>
        <v>SELL</v>
      </c>
      <c r="G376" s="16">
        <f>IFERROR(__xludf.DUMMYFUNCTION("GOOGLEFINANCE(A376,""CLOSEYEST"")"),10.52)</f>
        <v>10.52</v>
      </c>
      <c r="H376" s="17" t="str">
        <f t="shared" si="14"/>
        <v/>
      </c>
      <c r="I376" s="18">
        <f t="shared" si="9"/>
        <v>10.52</v>
      </c>
      <c r="J376" s="19">
        <f t="shared" si="10"/>
        <v>10.53</v>
      </c>
      <c r="K376" s="19"/>
      <c r="L376" s="19">
        <f t="shared" si="11"/>
        <v>10.51</v>
      </c>
      <c r="M376" s="19">
        <f t="shared" si="12"/>
        <v>10.54</v>
      </c>
      <c r="N376" s="19">
        <f t="shared" si="13"/>
        <v>10.5</v>
      </c>
    </row>
    <row r="377" ht="24.75" customHeight="1">
      <c r="A377" s="21" t="s">
        <v>340</v>
      </c>
      <c r="B377" s="13">
        <f>IFERROR(__xludf.DUMMYFUNCTION("GOOGLEFINANCE(A377,""PRICE"")"),896.0)</f>
        <v>896</v>
      </c>
      <c r="C377" s="14">
        <f>IFERROR(__xludf.DUMMYFUNCTION("GOOGLEFINANCE(A377,""PRICEOPEN"")"),896.15)</f>
        <v>896.15</v>
      </c>
      <c r="D377" s="14">
        <f>IFERROR(__xludf.DUMMYFUNCTION("GOOGLEFINANCE(A377,""HIGH"")"),905.55)</f>
        <v>905.55</v>
      </c>
      <c r="E377" s="14">
        <f>IFERROR(__xludf.DUMMYFUNCTION("GOOGLEFINANCE(A377,""LOW"")"),890.4)</f>
        <v>890.4</v>
      </c>
      <c r="F377" s="15" t="str">
        <f t="shared" si="8"/>
        <v/>
      </c>
      <c r="G377" s="16">
        <f>IFERROR(__xludf.DUMMYFUNCTION("GOOGLEFINANCE(A377,""CLOSEYEST"")"),895.4)</f>
        <v>895.4</v>
      </c>
      <c r="H377" s="17" t="str">
        <f t="shared" si="14"/>
        <v/>
      </c>
      <c r="I377" s="18">
        <f t="shared" si="9"/>
        <v>897.1166667</v>
      </c>
      <c r="J377" s="19">
        <f t="shared" si="10"/>
        <v>903.8333333</v>
      </c>
      <c r="K377" s="19"/>
      <c r="L377" s="19">
        <f t="shared" si="11"/>
        <v>888.6833333</v>
      </c>
      <c r="M377" s="19">
        <f t="shared" si="12"/>
        <v>912.2666667</v>
      </c>
      <c r="N377" s="19">
        <f t="shared" si="13"/>
        <v>881.9666667</v>
      </c>
    </row>
    <row r="378" ht="24.75" customHeight="1">
      <c r="A378" s="21" t="s">
        <v>341</v>
      </c>
      <c r="B378" s="13" t="str">
        <f>IFERROR(__xludf.DUMMYFUNCTION("GOOGLEFINANCE(A378,""PRICE"")"),"#N/A")</f>
        <v>#N/A</v>
      </c>
      <c r="C378" s="14" t="str">
        <f>IFERROR(__xludf.DUMMYFUNCTION("GOOGLEFINANCE(A378,""PRICEOPEN"")"),"#N/A")</f>
        <v>#N/A</v>
      </c>
      <c r="D378" s="14" t="str">
        <f>IFERROR(__xludf.DUMMYFUNCTION("GOOGLEFINANCE(A378,""HIGH"")"),"#N/A")</f>
        <v>#N/A</v>
      </c>
      <c r="E378" s="14" t="str">
        <f>IFERROR(__xludf.DUMMYFUNCTION("GOOGLEFINANCE(A378,""LOW"")"),"#N/A")</f>
        <v>#N/A</v>
      </c>
      <c r="F378" s="15" t="str">
        <f t="shared" si="8"/>
        <v>#N/A</v>
      </c>
      <c r="G378" s="16" t="str">
        <f>IFERROR(__xludf.DUMMYFUNCTION("GOOGLEFINANCE(A378,""CLOSEYEST"")"),"#N/A")</f>
        <v>#N/A</v>
      </c>
      <c r="H378" s="17" t="str">
        <f t="shared" si="14"/>
        <v>#N/A</v>
      </c>
      <c r="I378" s="18" t="str">
        <f t="shared" si="9"/>
        <v>#N/A</v>
      </c>
      <c r="J378" s="19" t="str">
        <f t="shared" si="10"/>
        <v>#N/A</v>
      </c>
      <c r="K378" s="19"/>
      <c r="L378" s="19" t="str">
        <f t="shared" si="11"/>
        <v>#N/A</v>
      </c>
      <c r="M378" s="19" t="str">
        <f t="shared" si="12"/>
        <v>#N/A</v>
      </c>
      <c r="N378" s="19" t="str">
        <f t="shared" si="13"/>
        <v>#N/A</v>
      </c>
    </row>
    <row r="379" ht="24.75" customHeight="1">
      <c r="A379" s="21" t="s">
        <v>342</v>
      </c>
      <c r="B379" s="13">
        <f>IFERROR(__xludf.DUMMYFUNCTION("GOOGLEFINANCE(A379,""PRICE"")"),18219.0)</f>
        <v>18219</v>
      </c>
      <c r="C379" s="14">
        <f>IFERROR(__xludf.DUMMYFUNCTION("GOOGLEFINANCE(A379,""PRICEOPEN"")"),18500.0)</f>
        <v>18500</v>
      </c>
      <c r="D379" s="14">
        <f>IFERROR(__xludf.DUMMYFUNCTION("GOOGLEFINANCE(A379,""HIGH"")"),18550.0)</f>
        <v>18550</v>
      </c>
      <c r="E379" s="14">
        <f>IFERROR(__xludf.DUMMYFUNCTION("GOOGLEFINANCE(A379,""LOW"")"),18035.0)</f>
        <v>18035</v>
      </c>
      <c r="F379" s="15" t="str">
        <f t="shared" si="8"/>
        <v/>
      </c>
      <c r="G379" s="16">
        <f>IFERROR(__xludf.DUMMYFUNCTION("GOOGLEFINANCE(A379,""CLOSEYEST"")"),18134.0)</f>
        <v>18134</v>
      </c>
      <c r="H379" s="17" t="str">
        <f t="shared" si="14"/>
        <v>GAP UP</v>
      </c>
      <c r="I379" s="18">
        <f t="shared" si="9"/>
        <v>18239.66667</v>
      </c>
      <c r="J379" s="19">
        <f t="shared" si="10"/>
        <v>18444.33333</v>
      </c>
      <c r="K379" s="19"/>
      <c r="L379" s="19">
        <f t="shared" si="11"/>
        <v>17929.33333</v>
      </c>
      <c r="M379" s="19">
        <f t="shared" si="12"/>
        <v>18754.66667</v>
      </c>
      <c r="N379" s="19">
        <f t="shared" si="13"/>
        <v>17724.66667</v>
      </c>
    </row>
    <row r="380" ht="24.75" customHeight="1">
      <c r="A380" s="21" t="s">
        <v>343</v>
      </c>
      <c r="B380" s="13">
        <f>IFERROR(__xludf.DUMMYFUNCTION("GOOGLEFINANCE(A380,""PRICE"")"),1082.0)</f>
        <v>1082</v>
      </c>
      <c r="C380" s="14">
        <f>IFERROR(__xludf.DUMMYFUNCTION("GOOGLEFINANCE(A380,""PRICEOPEN"")"),1072.0)</f>
        <v>1072</v>
      </c>
      <c r="D380" s="14">
        <f>IFERROR(__xludf.DUMMYFUNCTION("GOOGLEFINANCE(A380,""HIGH"")"),1101.3)</f>
        <v>1101.3</v>
      </c>
      <c r="E380" s="14">
        <f>IFERROR(__xludf.DUMMYFUNCTION("GOOGLEFINANCE(A380,""LOW"")"),1052.7)</f>
        <v>1052.7</v>
      </c>
      <c r="F380" s="15" t="str">
        <f t="shared" si="8"/>
        <v/>
      </c>
      <c r="G380" s="16">
        <f>IFERROR(__xludf.DUMMYFUNCTION("GOOGLEFINANCE(A380,""CLOSEYEST"")"),1065.3)</f>
        <v>1065.3</v>
      </c>
      <c r="H380" s="17" t="str">
        <f t="shared" si="14"/>
        <v/>
      </c>
      <c r="I380" s="18">
        <f t="shared" si="9"/>
        <v>1073.1</v>
      </c>
      <c r="J380" s="19">
        <f t="shared" si="10"/>
        <v>1093.5</v>
      </c>
      <c r="K380" s="19"/>
      <c r="L380" s="19">
        <f t="shared" si="11"/>
        <v>1044.9</v>
      </c>
      <c r="M380" s="19">
        <f t="shared" si="12"/>
        <v>1121.7</v>
      </c>
      <c r="N380" s="19">
        <f t="shared" si="13"/>
        <v>1024.5</v>
      </c>
    </row>
    <row r="381" ht="24.75" customHeight="1">
      <c r="A381" s="21" t="s">
        <v>344</v>
      </c>
      <c r="B381" s="13">
        <f>IFERROR(__xludf.DUMMYFUNCTION("GOOGLEFINANCE(A381,""PRICE"")"),694.9)</f>
        <v>694.9</v>
      </c>
      <c r="C381" s="14">
        <f>IFERROR(__xludf.DUMMYFUNCTION("GOOGLEFINANCE(A381,""PRICEOPEN"")"),698.05)</f>
        <v>698.05</v>
      </c>
      <c r="D381" s="14">
        <f>IFERROR(__xludf.DUMMYFUNCTION("GOOGLEFINANCE(A381,""HIGH"")"),701.15)</f>
        <v>701.15</v>
      </c>
      <c r="E381" s="14">
        <f>IFERROR(__xludf.DUMMYFUNCTION("GOOGLEFINANCE(A381,""LOW"")"),686.65)</f>
        <v>686.65</v>
      </c>
      <c r="F381" s="15" t="str">
        <f t="shared" si="8"/>
        <v/>
      </c>
      <c r="G381" s="16">
        <f>IFERROR(__xludf.DUMMYFUNCTION("GOOGLEFINANCE(A381,""CLOSEYEST"")"),695.3)</f>
        <v>695.3</v>
      </c>
      <c r="H381" s="17" t="str">
        <f t="shared" si="14"/>
        <v/>
      </c>
      <c r="I381" s="18">
        <f t="shared" si="9"/>
        <v>694.3666667</v>
      </c>
      <c r="J381" s="19">
        <f t="shared" si="10"/>
        <v>702.0833333</v>
      </c>
      <c r="K381" s="19"/>
      <c r="L381" s="19">
        <f t="shared" si="11"/>
        <v>687.5833333</v>
      </c>
      <c r="M381" s="19">
        <f t="shared" si="12"/>
        <v>708.8666667</v>
      </c>
      <c r="N381" s="19">
        <f t="shared" si="13"/>
        <v>679.8666667</v>
      </c>
    </row>
    <row r="382" ht="24.75" customHeight="1">
      <c r="A382" s="21" t="s">
        <v>345</v>
      </c>
      <c r="B382" s="13" t="str">
        <f>IFERROR(__xludf.DUMMYFUNCTION("GOOGLEFINANCE(A382,""PRICE"")"),"#N/A")</f>
        <v>#N/A</v>
      </c>
      <c r="C382" s="14" t="str">
        <f>IFERROR(__xludf.DUMMYFUNCTION("GOOGLEFINANCE(A382,""PRICEOPEN"")"),"#N/A")</f>
        <v>#N/A</v>
      </c>
      <c r="D382" s="14" t="str">
        <f>IFERROR(__xludf.DUMMYFUNCTION("GOOGLEFINANCE(A382,""HIGH"")"),"#N/A")</f>
        <v>#N/A</v>
      </c>
      <c r="E382" s="14" t="str">
        <f>IFERROR(__xludf.DUMMYFUNCTION("GOOGLEFINANCE(A382,""LOW"")"),"#N/A")</f>
        <v>#N/A</v>
      </c>
      <c r="F382" s="15" t="str">
        <f t="shared" si="8"/>
        <v>#N/A</v>
      </c>
      <c r="G382" s="16" t="str">
        <f>IFERROR(__xludf.DUMMYFUNCTION("GOOGLEFINANCE(A382,""CLOSEYEST"")"),"#N/A")</f>
        <v>#N/A</v>
      </c>
      <c r="H382" s="17" t="str">
        <f t="shared" si="14"/>
        <v>#N/A</v>
      </c>
      <c r="I382" s="18" t="str">
        <f t="shared" si="9"/>
        <v>#N/A</v>
      </c>
      <c r="J382" s="19" t="str">
        <f t="shared" si="10"/>
        <v>#N/A</v>
      </c>
      <c r="K382" s="19"/>
      <c r="L382" s="19" t="str">
        <f t="shared" si="11"/>
        <v>#N/A</v>
      </c>
      <c r="M382" s="19" t="str">
        <f t="shared" si="12"/>
        <v>#N/A</v>
      </c>
      <c r="N382" s="19" t="str">
        <f t="shared" si="13"/>
        <v>#N/A</v>
      </c>
    </row>
    <row r="383" ht="24.75" customHeight="1">
      <c r="A383" s="21" t="s">
        <v>346</v>
      </c>
      <c r="B383" s="13">
        <f>IFERROR(__xludf.DUMMYFUNCTION("GOOGLEFINANCE(A383,""PRICE"")"),7.87)</f>
        <v>7.87</v>
      </c>
      <c r="C383" s="14">
        <f>IFERROR(__xludf.DUMMYFUNCTION("GOOGLEFINANCE(A383,""PRICEOPEN"")"),7.68)</f>
        <v>7.68</v>
      </c>
      <c r="D383" s="14">
        <f>IFERROR(__xludf.DUMMYFUNCTION("GOOGLEFINANCE(A383,""HIGH"")"),7.99)</f>
        <v>7.99</v>
      </c>
      <c r="E383" s="14">
        <f>IFERROR(__xludf.DUMMYFUNCTION("GOOGLEFINANCE(A383,""LOW"")"),7.68)</f>
        <v>7.68</v>
      </c>
      <c r="F383" s="15" t="str">
        <f t="shared" si="8"/>
        <v>BUY</v>
      </c>
      <c r="G383" s="16">
        <f>IFERROR(__xludf.DUMMYFUNCTION("GOOGLEFINANCE(A383,""CLOSEYEST"")"),7.68)</f>
        <v>7.68</v>
      </c>
      <c r="H383" s="17" t="str">
        <f t="shared" si="14"/>
        <v/>
      </c>
      <c r="I383" s="18">
        <f t="shared" si="9"/>
        <v>7.783333333</v>
      </c>
      <c r="J383" s="19">
        <f t="shared" si="10"/>
        <v>7.886666667</v>
      </c>
      <c r="K383" s="19"/>
      <c r="L383" s="19">
        <f t="shared" si="11"/>
        <v>7.576666667</v>
      </c>
      <c r="M383" s="19">
        <f t="shared" si="12"/>
        <v>8.093333333</v>
      </c>
      <c r="N383" s="19">
        <f t="shared" si="13"/>
        <v>7.473333333</v>
      </c>
    </row>
    <row r="384" ht="24.75" customHeight="1">
      <c r="A384" s="21" t="s">
        <v>347</v>
      </c>
      <c r="B384" s="13" t="str">
        <f>IFERROR(__xludf.DUMMYFUNCTION("GOOGLEFINANCE(A384,""PRICE"")"),"#N/A")</f>
        <v>#N/A</v>
      </c>
      <c r="C384" s="14" t="str">
        <f>IFERROR(__xludf.DUMMYFUNCTION("GOOGLEFINANCE(A384,""PRICEOPEN"")"),"#N/A")</f>
        <v>#N/A</v>
      </c>
      <c r="D384" s="14" t="str">
        <f>IFERROR(__xludf.DUMMYFUNCTION("GOOGLEFINANCE(A384,""HIGH"")"),"#N/A")</f>
        <v>#N/A</v>
      </c>
      <c r="E384" s="14" t="str">
        <f>IFERROR(__xludf.DUMMYFUNCTION("GOOGLEFINANCE(A384,""LOW"")"),"#N/A")</f>
        <v>#N/A</v>
      </c>
      <c r="F384" s="15" t="str">
        <f t="shared" si="8"/>
        <v>#N/A</v>
      </c>
      <c r="G384" s="16" t="str">
        <f>IFERROR(__xludf.DUMMYFUNCTION("GOOGLEFINANCE(A384,""CLOSEYEST"")"),"#N/A")</f>
        <v>#N/A</v>
      </c>
      <c r="H384" s="17" t="str">
        <f t="shared" si="14"/>
        <v>#N/A</v>
      </c>
      <c r="I384" s="18" t="str">
        <f t="shared" si="9"/>
        <v>#N/A</v>
      </c>
      <c r="J384" s="19" t="str">
        <f t="shared" si="10"/>
        <v>#N/A</v>
      </c>
      <c r="K384" s="19"/>
      <c r="L384" s="19" t="str">
        <f t="shared" si="11"/>
        <v>#N/A</v>
      </c>
      <c r="M384" s="19" t="str">
        <f t="shared" si="12"/>
        <v>#N/A</v>
      </c>
      <c r="N384" s="19" t="str">
        <f t="shared" si="13"/>
        <v>#N/A</v>
      </c>
    </row>
    <row r="385" ht="24.75" customHeight="1">
      <c r="A385" s="21" t="s">
        <v>348</v>
      </c>
      <c r="B385" s="13">
        <f>IFERROR(__xludf.DUMMYFUNCTION("GOOGLEFINANCE(A385,""PRICE"")"),558.0)</f>
        <v>558</v>
      </c>
      <c r="C385" s="14">
        <f>IFERROR(__xludf.DUMMYFUNCTION("GOOGLEFINANCE(A385,""PRICEOPEN"")"),548.65)</f>
        <v>548.65</v>
      </c>
      <c r="D385" s="14">
        <f>IFERROR(__xludf.DUMMYFUNCTION("GOOGLEFINANCE(A385,""HIGH"")"),558.05)</f>
        <v>558.05</v>
      </c>
      <c r="E385" s="14">
        <f>IFERROR(__xludf.DUMMYFUNCTION("GOOGLEFINANCE(A385,""LOW"")"),541.2)</f>
        <v>541.2</v>
      </c>
      <c r="F385" s="15" t="str">
        <f t="shared" si="8"/>
        <v/>
      </c>
      <c r="G385" s="16">
        <f>IFERROR(__xludf.DUMMYFUNCTION("GOOGLEFINANCE(A385,""CLOSEYEST"")"),548.65)</f>
        <v>548.65</v>
      </c>
      <c r="H385" s="17" t="str">
        <f t="shared" si="14"/>
        <v/>
      </c>
      <c r="I385" s="18">
        <f t="shared" si="9"/>
        <v>549.3</v>
      </c>
      <c r="J385" s="19">
        <f t="shared" si="10"/>
        <v>557.4</v>
      </c>
      <c r="K385" s="19"/>
      <c r="L385" s="19">
        <f t="shared" si="11"/>
        <v>540.55</v>
      </c>
      <c r="M385" s="19">
        <f t="shared" si="12"/>
        <v>566.15</v>
      </c>
      <c r="N385" s="19">
        <f t="shared" si="13"/>
        <v>532.45</v>
      </c>
    </row>
    <row r="386" ht="24.75" customHeight="1">
      <c r="A386" s="21" t="s">
        <v>349</v>
      </c>
      <c r="B386" s="13">
        <f>IFERROR(__xludf.DUMMYFUNCTION("GOOGLEFINANCE(A386,""PRICE"")"),472.5)</f>
        <v>472.5</v>
      </c>
      <c r="C386" s="14">
        <f>IFERROR(__xludf.DUMMYFUNCTION("GOOGLEFINANCE(A386,""PRICEOPEN"")"),475.3)</f>
        <v>475.3</v>
      </c>
      <c r="D386" s="14">
        <f>IFERROR(__xludf.DUMMYFUNCTION("GOOGLEFINANCE(A386,""HIGH"")"),477.55)</f>
        <v>477.55</v>
      </c>
      <c r="E386" s="14">
        <f>IFERROR(__xludf.DUMMYFUNCTION("GOOGLEFINANCE(A386,""LOW"")"),468.9)</f>
        <v>468.9</v>
      </c>
      <c r="F386" s="15" t="str">
        <f t="shared" si="8"/>
        <v/>
      </c>
      <c r="G386" s="16">
        <f>IFERROR(__xludf.DUMMYFUNCTION("GOOGLEFINANCE(A386,""CLOSEYEST"")"),472.95)</f>
        <v>472.95</v>
      </c>
      <c r="H386" s="17" t="str">
        <f t="shared" si="14"/>
        <v/>
      </c>
      <c r="I386" s="18">
        <f t="shared" si="9"/>
        <v>473.1333333</v>
      </c>
      <c r="J386" s="19">
        <f t="shared" si="10"/>
        <v>477.3666667</v>
      </c>
      <c r="K386" s="19"/>
      <c r="L386" s="19">
        <f t="shared" si="11"/>
        <v>468.7166667</v>
      </c>
      <c r="M386" s="19">
        <f t="shared" si="12"/>
        <v>481.7833333</v>
      </c>
      <c r="N386" s="19">
        <f t="shared" si="13"/>
        <v>464.4833333</v>
      </c>
    </row>
    <row r="387" ht="24.75" customHeight="1">
      <c r="A387" s="21" t="s">
        <v>350</v>
      </c>
      <c r="B387" s="13" t="str">
        <f>IFERROR(__xludf.DUMMYFUNCTION("GOOGLEFINANCE(A387,""PRICE"")"),"#N/A")</f>
        <v>#N/A</v>
      </c>
      <c r="C387" s="14" t="str">
        <f>IFERROR(__xludf.DUMMYFUNCTION("GOOGLEFINANCE(A387,""PRICEOPEN"")"),"#N/A")</f>
        <v>#N/A</v>
      </c>
      <c r="D387" s="14" t="str">
        <f>IFERROR(__xludf.DUMMYFUNCTION("GOOGLEFINANCE(A387,""HIGH"")"),"#N/A")</f>
        <v>#N/A</v>
      </c>
      <c r="E387" s="14" t="str">
        <f>IFERROR(__xludf.DUMMYFUNCTION("GOOGLEFINANCE(A387,""LOW"")"),"#N/A")</f>
        <v>#N/A</v>
      </c>
      <c r="F387" s="15" t="str">
        <f t="shared" si="8"/>
        <v>#N/A</v>
      </c>
      <c r="G387" s="16" t="str">
        <f>IFERROR(__xludf.DUMMYFUNCTION("GOOGLEFINANCE(A387,""CLOSEYEST"")"),"#N/A")</f>
        <v>#N/A</v>
      </c>
      <c r="H387" s="17" t="str">
        <f t="shared" si="14"/>
        <v>#N/A</v>
      </c>
      <c r="I387" s="18" t="str">
        <f t="shared" si="9"/>
        <v>#N/A</v>
      </c>
      <c r="J387" s="19" t="str">
        <f t="shared" si="10"/>
        <v>#N/A</v>
      </c>
      <c r="K387" s="19"/>
      <c r="L387" s="19" t="str">
        <f t="shared" si="11"/>
        <v>#N/A</v>
      </c>
      <c r="M387" s="19" t="str">
        <f t="shared" si="12"/>
        <v>#N/A</v>
      </c>
      <c r="N387" s="19" t="str">
        <f t="shared" si="13"/>
        <v>#N/A</v>
      </c>
    </row>
    <row r="388" ht="24.75" customHeight="1">
      <c r="A388" s="21" t="s">
        <v>351</v>
      </c>
      <c r="B388" s="13">
        <f>IFERROR(__xludf.DUMMYFUNCTION("GOOGLEFINANCE(A388,""PRICE"")"),1599.0)</f>
        <v>1599</v>
      </c>
      <c r="C388" s="14">
        <f>IFERROR(__xludf.DUMMYFUNCTION("GOOGLEFINANCE(A388,""PRICEOPEN"")"),1625.0)</f>
        <v>1625</v>
      </c>
      <c r="D388" s="14">
        <f>IFERROR(__xludf.DUMMYFUNCTION("GOOGLEFINANCE(A388,""HIGH"")"),1637.0)</f>
        <v>1637</v>
      </c>
      <c r="E388" s="14">
        <f>IFERROR(__xludf.DUMMYFUNCTION("GOOGLEFINANCE(A388,""LOW"")"),1587.6)</f>
        <v>1587.6</v>
      </c>
      <c r="F388" s="15" t="str">
        <f t="shared" si="8"/>
        <v/>
      </c>
      <c r="G388" s="16">
        <f>IFERROR(__xludf.DUMMYFUNCTION("GOOGLEFINANCE(A388,""CLOSEYEST"")"),1624.9)</f>
        <v>1624.9</v>
      </c>
      <c r="H388" s="17" t="str">
        <f t="shared" si="14"/>
        <v/>
      </c>
      <c r="I388" s="18">
        <f t="shared" si="9"/>
        <v>1616.5</v>
      </c>
      <c r="J388" s="19">
        <f t="shared" si="10"/>
        <v>1645.4</v>
      </c>
      <c r="K388" s="19"/>
      <c r="L388" s="19">
        <f t="shared" si="11"/>
        <v>1596</v>
      </c>
      <c r="M388" s="19">
        <f t="shared" si="12"/>
        <v>1665.9</v>
      </c>
      <c r="N388" s="19">
        <f t="shared" si="13"/>
        <v>1567.1</v>
      </c>
    </row>
    <row r="389" ht="24.75" customHeight="1">
      <c r="A389" s="21" t="s">
        <v>352</v>
      </c>
      <c r="B389" s="13">
        <f>IFERROR(__xludf.DUMMYFUNCTION("GOOGLEFINANCE(A389,""PRICE"")"),983.75)</f>
        <v>983.75</v>
      </c>
      <c r="C389" s="14">
        <f>IFERROR(__xludf.DUMMYFUNCTION("GOOGLEFINANCE(A389,""PRICEOPEN"")"),984.85)</f>
        <v>984.85</v>
      </c>
      <c r="D389" s="14">
        <f>IFERROR(__xludf.DUMMYFUNCTION("GOOGLEFINANCE(A389,""HIGH"")"),995.35)</f>
        <v>995.35</v>
      </c>
      <c r="E389" s="14">
        <f>IFERROR(__xludf.DUMMYFUNCTION("GOOGLEFINANCE(A389,""LOW"")"),967.6)</f>
        <v>967.6</v>
      </c>
      <c r="F389" s="15" t="str">
        <f t="shared" si="8"/>
        <v/>
      </c>
      <c r="G389" s="16">
        <f>IFERROR(__xludf.DUMMYFUNCTION("GOOGLEFINANCE(A389,""CLOSEYEST"")"),976.2)</f>
        <v>976.2</v>
      </c>
      <c r="H389" s="17" t="str">
        <f t="shared" si="14"/>
        <v/>
      </c>
      <c r="I389" s="18">
        <f t="shared" si="9"/>
        <v>979.7166667</v>
      </c>
      <c r="J389" s="19">
        <f t="shared" si="10"/>
        <v>991.8333333</v>
      </c>
      <c r="K389" s="19"/>
      <c r="L389" s="19">
        <f t="shared" si="11"/>
        <v>964.0833333</v>
      </c>
      <c r="M389" s="19">
        <f t="shared" si="12"/>
        <v>1007.466667</v>
      </c>
      <c r="N389" s="19">
        <f t="shared" si="13"/>
        <v>951.9666667</v>
      </c>
    </row>
    <row r="390" ht="24.75" customHeight="1">
      <c r="A390" s="21" t="s">
        <v>353</v>
      </c>
      <c r="B390" s="13">
        <f>IFERROR(__xludf.DUMMYFUNCTION("GOOGLEFINANCE(A390,""PRICE"")"),1084.0)</f>
        <v>1084</v>
      </c>
      <c r="C390" s="14">
        <f>IFERROR(__xludf.DUMMYFUNCTION("GOOGLEFINANCE(A390,""PRICEOPEN"")"),1072.6)</f>
        <v>1072.6</v>
      </c>
      <c r="D390" s="14">
        <f>IFERROR(__xludf.DUMMYFUNCTION("GOOGLEFINANCE(A390,""HIGH"")"),1103.3)</f>
        <v>1103.3</v>
      </c>
      <c r="E390" s="14">
        <f>IFERROR(__xludf.DUMMYFUNCTION("GOOGLEFINANCE(A390,""LOW"")"),1065.7)</f>
        <v>1065.7</v>
      </c>
      <c r="F390" s="15" t="str">
        <f t="shared" si="8"/>
        <v/>
      </c>
      <c r="G390" s="16">
        <f>IFERROR(__xludf.DUMMYFUNCTION("GOOGLEFINANCE(A390,""CLOSEYEST"")"),1072.6)</f>
        <v>1072.6</v>
      </c>
      <c r="H390" s="17" t="str">
        <f t="shared" si="14"/>
        <v/>
      </c>
      <c r="I390" s="18">
        <f t="shared" si="9"/>
        <v>1080.533333</v>
      </c>
      <c r="J390" s="19">
        <f t="shared" si="10"/>
        <v>1095.366667</v>
      </c>
      <c r="K390" s="19"/>
      <c r="L390" s="19">
        <f t="shared" si="11"/>
        <v>1057.766667</v>
      </c>
      <c r="M390" s="19">
        <f t="shared" si="12"/>
        <v>1118.133333</v>
      </c>
      <c r="N390" s="19">
        <f t="shared" si="13"/>
        <v>1042.933333</v>
      </c>
    </row>
    <row r="391" ht="24.75" customHeight="1">
      <c r="A391" s="21" t="s">
        <v>354</v>
      </c>
      <c r="B391" s="13">
        <f>IFERROR(__xludf.DUMMYFUNCTION("GOOGLEFINANCE(A391,""PRICE"")"),3928.4)</f>
        <v>3928.4</v>
      </c>
      <c r="C391" s="14">
        <f>IFERROR(__xludf.DUMMYFUNCTION("GOOGLEFINANCE(A391,""PRICEOPEN"")"),3989.8)</f>
        <v>3989.8</v>
      </c>
      <c r="D391" s="14">
        <f>IFERROR(__xludf.DUMMYFUNCTION("GOOGLEFINANCE(A391,""HIGH"")"),4038.9)</f>
        <v>4038.9</v>
      </c>
      <c r="E391" s="14">
        <f>IFERROR(__xludf.DUMMYFUNCTION("GOOGLEFINANCE(A391,""LOW"")"),3906.0)</f>
        <v>3906</v>
      </c>
      <c r="F391" s="15" t="str">
        <f t="shared" si="8"/>
        <v/>
      </c>
      <c r="G391" s="16">
        <f>IFERROR(__xludf.DUMMYFUNCTION("GOOGLEFINANCE(A391,""CLOSEYEST"")"),3973.5)</f>
        <v>3973.5</v>
      </c>
      <c r="H391" s="17" t="str">
        <f t="shared" si="14"/>
        <v/>
      </c>
      <c r="I391" s="18">
        <f t="shared" si="9"/>
        <v>3972.8</v>
      </c>
      <c r="J391" s="19">
        <f t="shared" si="10"/>
        <v>4039.6</v>
      </c>
      <c r="K391" s="19"/>
      <c r="L391" s="19">
        <f t="shared" si="11"/>
        <v>3906.7</v>
      </c>
      <c r="M391" s="19">
        <f t="shared" si="12"/>
        <v>4105.7</v>
      </c>
      <c r="N391" s="19">
        <f t="shared" si="13"/>
        <v>3839.9</v>
      </c>
    </row>
    <row r="392" ht="24.75" customHeight="1">
      <c r="A392" s="21" t="s">
        <v>355</v>
      </c>
      <c r="B392" s="13">
        <f>IFERROR(__xludf.DUMMYFUNCTION("GOOGLEFINANCE(A392,""PRICE"")"),386.7)</f>
        <v>386.7</v>
      </c>
      <c r="C392" s="14">
        <f>IFERROR(__xludf.DUMMYFUNCTION("GOOGLEFINANCE(A392,""PRICEOPEN"")"),388.7)</f>
        <v>388.7</v>
      </c>
      <c r="D392" s="14">
        <f>IFERROR(__xludf.DUMMYFUNCTION("GOOGLEFINANCE(A392,""HIGH"")"),390.95)</f>
        <v>390.95</v>
      </c>
      <c r="E392" s="14">
        <f>IFERROR(__xludf.DUMMYFUNCTION("GOOGLEFINANCE(A392,""LOW"")"),378.85)</f>
        <v>378.85</v>
      </c>
      <c r="F392" s="15" t="str">
        <f t="shared" si="8"/>
        <v/>
      </c>
      <c r="G392" s="16">
        <f>IFERROR(__xludf.DUMMYFUNCTION("GOOGLEFINANCE(A392,""CLOSEYEST"")"),386.8)</f>
        <v>386.8</v>
      </c>
      <c r="H392" s="17" t="str">
        <f t="shared" si="14"/>
        <v/>
      </c>
      <c r="I392" s="18">
        <f t="shared" si="9"/>
        <v>385.5333333</v>
      </c>
      <c r="J392" s="19">
        <f t="shared" si="10"/>
        <v>392.2166667</v>
      </c>
      <c r="K392" s="19"/>
      <c r="L392" s="19">
        <f t="shared" si="11"/>
        <v>380.1166667</v>
      </c>
      <c r="M392" s="19">
        <f t="shared" si="12"/>
        <v>397.6333333</v>
      </c>
      <c r="N392" s="19">
        <f t="shared" si="13"/>
        <v>373.4333333</v>
      </c>
    </row>
    <row r="393" ht="24.75" customHeight="1">
      <c r="A393" s="21" t="s">
        <v>356</v>
      </c>
      <c r="B393" s="13">
        <f>IFERROR(__xludf.DUMMYFUNCTION("GOOGLEFINANCE(A393,""PRICE"")"),669.0)</f>
        <v>669</v>
      </c>
      <c r="C393" s="14">
        <f>IFERROR(__xludf.DUMMYFUNCTION("GOOGLEFINANCE(A393,""PRICEOPEN"")"),649.85)</f>
        <v>649.85</v>
      </c>
      <c r="D393" s="14">
        <f>IFERROR(__xludf.DUMMYFUNCTION("GOOGLEFINANCE(A393,""HIGH"")"),670.3)</f>
        <v>670.3</v>
      </c>
      <c r="E393" s="14">
        <f>IFERROR(__xludf.DUMMYFUNCTION("GOOGLEFINANCE(A393,""LOW"")"),648.0)</f>
        <v>648</v>
      </c>
      <c r="F393" s="15" t="str">
        <f t="shared" si="8"/>
        <v/>
      </c>
      <c r="G393" s="16">
        <f>IFERROR(__xludf.DUMMYFUNCTION("GOOGLEFINANCE(A393,""CLOSEYEST"")"),649.65)</f>
        <v>649.65</v>
      </c>
      <c r="H393" s="17" t="str">
        <f t="shared" si="14"/>
        <v/>
      </c>
      <c r="I393" s="18">
        <f t="shared" si="9"/>
        <v>655.9833333</v>
      </c>
      <c r="J393" s="19">
        <f t="shared" si="10"/>
        <v>663.9666667</v>
      </c>
      <c r="K393" s="19"/>
      <c r="L393" s="19">
        <f t="shared" si="11"/>
        <v>641.6666667</v>
      </c>
      <c r="M393" s="19">
        <f t="shared" si="12"/>
        <v>678.2833333</v>
      </c>
      <c r="N393" s="19">
        <f t="shared" si="13"/>
        <v>633.6833333</v>
      </c>
    </row>
    <row r="394" ht="24.75" customHeight="1">
      <c r="A394" s="21" t="s">
        <v>357</v>
      </c>
      <c r="B394" s="13">
        <f>IFERROR(__xludf.DUMMYFUNCTION("GOOGLEFINANCE(A394,""PRICE"")"),368.0)</f>
        <v>368</v>
      </c>
      <c r="C394" s="14">
        <f>IFERROR(__xludf.DUMMYFUNCTION("GOOGLEFINANCE(A394,""PRICEOPEN"")"),371.0)</f>
        <v>371</v>
      </c>
      <c r="D394" s="14">
        <f>IFERROR(__xludf.DUMMYFUNCTION("GOOGLEFINANCE(A394,""HIGH"")"),371.55)</f>
        <v>371.55</v>
      </c>
      <c r="E394" s="14">
        <f>IFERROR(__xludf.DUMMYFUNCTION("GOOGLEFINANCE(A394,""LOW"")"),362.75)</f>
        <v>362.75</v>
      </c>
      <c r="F394" s="15" t="str">
        <f t="shared" si="8"/>
        <v/>
      </c>
      <c r="G394" s="16">
        <f>IFERROR(__xludf.DUMMYFUNCTION("GOOGLEFINANCE(A394,""CLOSEYEST"")"),370.1)</f>
        <v>370.1</v>
      </c>
      <c r="H394" s="17" t="str">
        <f t="shared" si="14"/>
        <v/>
      </c>
      <c r="I394" s="18">
        <f t="shared" si="9"/>
        <v>368.1333333</v>
      </c>
      <c r="J394" s="19">
        <f t="shared" si="10"/>
        <v>373.5166667</v>
      </c>
      <c r="K394" s="19"/>
      <c r="L394" s="19">
        <f t="shared" si="11"/>
        <v>364.7166667</v>
      </c>
      <c r="M394" s="19">
        <f t="shared" si="12"/>
        <v>376.9333333</v>
      </c>
      <c r="N394" s="19">
        <f t="shared" si="13"/>
        <v>359.3333333</v>
      </c>
    </row>
    <row r="395" ht="24.75" customHeight="1">
      <c r="A395" s="21" t="s">
        <v>358</v>
      </c>
      <c r="B395" s="13">
        <f>IFERROR(__xludf.DUMMYFUNCTION("GOOGLEFINANCE(A395,""PRICE"")"),783.2)</f>
        <v>783.2</v>
      </c>
      <c r="C395" s="14">
        <f>IFERROR(__xludf.DUMMYFUNCTION("GOOGLEFINANCE(A395,""PRICEOPEN"")"),766.0)</f>
        <v>766</v>
      </c>
      <c r="D395" s="14">
        <f>IFERROR(__xludf.DUMMYFUNCTION("GOOGLEFINANCE(A395,""HIGH"")"),794.0)</f>
        <v>794</v>
      </c>
      <c r="E395" s="14">
        <f>IFERROR(__xludf.DUMMYFUNCTION("GOOGLEFINANCE(A395,""LOW"")"),760.95)</f>
        <v>760.95</v>
      </c>
      <c r="F395" s="15" t="str">
        <f t="shared" si="8"/>
        <v/>
      </c>
      <c r="G395" s="16">
        <f>IFERROR(__xludf.DUMMYFUNCTION("GOOGLEFINANCE(A395,""CLOSEYEST"")"),762.4)</f>
        <v>762.4</v>
      </c>
      <c r="H395" s="17" t="str">
        <f t="shared" si="14"/>
        <v/>
      </c>
      <c r="I395" s="18">
        <f t="shared" si="9"/>
        <v>772.45</v>
      </c>
      <c r="J395" s="19">
        <f t="shared" si="10"/>
        <v>783.95</v>
      </c>
      <c r="K395" s="19"/>
      <c r="L395" s="19">
        <f t="shared" si="11"/>
        <v>750.9</v>
      </c>
      <c r="M395" s="19">
        <f t="shared" si="12"/>
        <v>805.5</v>
      </c>
      <c r="N395" s="19">
        <f t="shared" si="13"/>
        <v>739.4</v>
      </c>
    </row>
    <row r="396" ht="24.75" customHeight="1">
      <c r="A396" s="21" t="s">
        <v>359</v>
      </c>
      <c r="B396" s="13">
        <f>IFERROR(__xludf.DUMMYFUNCTION("GOOGLEFINANCE(A396,""PRICE"")"),1899.0)</f>
        <v>1899</v>
      </c>
      <c r="C396" s="14">
        <f>IFERROR(__xludf.DUMMYFUNCTION("GOOGLEFINANCE(A396,""PRICEOPEN"")"),1877.8)</f>
        <v>1877.8</v>
      </c>
      <c r="D396" s="14">
        <f>IFERROR(__xludf.DUMMYFUNCTION("GOOGLEFINANCE(A396,""HIGH"")"),1900.1)</f>
        <v>1900.1</v>
      </c>
      <c r="E396" s="14">
        <f>IFERROR(__xludf.DUMMYFUNCTION("GOOGLEFINANCE(A396,""LOW"")"),1862.1)</f>
        <v>1862.1</v>
      </c>
      <c r="F396" s="15" t="str">
        <f t="shared" si="8"/>
        <v/>
      </c>
      <c r="G396" s="16">
        <f>IFERROR(__xludf.DUMMYFUNCTION("GOOGLEFINANCE(A396,""CLOSEYEST"")"),1877.8)</f>
        <v>1877.8</v>
      </c>
      <c r="H396" s="17" t="str">
        <f t="shared" si="14"/>
        <v/>
      </c>
      <c r="I396" s="18">
        <f t="shared" si="9"/>
        <v>1880</v>
      </c>
      <c r="J396" s="19">
        <f t="shared" si="10"/>
        <v>1897.9</v>
      </c>
      <c r="K396" s="19"/>
      <c r="L396" s="19">
        <f t="shared" si="11"/>
        <v>1859.9</v>
      </c>
      <c r="M396" s="19">
        <f t="shared" si="12"/>
        <v>1918</v>
      </c>
      <c r="N396" s="19">
        <f t="shared" si="13"/>
        <v>1842</v>
      </c>
    </row>
    <row r="397" ht="24.75" customHeight="1">
      <c r="A397" s="21" t="s">
        <v>360</v>
      </c>
      <c r="B397" s="13">
        <f>IFERROR(__xludf.DUMMYFUNCTION("GOOGLEFINANCE(A397,""PRICE"")"),52.34)</f>
        <v>52.34</v>
      </c>
      <c r="C397" s="14">
        <f>IFERROR(__xludf.DUMMYFUNCTION("GOOGLEFINANCE(A397,""PRICEOPEN"")"),52.15)</f>
        <v>52.15</v>
      </c>
      <c r="D397" s="14">
        <f>IFERROR(__xludf.DUMMYFUNCTION("GOOGLEFINANCE(A397,""HIGH"")"),52.55)</f>
        <v>52.55</v>
      </c>
      <c r="E397" s="14">
        <f>IFERROR(__xludf.DUMMYFUNCTION("GOOGLEFINANCE(A397,""LOW"")"),51.9)</f>
        <v>51.9</v>
      </c>
      <c r="F397" s="15" t="str">
        <f t="shared" si="8"/>
        <v/>
      </c>
      <c r="G397" s="16">
        <f>IFERROR(__xludf.DUMMYFUNCTION("GOOGLEFINANCE(A397,""CLOSEYEST"")"),52.1)</f>
        <v>52.1</v>
      </c>
      <c r="H397" s="17" t="str">
        <f t="shared" si="14"/>
        <v/>
      </c>
      <c r="I397" s="18">
        <f t="shared" si="9"/>
        <v>52.18333333</v>
      </c>
      <c r="J397" s="19">
        <f t="shared" si="10"/>
        <v>52.46666667</v>
      </c>
      <c r="K397" s="19"/>
      <c r="L397" s="19">
        <f t="shared" si="11"/>
        <v>51.81666667</v>
      </c>
      <c r="M397" s="19">
        <f t="shared" si="12"/>
        <v>52.83333333</v>
      </c>
      <c r="N397" s="19">
        <f t="shared" si="13"/>
        <v>51.53333333</v>
      </c>
    </row>
    <row r="398" ht="24.75" customHeight="1">
      <c r="A398" s="21" t="s">
        <v>361</v>
      </c>
      <c r="B398" s="13" t="str">
        <f>IFERROR(__xludf.DUMMYFUNCTION("GOOGLEFINANCE(A398,""PRICE"")"),"#N/A")</f>
        <v>#N/A</v>
      </c>
      <c r="C398" s="14" t="str">
        <f>IFERROR(__xludf.DUMMYFUNCTION("GOOGLEFINANCE(A398,""PRICEOPEN"")"),"#N/A")</f>
        <v>#N/A</v>
      </c>
      <c r="D398" s="14" t="str">
        <f>IFERROR(__xludf.DUMMYFUNCTION("GOOGLEFINANCE(A398,""HIGH"")"),"#N/A")</f>
        <v>#N/A</v>
      </c>
      <c r="E398" s="14" t="str">
        <f>IFERROR(__xludf.DUMMYFUNCTION("GOOGLEFINANCE(A398,""LOW"")"),"#N/A")</f>
        <v>#N/A</v>
      </c>
      <c r="F398" s="15" t="str">
        <f t="shared" si="8"/>
        <v>#N/A</v>
      </c>
      <c r="G398" s="16" t="str">
        <f>IFERROR(__xludf.DUMMYFUNCTION("GOOGLEFINANCE(A398,""CLOSEYEST"")"),"#N/A")</f>
        <v>#N/A</v>
      </c>
      <c r="H398" s="17" t="str">
        <f t="shared" si="14"/>
        <v>#N/A</v>
      </c>
      <c r="I398" s="18" t="str">
        <f t="shared" si="9"/>
        <v>#N/A</v>
      </c>
      <c r="J398" s="19" t="str">
        <f t="shared" si="10"/>
        <v>#N/A</v>
      </c>
      <c r="K398" s="19"/>
      <c r="L398" s="19" t="str">
        <f t="shared" si="11"/>
        <v>#N/A</v>
      </c>
      <c r="M398" s="19" t="str">
        <f t="shared" si="12"/>
        <v>#N/A</v>
      </c>
      <c r="N398" s="19" t="str">
        <f t="shared" si="13"/>
        <v>#N/A</v>
      </c>
    </row>
    <row r="399" ht="24.75" customHeight="1">
      <c r="A399" s="21" t="s">
        <v>362</v>
      </c>
      <c r="B399" s="13">
        <f>IFERROR(__xludf.DUMMYFUNCTION("GOOGLEFINANCE(A399,""PRICE"")"),2200.0)</f>
        <v>2200</v>
      </c>
      <c r="C399" s="14">
        <f>IFERROR(__xludf.DUMMYFUNCTION("GOOGLEFINANCE(A399,""PRICEOPEN"")"),2208.8)</f>
        <v>2208.8</v>
      </c>
      <c r="D399" s="14">
        <f>IFERROR(__xludf.DUMMYFUNCTION("GOOGLEFINANCE(A399,""HIGH"")"),2216.5)</f>
        <v>2216.5</v>
      </c>
      <c r="E399" s="14">
        <f>IFERROR(__xludf.DUMMYFUNCTION("GOOGLEFINANCE(A399,""LOW"")"),2186.6)</f>
        <v>2186.6</v>
      </c>
      <c r="F399" s="15" t="str">
        <f t="shared" si="8"/>
        <v/>
      </c>
      <c r="G399" s="16">
        <f>IFERROR(__xludf.DUMMYFUNCTION("GOOGLEFINANCE(A399,""CLOSEYEST"")"),2208.8)</f>
        <v>2208.8</v>
      </c>
      <c r="H399" s="17" t="str">
        <f t="shared" si="14"/>
        <v/>
      </c>
      <c r="I399" s="18">
        <f t="shared" si="9"/>
        <v>2203.966667</v>
      </c>
      <c r="J399" s="19">
        <f t="shared" si="10"/>
        <v>2221.333333</v>
      </c>
      <c r="K399" s="19"/>
      <c r="L399" s="19">
        <f t="shared" si="11"/>
        <v>2191.433333</v>
      </c>
      <c r="M399" s="19">
        <f t="shared" si="12"/>
        <v>2233.866667</v>
      </c>
      <c r="N399" s="19">
        <f t="shared" si="13"/>
        <v>2174.066667</v>
      </c>
    </row>
    <row r="400" ht="24.75" customHeight="1">
      <c r="A400" s="21" t="s">
        <v>363</v>
      </c>
      <c r="B400" s="13">
        <f>IFERROR(__xludf.DUMMYFUNCTION("GOOGLEFINANCE(A400,""PRICE"")"),32.1)</f>
        <v>32.1</v>
      </c>
      <c r="C400" s="14">
        <f>IFERROR(__xludf.DUMMYFUNCTION("GOOGLEFINANCE(A400,""PRICEOPEN"")"),32.01)</f>
        <v>32.01</v>
      </c>
      <c r="D400" s="14">
        <f>IFERROR(__xludf.DUMMYFUNCTION("GOOGLEFINANCE(A400,""HIGH"")"),32.36)</f>
        <v>32.36</v>
      </c>
      <c r="E400" s="14">
        <f>IFERROR(__xludf.DUMMYFUNCTION("GOOGLEFINANCE(A400,""LOW"")"),31.83)</f>
        <v>31.83</v>
      </c>
      <c r="F400" s="15" t="str">
        <f t="shared" si="8"/>
        <v/>
      </c>
      <c r="G400" s="16">
        <f>IFERROR(__xludf.DUMMYFUNCTION("GOOGLEFINANCE(A400,""CLOSEYEST"")"),32.04)</f>
        <v>32.04</v>
      </c>
      <c r="H400" s="17" t="str">
        <f t="shared" si="14"/>
        <v/>
      </c>
      <c r="I400" s="18">
        <f t="shared" si="9"/>
        <v>32.07666667</v>
      </c>
      <c r="J400" s="19">
        <f t="shared" si="10"/>
        <v>32.32333333</v>
      </c>
      <c r="K400" s="19"/>
      <c r="L400" s="19">
        <f t="shared" si="11"/>
        <v>31.79333333</v>
      </c>
      <c r="M400" s="19">
        <f t="shared" si="12"/>
        <v>32.60666667</v>
      </c>
      <c r="N400" s="19">
        <f t="shared" si="13"/>
        <v>31.54666667</v>
      </c>
    </row>
    <row r="401" ht="24.75" customHeight="1">
      <c r="A401" s="21" t="s">
        <v>364</v>
      </c>
      <c r="B401" s="13">
        <f>IFERROR(__xludf.DUMMYFUNCTION("GOOGLEFINANCE(A401,""PRICE"")"),113.08)</f>
        <v>113.08</v>
      </c>
      <c r="C401" s="14">
        <f>IFERROR(__xludf.DUMMYFUNCTION("GOOGLEFINANCE(A401,""PRICEOPEN"")"),109.81)</f>
        <v>109.81</v>
      </c>
      <c r="D401" s="14">
        <f>IFERROR(__xludf.DUMMYFUNCTION("GOOGLEFINANCE(A401,""HIGH"")"),113.6)</f>
        <v>113.6</v>
      </c>
      <c r="E401" s="14">
        <f>IFERROR(__xludf.DUMMYFUNCTION("GOOGLEFINANCE(A401,""LOW"")"),109.21)</f>
        <v>109.21</v>
      </c>
      <c r="F401" s="15" t="str">
        <f t="shared" si="8"/>
        <v/>
      </c>
      <c r="G401" s="16">
        <f>IFERROR(__xludf.DUMMYFUNCTION("GOOGLEFINANCE(A401,""CLOSEYEST"")"),109.48)</f>
        <v>109.48</v>
      </c>
      <c r="H401" s="17" t="str">
        <f t="shared" si="14"/>
        <v/>
      </c>
      <c r="I401" s="18">
        <f t="shared" si="9"/>
        <v>110.7633333</v>
      </c>
      <c r="J401" s="19">
        <f t="shared" si="10"/>
        <v>112.3166667</v>
      </c>
      <c r="K401" s="19"/>
      <c r="L401" s="19">
        <f t="shared" si="11"/>
        <v>107.9266667</v>
      </c>
      <c r="M401" s="19">
        <f t="shared" si="12"/>
        <v>115.1533333</v>
      </c>
      <c r="N401" s="19">
        <f t="shared" si="13"/>
        <v>106.3733333</v>
      </c>
    </row>
    <row r="402" ht="24.75" customHeight="1">
      <c r="A402" s="21" t="s">
        <v>365</v>
      </c>
      <c r="B402" s="13" t="str">
        <f>IFERROR(__xludf.DUMMYFUNCTION("GOOGLEFINANCE(A402,""PRICE"")"),"#N/A")</f>
        <v>#N/A</v>
      </c>
      <c r="C402" s="14" t="str">
        <f>IFERROR(__xludf.DUMMYFUNCTION("GOOGLEFINANCE(A402,""PRICEOPEN"")"),"#N/A")</f>
        <v>#N/A</v>
      </c>
      <c r="D402" s="14" t="str">
        <f>IFERROR(__xludf.DUMMYFUNCTION("GOOGLEFINANCE(A402,""HIGH"")"),"#N/A")</f>
        <v>#N/A</v>
      </c>
      <c r="E402" s="14" t="str">
        <f>IFERROR(__xludf.DUMMYFUNCTION("GOOGLEFINANCE(A402,""LOW"")"),"#N/A")</f>
        <v>#N/A</v>
      </c>
      <c r="F402" s="15" t="str">
        <f t="shared" si="8"/>
        <v>#N/A</v>
      </c>
      <c r="G402" s="16" t="str">
        <f>IFERROR(__xludf.DUMMYFUNCTION("GOOGLEFINANCE(A402,""CLOSEYEST"")"),"#N/A")</f>
        <v>#N/A</v>
      </c>
      <c r="H402" s="17" t="str">
        <f t="shared" si="14"/>
        <v>#N/A</v>
      </c>
      <c r="I402" s="18" t="str">
        <f t="shared" si="9"/>
        <v>#N/A</v>
      </c>
      <c r="J402" s="19" t="str">
        <f t="shared" si="10"/>
        <v>#N/A</v>
      </c>
      <c r="K402" s="19"/>
      <c r="L402" s="19" t="str">
        <f t="shared" si="11"/>
        <v>#N/A</v>
      </c>
      <c r="M402" s="19" t="str">
        <f t="shared" si="12"/>
        <v>#N/A</v>
      </c>
      <c r="N402" s="19" t="str">
        <f t="shared" si="13"/>
        <v>#N/A</v>
      </c>
    </row>
    <row r="403" ht="24.75" customHeight="1">
      <c r="A403" s="21" t="s">
        <v>366</v>
      </c>
      <c r="B403" s="13">
        <f>IFERROR(__xludf.DUMMYFUNCTION("GOOGLEFINANCE(A403,""PRICE"")"),643.0)</f>
        <v>643</v>
      </c>
      <c r="C403" s="14">
        <f>IFERROR(__xludf.DUMMYFUNCTION("GOOGLEFINANCE(A403,""PRICEOPEN"")"),629.75)</f>
        <v>629.75</v>
      </c>
      <c r="D403" s="14">
        <f>IFERROR(__xludf.DUMMYFUNCTION("GOOGLEFINANCE(A403,""HIGH"")"),647.9)</f>
        <v>647.9</v>
      </c>
      <c r="E403" s="14">
        <f>IFERROR(__xludf.DUMMYFUNCTION("GOOGLEFINANCE(A403,""LOW"")"),626.55)</f>
        <v>626.55</v>
      </c>
      <c r="F403" s="15" t="str">
        <f t="shared" si="8"/>
        <v/>
      </c>
      <c r="G403" s="16">
        <f>IFERROR(__xludf.DUMMYFUNCTION("GOOGLEFINANCE(A403,""CLOSEYEST"")"),630.85)</f>
        <v>630.85</v>
      </c>
      <c r="H403" s="17" t="str">
        <f t="shared" si="14"/>
        <v/>
      </c>
      <c r="I403" s="18">
        <f t="shared" si="9"/>
        <v>635.1</v>
      </c>
      <c r="J403" s="19">
        <f t="shared" si="10"/>
        <v>643.65</v>
      </c>
      <c r="K403" s="19"/>
      <c r="L403" s="19">
        <f t="shared" si="11"/>
        <v>622.3</v>
      </c>
      <c r="M403" s="19">
        <f t="shared" si="12"/>
        <v>656.45</v>
      </c>
      <c r="N403" s="19">
        <f t="shared" si="13"/>
        <v>613.75</v>
      </c>
    </row>
    <row r="404" ht="24.75" customHeight="1">
      <c r="A404" s="21" t="s">
        <v>367</v>
      </c>
      <c r="B404" s="13">
        <f>IFERROR(__xludf.DUMMYFUNCTION("GOOGLEFINANCE(A404,""PRICE"")"),350.15)</f>
        <v>350.15</v>
      </c>
      <c r="C404" s="14">
        <f>IFERROR(__xludf.DUMMYFUNCTION("GOOGLEFINANCE(A404,""PRICEOPEN"")"),348.7)</f>
        <v>348.7</v>
      </c>
      <c r="D404" s="14">
        <f>IFERROR(__xludf.DUMMYFUNCTION("GOOGLEFINANCE(A404,""HIGH"")"),351.55)</f>
        <v>351.55</v>
      </c>
      <c r="E404" s="14">
        <f>IFERROR(__xludf.DUMMYFUNCTION("GOOGLEFINANCE(A404,""LOW"")"),346.5)</f>
        <v>346.5</v>
      </c>
      <c r="F404" s="15" t="str">
        <f t="shared" si="8"/>
        <v/>
      </c>
      <c r="G404" s="16">
        <f>IFERROR(__xludf.DUMMYFUNCTION("GOOGLEFINANCE(A404,""CLOSEYEST"")"),348.3)</f>
        <v>348.3</v>
      </c>
      <c r="H404" s="17" t="str">
        <f t="shared" si="14"/>
        <v/>
      </c>
      <c r="I404" s="18">
        <f t="shared" si="9"/>
        <v>348.7833333</v>
      </c>
      <c r="J404" s="19">
        <f t="shared" si="10"/>
        <v>351.0666667</v>
      </c>
      <c r="K404" s="19"/>
      <c r="L404" s="19">
        <f t="shared" si="11"/>
        <v>346.0166667</v>
      </c>
      <c r="M404" s="19">
        <f t="shared" si="12"/>
        <v>353.8333333</v>
      </c>
      <c r="N404" s="19">
        <f t="shared" si="13"/>
        <v>343.7333333</v>
      </c>
    </row>
    <row r="405" ht="24.75" customHeight="1">
      <c r="A405" s="21" t="s">
        <v>368</v>
      </c>
      <c r="B405" s="13">
        <f>IFERROR(__xludf.DUMMYFUNCTION("GOOGLEFINANCE(A405,""PRICE"")"),281.0)</f>
        <v>281</v>
      </c>
      <c r="C405" s="14">
        <f>IFERROR(__xludf.DUMMYFUNCTION("GOOGLEFINANCE(A405,""PRICEOPEN"")"),277.15)</f>
        <v>277.15</v>
      </c>
      <c r="D405" s="14">
        <f>IFERROR(__xludf.DUMMYFUNCTION("GOOGLEFINANCE(A405,""HIGH"")"),285.0)</f>
        <v>285</v>
      </c>
      <c r="E405" s="14">
        <f>IFERROR(__xludf.DUMMYFUNCTION("GOOGLEFINANCE(A405,""LOW"")"),275.85)</f>
        <v>275.85</v>
      </c>
      <c r="F405" s="15" t="str">
        <f t="shared" si="8"/>
        <v/>
      </c>
      <c r="G405" s="16">
        <f>IFERROR(__xludf.DUMMYFUNCTION("GOOGLEFINANCE(A405,""CLOSEYEST"")"),277.05)</f>
        <v>277.05</v>
      </c>
      <c r="H405" s="17" t="str">
        <f t="shared" si="14"/>
        <v/>
      </c>
      <c r="I405" s="18">
        <f t="shared" si="9"/>
        <v>279.3</v>
      </c>
      <c r="J405" s="19">
        <f t="shared" si="10"/>
        <v>282.75</v>
      </c>
      <c r="K405" s="19"/>
      <c r="L405" s="19">
        <f t="shared" si="11"/>
        <v>273.6</v>
      </c>
      <c r="M405" s="19">
        <f t="shared" si="12"/>
        <v>288.45</v>
      </c>
      <c r="N405" s="19">
        <f t="shared" si="13"/>
        <v>270.15</v>
      </c>
    </row>
    <row r="406" ht="24.75" customHeight="1">
      <c r="A406" s="21" t="s">
        <v>369</v>
      </c>
      <c r="B406" s="13">
        <f>IFERROR(__xludf.DUMMYFUNCTION("GOOGLEFINANCE(A406,""PRICE"")"),2410.0)</f>
        <v>2410</v>
      </c>
      <c r="C406" s="14">
        <f>IFERROR(__xludf.DUMMYFUNCTION("GOOGLEFINANCE(A406,""PRICEOPEN"")"),2414.4)</f>
        <v>2414.4</v>
      </c>
      <c r="D406" s="14">
        <f>IFERROR(__xludf.DUMMYFUNCTION("GOOGLEFINANCE(A406,""HIGH"")"),2429.1)</f>
        <v>2429.1</v>
      </c>
      <c r="E406" s="14">
        <f>IFERROR(__xludf.DUMMYFUNCTION("GOOGLEFINANCE(A406,""LOW"")"),2391.0)</f>
        <v>2391</v>
      </c>
      <c r="F406" s="15" t="str">
        <f t="shared" si="8"/>
        <v/>
      </c>
      <c r="G406" s="16">
        <f>IFERROR(__xludf.DUMMYFUNCTION("GOOGLEFINANCE(A406,""CLOSEYEST"")"),2414.4)</f>
        <v>2414.4</v>
      </c>
      <c r="H406" s="17" t="str">
        <f t="shared" si="14"/>
        <v/>
      </c>
      <c r="I406" s="18">
        <f t="shared" si="9"/>
        <v>2411.5</v>
      </c>
      <c r="J406" s="19">
        <f t="shared" si="10"/>
        <v>2432</v>
      </c>
      <c r="K406" s="19"/>
      <c r="L406" s="19">
        <f t="shared" si="11"/>
        <v>2393.9</v>
      </c>
      <c r="M406" s="19">
        <f t="shared" si="12"/>
        <v>2449.6</v>
      </c>
      <c r="N406" s="19">
        <f t="shared" si="13"/>
        <v>2373.4</v>
      </c>
    </row>
    <row r="407" ht="24.75" customHeight="1">
      <c r="A407" s="21" t="s">
        <v>370</v>
      </c>
      <c r="B407" s="13">
        <f>IFERROR(__xludf.DUMMYFUNCTION("GOOGLEFINANCE(A407,""PRICE"")"),189.0)</f>
        <v>189</v>
      </c>
      <c r="C407" s="14">
        <f>IFERROR(__xludf.DUMMYFUNCTION("GOOGLEFINANCE(A407,""PRICEOPEN"")"),190.44)</f>
        <v>190.44</v>
      </c>
      <c r="D407" s="14">
        <f>IFERROR(__xludf.DUMMYFUNCTION("GOOGLEFINANCE(A407,""HIGH"")"),190.99)</f>
        <v>190.99</v>
      </c>
      <c r="E407" s="14">
        <f>IFERROR(__xludf.DUMMYFUNCTION("GOOGLEFINANCE(A407,""LOW"")"),186.0)</f>
        <v>186</v>
      </c>
      <c r="F407" s="15" t="str">
        <f t="shared" si="8"/>
        <v/>
      </c>
      <c r="G407" s="16">
        <f>IFERROR(__xludf.DUMMYFUNCTION("GOOGLEFINANCE(A407,""CLOSEYEST"")"),188.76)</f>
        <v>188.76</v>
      </c>
      <c r="H407" s="17" t="str">
        <f t="shared" si="14"/>
        <v/>
      </c>
      <c r="I407" s="18">
        <f t="shared" si="9"/>
        <v>188.5833333</v>
      </c>
      <c r="J407" s="19">
        <f t="shared" si="10"/>
        <v>191.1666667</v>
      </c>
      <c r="K407" s="19"/>
      <c r="L407" s="19">
        <f t="shared" si="11"/>
        <v>186.1766667</v>
      </c>
      <c r="M407" s="19">
        <f t="shared" si="12"/>
        <v>193.5733333</v>
      </c>
      <c r="N407" s="19">
        <f t="shared" si="13"/>
        <v>183.5933333</v>
      </c>
    </row>
    <row r="408" ht="24.75" customHeight="1">
      <c r="A408" s="21" t="s">
        <v>371</v>
      </c>
      <c r="B408" s="13">
        <f>IFERROR(__xludf.DUMMYFUNCTION("GOOGLEFINANCE(A408,""PRICE"")"),1121.0)</f>
        <v>1121</v>
      </c>
      <c r="C408" s="14">
        <f>IFERROR(__xludf.DUMMYFUNCTION("GOOGLEFINANCE(A408,""PRICEOPEN"")"),1122.9)</f>
        <v>1122.9</v>
      </c>
      <c r="D408" s="14">
        <f>IFERROR(__xludf.DUMMYFUNCTION("GOOGLEFINANCE(A408,""HIGH"")"),1137.0)</f>
        <v>1137</v>
      </c>
      <c r="E408" s="14">
        <f>IFERROR(__xludf.DUMMYFUNCTION("GOOGLEFINANCE(A408,""LOW"")"),1111.0)</f>
        <v>1111</v>
      </c>
      <c r="F408" s="15" t="str">
        <f t="shared" si="8"/>
        <v/>
      </c>
      <c r="G408" s="16">
        <f>IFERROR(__xludf.DUMMYFUNCTION("GOOGLEFINANCE(A408,""CLOSEYEST"")"),1113.0)</f>
        <v>1113</v>
      </c>
      <c r="H408" s="17" t="str">
        <f t="shared" si="14"/>
        <v/>
      </c>
      <c r="I408" s="18">
        <f t="shared" si="9"/>
        <v>1120.333333</v>
      </c>
      <c r="J408" s="19">
        <f t="shared" si="10"/>
        <v>1129.666667</v>
      </c>
      <c r="K408" s="19"/>
      <c r="L408" s="19">
        <f t="shared" si="11"/>
        <v>1103.666667</v>
      </c>
      <c r="M408" s="19">
        <f t="shared" si="12"/>
        <v>1146.333333</v>
      </c>
      <c r="N408" s="19">
        <f t="shared" si="13"/>
        <v>1094.333333</v>
      </c>
    </row>
    <row r="409" ht="24.75" customHeight="1">
      <c r="A409" s="21" t="s">
        <v>372</v>
      </c>
      <c r="B409" s="13">
        <f>IFERROR(__xludf.DUMMYFUNCTION("GOOGLEFINANCE(A409,""PRICE"")"),225.5)</f>
        <v>225.5</v>
      </c>
      <c r="C409" s="14">
        <f>IFERROR(__xludf.DUMMYFUNCTION("GOOGLEFINANCE(A409,""PRICEOPEN"")"),227.05)</f>
        <v>227.05</v>
      </c>
      <c r="D409" s="14">
        <f>IFERROR(__xludf.DUMMYFUNCTION("GOOGLEFINANCE(A409,""HIGH"")"),229.2)</f>
        <v>229.2</v>
      </c>
      <c r="E409" s="14">
        <f>IFERROR(__xludf.DUMMYFUNCTION("GOOGLEFINANCE(A409,""LOW"")"),223.1)</f>
        <v>223.1</v>
      </c>
      <c r="F409" s="15" t="str">
        <f t="shared" si="8"/>
        <v/>
      </c>
      <c r="G409" s="16">
        <f>IFERROR(__xludf.DUMMYFUNCTION("GOOGLEFINANCE(A409,""CLOSEYEST"")"),227.05)</f>
        <v>227.05</v>
      </c>
      <c r="H409" s="17" t="str">
        <f t="shared" si="14"/>
        <v/>
      </c>
      <c r="I409" s="18">
        <f t="shared" si="9"/>
        <v>226.45</v>
      </c>
      <c r="J409" s="19">
        <f t="shared" si="10"/>
        <v>229.8</v>
      </c>
      <c r="K409" s="19"/>
      <c r="L409" s="19">
        <f t="shared" si="11"/>
        <v>223.7</v>
      </c>
      <c r="M409" s="19">
        <f t="shared" si="12"/>
        <v>232.55</v>
      </c>
      <c r="N409" s="19">
        <f t="shared" si="13"/>
        <v>220.35</v>
      </c>
    </row>
    <row r="410" ht="24.75" customHeight="1">
      <c r="A410" s="21" t="s">
        <v>373</v>
      </c>
      <c r="B410" s="13">
        <f>IFERROR(__xludf.DUMMYFUNCTION("GOOGLEFINANCE(A410,""PRICE"")"),3356.5)</f>
        <v>3356.5</v>
      </c>
      <c r="C410" s="14">
        <f>IFERROR(__xludf.DUMMYFUNCTION("GOOGLEFINANCE(A410,""PRICEOPEN"")"),3319.5)</f>
        <v>3319.5</v>
      </c>
      <c r="D410" s="14">
        <f>IFERROR(__xludf.DUMMYFUNCTION("GOOGLEFINANCE(A410,""HIGH"")"),3386.0)</f>
        <v>3386</v>
      </c>
      <c r="E410" s="14">
        <f>IFERROR(__xludf.DUMMYFUNCTION("GOOGLEFINANCE(A410,""LOW"")"),3302.1)</f>
        <v>3302.1</v>
      </c>
      <c r="F410" s="15" t="str">
        <f t="shared" si="8"/>
        <v/>
      </c>
      <c r="G410" s="16">
        <f>IFERROR(__xludf.DUMMYFUNCTION("GOOGLEFINANCE(A410,""CLOSEYEST"")"),3316.2)</f>
        <v>3316.2</v>
      </c>
      <c r="H410" s="17" t="str">
        <f t="shared" si="14"/>
        <v/>
      </c>
      <c r="I410" s="18">
        <f t="shared" si="9"/>
        <v>3334.766667</v>
      </c>
      <c r="J410" s="19">
        <f t="shared" si="10"/>
        <v>3367.433333</v>
      </c>
      <c r="K410" s="19"/>
      <c r="L410" s="19">
        <f t="shared" si="11"/>
        <v>3283.533333</v>
      </c>
      <c r="M410" s="19">
        <f t="shared" si="12"/>
        <v>3418.666667</v>
      </c>
      <c r="N410" s="19">
        <f t="shared" si="13"/>
        <v>3250.866667</v>
      </c>
    </row>
    <row r="411" ht="24.75" customHeight="1">
      <c r="A411" s="21" t="s">
        <v>374</v>
      </c>
      <c r="B411" s="13">
        <f>IFERROR(__xludf.DUMMYFUNCTION("GOOGLEFINANCE(A411,""PRICE"")"),1913.2)</f>
        <v>1913.2</v>
      </c>
      <c r="C411" s="14">
        <f>IFERROR(__xludf.DUMMYFUNCTION("GOOGLEFINANCE(A411,""PRICEOPEN"")"),1931.0)</f>
        <v>1931</v>
      </c>
      <c r="D411" s="14">
        <f>IFERROR(__xludf.DUMMYFUNCTION("GOOGLEFINANCE(A411,""HIGH"")"),1935.8)</f>
        <v>1935.8</v>
      </c>
      <c r="E411" s="14">
        <f>IFERROR(__xludf.DUMMYFUNCTION("GOOGLEFINANCE(A411,""LOW"")"),1875.2)</f>
        <v>1875.2</v>
      </c>
      <c r="F411" s="15" t="str">
        <f t="shared" si="8"/>
        <v/>
      </c>
      <c r="G411" s="16">
        <f>IFERROR(__xludf.DUMMYFUNCTION("GOOGLEFINANCE(A411,""CLOSEYEST"")"),1951.0)</f>
        <v>1951</v>
      </c>
      <c r="H411" s="17" t="str">
        <f t="shared" si="14"/>
        <v>GAP DOWN</v>
      </c>
      <c r="I411" s="18">
        <f t="shared" si="9"/>
        <v>1920.666667</v>
      </c>
      <c r="J411" s="19">
        <f t="shared" si="10"/>
        <v>1966.133333</v>
      </c>
      <c r="K411" s="19"/>
      <c r="L411" s="19">
        <f t="shared" si="11"/>
        <v>1905.533333</v>
      </c>
      <c r="M411" s="19">
        <f t="shared" si="12"/>
        <v>1981.266667</v>
      </c>
      <c r="N411" s="19">
        <f t="shared" si="13"/>
        <v>1860.066667</v>
      </c>
    </row>
    <row r="412" ht="24.75" customHeight="1">
      <c r="A412" s="21" t="s">
        <v>375</v>
      </c>
      <c r="B412" s="13">
        <f>IFERROR(__xludf.DUMMYFUNCTION("GOOGLEFINANCE(A412,""PRICE"")"),972.25)</f>
        <v>972.25</v>
      </c>
      <c r="C412" s="14">
        <f>IFERROR(__xludf.DUMMYFUNCTION("GOOGLEFINANCE(A412,""PRICEOPEN"")"),920.0)</f>
        <v>920</v>
      </c>
      <c r="D412" s="14">
        <f>IFERROR(__xludf.DUMMYFUNCTION("GOOGLEFINANCE(A412,""HIGH"")"),978.9)</f>
        <v>978.9</v>
      </c>
      <c r="E412" s="14">
        <f>IFERROR(__xludf.DUMMYFUNCTION("GOOGLEFINANCE(A412,""LOW"")"),920.0)</f>
        <v>920</v>
      </c>
      <c r="F412" s="15" t="str">
        <f t="shared" si="8"/>
        <v>BUY</v>
      </c>
      <c r="G412" s="16">
        <f>IFERROR(__xludf.DUMMYFUNCTION("GOOGLEFINANCE(A412,""CLOSEYEST"")"),924.35)</f>
        <v>924.35</v>
      </c>
      <c r="H412" s="17" t="str">
        <f t="shared" si="14"/>
        <v/>
      </c>
      <c r="I412" s="18">
        <f t="shared" si="9"/>
        <v>941.0833333</v>
      </c>
      <c r="J412" s="19">
        <f t="shared" si="10"/>
        <v>962.1666667</v>
      </c>
      <c r="K412" s="19"/>
      <c r="L412" s="19">
        <f t="shared" si="11"/>
        <v>903.2666667</v>
      </c>
      <c r="M412" s="19">
        <f t="shared" si="12"/>
        <v>999.9833333</v>
      </c>
      <c r="N412" s="19">
        <f t="shared" si="13"/>
        <v>882.1833333</v>
      </c>
    </row>
    <row r="413" ht="24.75" customHeight="1">
      <c r="A413" s="21" t="s">
        <v>376</v>
      </c>
      <c r="B413" s="13">
        <f>IFERROR(__xludf.DUMMYFUNCTION("GOOGLEFINANCE(A413,""PRICE"")"),10.31)</f>
        <v>10.31</v>
      </c>
      <c r="C413" s="14">
        <f>IFERROR(__xludf.DUMMYFUNCTION("GOOGLEFINANCE(A413,""PRICEOPEN"")"),10.31)</f>
        <v>10.31</v>
      </c>
      <c r="D413" s="14">
        <f>IFERROR(__xludf.DUMMYFUNCTION("GOOGLEFINANCE(A413,""HIGH"")"),10.31)</f>
        <v>10.31</v>
      </c>
      <c r="E413" s="14">
        <f>IFERROR(__xludf.DUMMYFUNCTION("GOOGLEFINANCE(A413,""LOW"")"),10.31)</f>
        <v>10.31</v>
      </c>
      <c r="F413" s="15" t="str">
        <f t="shared" si="8"/>
        <v>SELL</v>
      </c>
      <c r="G413" s="16">
        <f>IFERROR(__xludf.DUMMYFUNCTION("GOOGLEFINANCE(A413,""CLOSEYEST"")"),10.31)</f>
        <v>10.31</v>
      </c>
      <c r="H413" s="17" t="str">
        <f t="shared" si="14"/>
        <v/>
      </c>
      <c r="I413" s="18">
        <f t="shared" si="9"/>
        <v>10.31</v>
      </c>
      <c r="J413" s="19">
        <f t="shared" si="10"/>
        <v>10.31</v>
      </c>
      <c r="K413" s="19"/>
      <c r="L413" s="19">
        <f t="shared" si="11"/>
        <v>10.31</v>
      </c>
      <c r="M413" s="19">
        <f t="shared" si="12"/>
        <v>10.31</v>
      </c>
      <c r="N413" s="19">
        <f t="shared" si="13"/>
        <v>10.31</v>
      </c>
    </row>
    <row r="414" ht="24.75" customHeight="1">
      <c r="A414" s="21" t="s">
        <v>377</v>
      </c>
      <c r="B414" s="13">
        <f>IFERROR(__xludf.DUMMYFUNCTION("GOOGLEFINANCE(A414,""PRICE"")"),198.09)</f>
        <v>198.09</v>
      </c>
      <c r="C414" s="14">
        <f>IFERROR(__xludf.DUMMYFUNCTION("GOOGLEFINANCE(A414,""PRICEOPEN"")"),200.1)</f>
        <v>200.1</v>
      </c>
      <c r="D414" s="14">
        <f>IFERROR(__xludf.DUMMYFUNCTION("GOOGLEFINANCE(A414,""HIGH"")"),200.1)</f>
        <v>200.1</v>
      </c>
      <c r="E414" s="14">
        <f>IFERROR(__xludf.DUMMYFUNCTION("GOOGLEFINANCE(A414,""LOW"")"),197.53)</f>
        <v>197.53</v>
      </c>
      <c r="F414" s="15" t="str">
        <f t="shared" si="8"/>
        <v>SELL</v>
      </c>
      <c r="G414" s="16">
        <f>IFERROR(__xludf.DUMMYFUNCTION("GOOGLEFINANCE(A414,""CLOSEYEST"")"),198.99)</f>
        <v>198.99</v>
      </c>
      <c r="H414" s="17" t="str">
        <f t="shared" si="14"/>
        <v/>
      </c>
      <c r="I414" s="18">
        <f t="shared" si="9"/>
        <v>198.8733333</v>
      </c>
      <c r="J414" s="19">
        <f t="shared" si="10"/>
        <v>200.2166667</v>
      </c>
      <c r="K414" s="19"/>
      <c r="L414" s="19">
        <f t="shared" si="11"/>
        <v>197.6466667</v>
      </c>
      <c r="M414" s="19">
        <f t="shared" si="12"/>
        <v>201.4433333</v>
      </c>
      <c r="N414" s="19">
        <f t="shared" si="13"/>
        <v>196.3033333</v>
      </c>
    </row>
    <row r="415" ht="24.75" customHeight="1">
      <c r="A415" s="21" t="s">
        <v>378</v>
      </c>
      <c r="B415" s="13">
        <f>IFERROR(__xludf.DUMMYFUNCTION("GOOGLEFINANCE(A415,""PRICE"")"),1398.0)</f>
        <v>1398</v>
      </c>
      <c r="C415" s="14">
        <f>IFERROR(__xludf.DUMMYFUNCTION("GOOGLEFINANCE(A415,""PRICEOPEN"")"),1398.0)</f>
        <v>1398</v>
      </c>
      <c r="D415" s="14">
        <f>IFERROR(__xludf.DUMMYFUNCTION("GOOGLEFINANCE(A415,""HIGH"")"),1417.7)</f>
        <v>1417.7</v>
      </c>
      <c r="E415" s="14">
        <f>IFERROR(__xludf.DUMMYFUNCTION("GOOGLEFINANCE(A415,""LOW"")"),1380.0)</f>
        <v>1380</v>
      </c>
      <c r="F415" s="15" t="str">
        <f t="shared" si="8"/>
        <v/>
      </c>
      <c r="G415" s="16">
        <f>IFERROR(__xludf.DUMMYFUNCTION("GOOGLEFINANCE(A415,""CLOSEYEST"")"),1400.8)</f>
        <v>1400.8</v>
      </c>
      <c r="H415" s="17" t="str">
        <f t="shared" si="14"/>
        <v/>
      </c>
      <c r="I415" s="18">
        <f t="shared" si="9"/>
        <v>1399.5</v>
      </c>
      <c r="J415" s="19">
        <f t="shared" si="10"/>
        <v>1419</v>
      </c>
      <c r="K415" s="19"/>
      <c r="L415" s="19">
        <f t="shared" si="11"/>
        <v>1381.3</v>
      </c>
      <c r="M415" s="19">
        <f t="shared" si="12"/>
        <v>1437.2</v>
      </c>
      <c r="N415" s="19">
        <f t="shared" si="13"/>
        <v>1361.8</v>
      </c>
    </row>
    <row r="416" ht="24.75" customHeight="1">
      <c r="A416" s="21" t="s">
        <v>379</v>
      </c>
      <c r="B416" s="13">
        <f>IFERROR(__xludf.DUMMYFUNCTION("GOOGLEFINANCE(A416,""PRICE"")"),275.6)</f>
        <v>275.6</v>
      </c>
      <c r="C416" s="14">
        <f>IFERROR(__xludf.DUMMYFUNCTION("GOOGLEFINANCE(A416,""PRICEOPEN"")"),275.0)</f>
        <v>275</v>
      </c>
      <c r="D416" s="14">
        <f>IFERROR(__xludf.DUMMYFUNCTION("GOOGLEFINANCE(A416,""HIGH"")"),280.15)</f>
        <v>280.15</v>
      </c>
      <c r="E416" s="14">
        <f>IFERROR(__xludf.DUMMYFUNCTION("GOOGLEFINANCE(A416,""LOW"")"),273.1)</f>
        <v>273.1</v>
      </c>
      <c r="F416" s="15" t="str">
        <f t="shared" si="8"/>
        <v/>
      </c>
      <c r="G416" s="16">
        <f>IFERROR(__xludf.DUMMYFUNCTION("GOOGLEFINANCE(A416,""CLOSEYEST"")"),275.2)</f>
        <v>275.2</v>
      </c>
      <c r="H416" s="17" t="str">
        <f t="shared" si="14"/>
        <v/>
      </c>
      <c r="I416" s="18">
        <f t="shared" si="9"/>
        <v>276.15</v>
      </c>
      <c r="J416" s="19">
        <f t="shared" si="10"/>
        <v>279.2</v>
      </c>
      <c r="K416" s="19"/>
      <c r="L416" s="19">
        <f t="shared" si="11"/>
        <v>272.15</v>
      </c>
      <c r="M416" s="19">
        <f t="shared" si="12"/>
        <v>283.2</v>
      </c>
      <c r="N416" s="19">
        <f t="shared" si="13"/>
        <v>269.1</v>
      </c>
    </row>
    <row r="417" ht="24.75" customHeight="1">
      <c r="A417" s="21" t="s">
        <v>380</v>
      </c>
      <c r="B417" s="13">
        <f>IFERROR(__xludf.DUMMYFUNCTION("GOOGLEFINANCE(A417,""PRICE"")"),2097.0)</f>
        <v>2097</v>
      </c>
      <c r="C417" s="14">
        <f>IFERROR(__xludf.DUMMYFUNCTION("GOOGLEFINANCE(A417,""PRICEOPEN"")"),2080.9)</f>
        <v>2080.9</v>
      </c>
      <c r="D417" s="14">
        <f>IFERROR(__xludf.DUMMYFUNCTION("GOOGLEFINANCE(A417,""HIGH"")"),2099.9)</f>
        <v>2099.9</v>
      </c>
      <c r="E417" s="14">
        <f>IFERROR(__xludf.DUMMYFUNCTION("GOOGLEFINANCE(A417,""LOW"")"),2050.0)</f>
        <v>2050</v>
      </c>
      <c r="F417" s="15" t="str">
        <f t="shared" si="8"/>
        <v/>
      </c>
      <c r="G417" s="16">
        <f>IFERROR(__xludf.DUMMYFUNCTION("GOOGLEFINANCE(A417,""CLOSEYEST"")"),2081.4)</f>
        <v>2081.4</v>
      </c>
      <c r="H417" s="17" t="str">
        <f t="shared" si="14"/>
        <v/>
      </c>
      <c r="I417" s="18">
        <f t="shared" si="9"/>
        <v>2077.1</v>
      </c>
      <c r="J417" s="19">
        <f t="shared" si="10"/>
        <v>2104.2</v>
      </c>
      <c r="K417" s="19"/>
      <c r="L417" s="19">
        <f t="shared" si="11"/>
        <v>2054.3</v>
      </c>
      <c r="M417" s="19">
        <f t="shared" si="12"/>
        <v>2127</v>
      </c>
      <c r="N417" s="19">
        <f t="shared" si="13"/>
        <v>2027.2</v>
      </c>
    </row>
    <row r="418" ht="24.75" customHeight="1">
      <c r="A418" s="21" t="s">
        <v>381</v>
      </c>
      <c r="B418" s="13">
        <f>IFERROR(__xludf.DUMMYFUNCTION("GOOGLEFINANCE(A418,""PRICE"")"),0.25)</f>
        <v>0.25</v>
      </c>
      <c r="C418" s="14">
        <f>IFERROR(__xludf.DUMMYFUNCTION("GOOGLEFINANCE(A418,""PRICEOPEN"")"),0.25)</f>
        <v>0.25</v>
      </c>
      <c r="D418" s="14">
        <f>IFERROR(__xludf.DUMMYFUNCTION("GOOGLEFINANCE(A418,""HIGH"")"),0.25)</f>
        <v>0.25</v>
      </c>
      <c r="E418" s="14">
        <f>IFERROR(__xludf.DUMMYFUNCTION("GOOGLEFINANCE(A418,""LOW"")"),0.25)</f>
        <v>0.25</v>
      </c>
      <c r="F418" s="15" t="str">
        <f t="shared" si="8"/>
        <v>SELL</v>
      </c>
      <c r="G418" s="16">
        <f>IFERROR(__xludf.DUMMYFUNCTION("GOOGLEFINANCE(A418,""CLOSEYEST"")"),0.22)</f>
        <v>0.22</v>
      </c>
      <c r="H418" s="17" t="str">
        <f t="shared" si="14"/>
        <v>GAP UP</v>
      </c>
      <c r="I418" s="18">
        <f t="shared" si="9"/>
        <v>0.24</v>
      </c>
      <c r="J418" s="19">
        <f t="shared" si="10"/>
        <v>0.23</v>
      </c>
      <c r="K418" s="19"/>
      <c r="L418" s="19">
        <f t="shared" si="11"/>
        <v>0.23</v>
      </c>
      <c r="M418" s="19">
        <f t="shared" si="12"/>
        <v>0.24</v>
      </c>
      <c r="N418" s="19">
        <f t="shared" si="13"/>
        <v>0.24</v>
      </c>
    </row>
    <row r="419" ht="24.75" customHeight="1">
      <c r="A419" s="21" t="s">
        <v>382</v>
      </c>
      <c r="B419" s="13">
        <f>IFERROR(__xludf.DUMMYFUNCTION("GOOGLEFINANCE(A419,""PRICE"")"),233.67)</f>
        <v>233.67</v>
      </c>
      <c r="C419" s="14">
        <f>IFERROR(__xludf.DUMMYFUNCTION("GOOGLEFINANCE(A419,""PRICEOPEN"")"),232.4)</f>
        <v>232.4</v>
      </c>
      <c r="D419" s="14">
        <f>IFERROR(__xludf.DUMMYFUNCTION("GOOGLEFINANCE(A419,""HIGH"")"),237.45)</f>
        <v>237.45</v>
      </c>
      <c r="E419" s="14">
        <f>IFERROR(__xludf.DUMMYFUNCTION("GOOGLEFINANCE(A419,""LOW"")"),230.46)</f>
        <v>230.46</v>
      </c>
      <c r="F419" s="15" t="str">
        <f t="shared" si="8"/>
        <v/>
      </c>
      <c r="G419" s="16">
        <f>IFERROR(__xludf.DUMMYFUNCTION("GOOGLEFINANCE(A419,""CLOSEYEST"")"),232.47)</f>
        <v>232.47</v>
      </c>
      <c r="H419" s="17" t="str">
        <f t="shared" si="14"/>
        <v/>
      </c>
      <c r="I419" s="18">
        <f t="shared" si="9"/>
        <v>233.46</v>
      </c>
      <c r="J419" s="19">
        <f t="shared" si="10"/>
        <v>236.46</v>
      </c>
      <c r="K419" s="19"/>
      <c r="L419" s="19">
        <f t="shared" si="11"/>
        <v>229.47</v>
      </c>
      <c r="M419" s="19">
        <f t="shared" si="12"/>
        <v>240.45</v>
      </c>
      <c r="N419" s="19">
        <f t="shared" si="13"/>
        <v>226.47</v>
      </c>
    </row>
    <row r="420" ht="24.75" customHeight="1">
      <c r="A420" s="21" t="s">
        <v>383</v>
      </c>
      <c r="B420" s="13">
        <f>IFERROR(__xludf.DUMMYFUNCTION("GOOGLEFINANCE(A420,""PRICE"")"),1045.0)</f>
        <v>1045</v>
      </c>
      <c r="C420" s="14">
        <f>IFERROR(__xludf.DUMMYFUNCTION("GOOGLEFINANCE(A420,""PRICEOPEN"")"),1030.1)</f>
        <v>1030.1</v>
      </c>
      <c r="D420" s="14">
        <f>IFERROR(__xludf.DUMMYFUNCTION("GOOGLEFINANCE(A420,""HIGH"")"),1046.5)</f>
        <v>1046.5</v>
      </c>
      <c r="E420" s="14">
        <f>IFERROR(__xludf.DUMMYFUNCTION("GOOGLEFINANCE(A420,""LOW"")"),1027.5)</f>
        <v>1027.5</v>
      </c>
      <c r="F420" s="15" t="str">
        <f t="shared" si="8"/>
        <v/>
      </c>
      <c r="G420" s="16">
        <f>IFERROR(__xludf.DUMMYFUNCTION("GOOGLEFINANCE(A420,""CLOSEYEST"")"),1035.0)</f>
        <v>1035</v>
      </c>
      <c r="H420" s="17" t="str">
        <f t="shared" si="14"/>
        <v/>
      </c>
      <c r="I420" s="18">
        <f t="shared" si="9"/>
        <v>1036.333333</v>
      </c>
      <c r="J420" s="19">
        <f t="shared" si="10"/>
        <v>1045.166667</v>
      </c>
      <c r="K420" s="19"/>
      <c r="L420" s="19">
        <f t="shared" si="11"/>
        <v>1026.166667</v>
      </c>
      <c r="M420" s="19">
        <f t="shared" si="12"/>
        <v>1055.333333</v>
      </c>
      <c r="N420" s="19">
        <f t="shared" si="13"/>
        <v>1017.333333</v>
      </c>
    </row>
    <row r="421" ht="24.75" customHeight="1">
      <c r="A421" s="21" t="s">
        <v>384</v>
      </c>
      <c r="B421" s="13">
        <f>IFERROR(__xludf.DUMMYFUNCTION("GOOGLEFINANCE(A421,""PRICE"")"),464.0)</f>
        <v>464</v>
      </c>
      <c r="C421" s="14">
        <f>IFERROR(__xludf.DUMMYFUNCTION("GOOGLEFINANCE(A421,""PRICEOPEN"")"),457.0)</f>
        <v>457</v>
      </c>
      <c r="D421" s="14">
        <f>IFERROR(__xludf.DUMMYFUNCTION("GOOGLEFINANCE(A421,""HIGH"")"),466.8)</f>
        <v>466.8</v>
      </c>
      <c r="E421" s="14">
        <f>IFERROR(__xludf.DUMMYFUNCTION("GOOGLEFINANCE(A421,""LOW"")"),456.1)</f>
        <v>456.1</v>
      </c>
      <c r="F421" s="15" t="str">
        <f t="shared" si="8"/>
        <v/>
      </c>
      <c r="G421" s="16">
        <f>IFERROR(__xludf.DUMMYFUNCTION("GOOGLEFINANCE(A421,""CLOSEYEST"")"),456.95)</f>
        <v>456.95</v>
      </c>
      <c r="H421" s="17" t="str">
        <f t="shared" si="14"/>
        <v/>
      </c>
      <c r="I421" s="18">
        <f t="shared" si="9"/>
        <v>459.95</v>
      </c>
      <c r="J421" s="19">
        <f t="shared" si="10"/>
        <v>463.8</v>
      </c>
      <c r="K421" s="19"/>
      <c r="L421" s="19">
        <f t="shared" si="11"/>
        <v>453.1</v>
      </c>
      <c r="M421" s="19">
        <f t="shared" si="12"/>
        <v>470.65</v>
      </c>
      <c r="N421" s="19">
        <f t="shared" si="13"/>
        <v>449.25</v>
      </c>
    </row>
    <row r="422" ht="24.75" customHeight="1">
      <c r="A422" s="21" t="s">
        <v>385</v>
      </c>
      <c r="B422" s="13">
        <f>IFERROR(__xludf.DUMMYFUNCTION("GOOGLEFINANCE(A422,""PRICE"")"),2411.8)</f>
        <v>2411.8</v>
      </c>
      <c r="C422" s="14">
        <f>IFERROR(__xludf.DUMMYFUNCTION("GOOGLEFINANCE(A422,""PRICEOPEN"")"),2378.1)</f>
        <v>2378.1</v>
      </c>
      <c r="D422" s="14">
        <f>IFERROR(__xludf.DUMMYFUNCTION("GOOGLEFINANCE(A422,""HIGH"")"),2436.6)</f>
        <v>2436.6</v>
      </c>
      <c r="E422" s="14">
        <f>IFERROR(__xludf.DUMMYFUNCTION("GOOGLEFINANCE(A422,""LOW"")"),2345.3)</f>
        <v>2345.3</v>
      </c>
      <c r="F422" s="15" t="str">
        <f t="shared" si="8"/>
        <v/>
      </c>
      <c r="G422" s="16">
        <f>IFERROR(__xludf.DUMMYFUNCTION("GOOGLEFINANCE(A422,""CLOSEYEST"")"),2359.2)</f>
        <v>2359.2</v>
      </c>
      <c r="H422" s="17" t="str">
        <f t="shared" si="14"/>
        <v/>
      </c>
      <c r="I422" s="18">
        <f t="shared" si="9"/>
        <v>2380.366667</v>
      </c>
      <c r="J422" s="19">
        <f t="shared" si="10"/>
        <v>2415.433333</v>
      </c>
      <c r="K422" s="19"/>
      <c r="L422" s="19">
        <f t="shared" si="11"/>
        <v>2324.133333</v>
      </c>
      <c r="M422" s="19">
        <f t="shared" si="12"/>
        <v>2471.666667</v>
      </c>
      <c r="N422" s="19">
        <f t="shared" si="13"/>
        <v>2289.066667</v>
      </c>
    </row>
    <row r="423" ht="24.75" customHeight="1">
      <c r="A423" s="21" t="s">
        <v>386</v>
      </c>
      <c r="B423" s="13">
        <f>IFERROR(__xludf.DUMMYFUNCTION("GOOGLEFINANCE(A423,""PRICE"")"),6288.0)</f>
        <v>6288</v>
      </c>
      <c r="C423" s="14">
        <f>IFERROR(__xludf.DUMMYFUNCTION("GOOGLEFINANCE(A423,""PRICEOPEN"")"),6305.0)</f>
        <v>6305</v>
      </c>
      <c r="D423" s="14">
        <f>IFERROR(__xludf.DUMMYFUNCTION("GOOGLEFINANCE(A423,""HIGH"")"),6329.5)</f>
        <v>6329.5</v>
      </c>
      <c r="E423" s="14">
        <f>IFERROR(__xludf.DUMMYFUNCTION("GOOGLEFINANCE(A423,""LOW"")"),6237.0)</f>
        <v>6237</v>
      </c>
      <c r="F423" s="15" t="str">
        <f t="shared" si="8"/>
        <v/>
      </c>
      <c r="G423" s="16">
        <f>IFERROR(__xludf.DUMMYFUNCTION("GOOGLEFINANCE(A423,""CLOSEYEST"")"),6302.0)</f>
        <v>6302</v>
      </c>
      <c r="H423" s="17" t="str">
        <f t="shared" si="14"/>
        <v/>
      </c>
      <c r="I423" s="18">
        <f t="shared" si="9"/>
        <v>6289.5</v>
      </c>
      <c r="J423" s="19">
        <f t="shared" si="10"/>
        <v>6342</v>
      </c>
      <c r="K423" s="19"/>
      <c r="L423" s="19">
        <f t="shared" si="11"/>
        <v>6249.5</v>
      </c>
      <c r="M423" s="19">
        <f t="shared" si="12"/>
        <v>6382</v>
      </c>
      <c r="N423" s="19">
        <f t="shared" si="13"/>
        <v>6197</v>
      </c>
    </row>
    <row r="424" ht="24.75" customHeight="1">
      <c r="A424" s="21" t="s">
        <v>387</v>
      </c>
      <c r="B424" s="13" t="str">
        <f>IFERROR(__xludf.DUMMYFUNCTION("GOOGLEFINANCE(A424,""PRICE"")"),"#N/A")</f>
        <v>#N/A</v>
      </c>
      <c r="C424" s="14" t="str">
        <f>IFERROR(__xludf.DUMMYFUNCTION("GOOGLEFINANCE(A424,""PRICEOPEN"")"),"#N/A")</f>
        <v>#N/A</v>
      </c>
      <c r="D424" s="14" t="str">
        <f>IFERROR(__xludf.DUMMYFUNCTION("GOOGLEFINANCE(A424,""HIGH"")"),"#N/A")</f>
        <v>#N/A</v>
      </c>
      <c r="E424" s="14" t="str">
        <f>IFERROR(__xludf.DUMMYFUNCTION("GOOGLEFINANCE(A424,""LOW"")"),"#N/A")</f>
        <v>#N/A</v>
      </c>
      <c r="F424" s="15" t="str">
        <f t="shared" si="8"/>
        <v>#N/A</v>
      </c>
      <c r="G424" s="16" t="str">
        <f>IFERROR(__xludf.DUMMYFUNCTION("GOOGLEFINANCE(A424,""CLOSEYEST"")"),"#N/A")</f>
        <v>#N/A</v>
      </c>
      <c r="H424" s="17" t="str">
        <f t="shared" si="14"/>
        <v>#N/A</v>
      </c>
      <c r="I424" s="18" t="str">
        <f t="shared" si="9"/>
        <v>#N/A</v>
      </c>
      <c r="J424" s="19" t="str">
        <f t="shared" si="10"/>
        <v>#N/A</v>
      </c>
      <c r="K424" s="19"/>
      <c r="L424" s="19" t="str">
        <f t="shared" si="11"/>
        <v>#N/A</v>
      </c>
      <c r="M424" s="19" t="str">
        <f t="shared" si="12"/>
        <v>#N/A</v>
      </c>
      <c r="N424" s="19" t="str">
        <f t="shared" si="13"/>
        <v>#N/A</v>
      </c>
    </row>
    <row r="425" ht="24.75" customHeight="1">
      <c r="A425" s="21" t="s">
        <v>388</v>
      </c>
      <c r="B425" s="13">
        <f>IFERROR(__xludf.DUMMYFUNCTION("GOOGLEFINANCE(A425,""PRICE"")"),464.0)</f>
        <v>464</v>
      </c>
      <c r="C425" s="14">
        <f>IFERROR(__xludf.DUMMYFUNCTION("GOOGLEFINANCE(A425,""PRICEOPEN"")"),467.0)</f>
        <v>467</v>
      </c>
      <c r="D425" s="14">
        <f>IFERROR(__xludf.DUMMYFUNCTION("GOOGLEFINANCE(A425,""HIGH"")"),468.95)</f>
        <v>468.95</v>
      </c>
      <c r="E425" s="14">
        <f>IFERROR(__xludf.DUMMYFUNCTION("GOOGLEFINANCE(A425,""LOW"")"),452.2)</f>
        <v>452.2</v>
      </c>
      <c r="F425" s="15" t="str">
        <f t="shared" si="8"/>
        <v/>
      </c>
      <c r="G425" s="16">
        <f>IFERROR(__xludf.DUMMYFUNCTION("GOOGLEFINANCE(A425,""CLOSEYEST"")"),462.55)</f>
        <v>462.55</v>
      </c>
      <c r="H425" s="17" t="str">
        <f t="shared" si="14"/>
        <v/>
      </c>
      <c r="I425" s="18">
        <f t="shared" si="9"/>
        <v>461.2333333</v>
      </c>
      <c r="J425" s="19">
        <f t="shared" si="10"/>
        <v>470.2666667</v>
      </c>
      <c r="K425" s="19"/>
      <c r="L425" s="19">
        <f t="shared" si="11"/>
        <v>453.5166667</v>
      </c>
      <c r="M425" s="19">
        <f t="shared" si="12"/>
        <v>477.9833333</v>
      </c>
      <c r="N425" s="19">
        <f t="shared" si="13"/>
        <v>444.4833333</v>
      </c>
    </row>
    <row r="426" ht="24.75" customHeight="1">
      <c r="A426" s="21" t="s">
        <v>389</v>
      </c>
      <c r="B426" s="13">
        <f>IFERROR(__xludf.DUMMYFUNCTION("GOOGLEFINANCE(A426,""PRICE"")"),441.9)</f>
        <v>441.9</v>
      </c>
      <c r="C426" s="14">
        <f>IFERROR(__xludf.DUMMYFUNCTION("GOOGLEFINANCE(A426,""PRICEOPEN"")"),437.0)</f>
        <v>437</v>
      </c>
      <c r="D426" s="14">
        <f>IFERROR(__xludf.DUMMYFUNCTION("GOOGLEFINANCE(A426,""HIGH"")"),442.3)</f>
        <v>442.3</v>
      </c>
      <c r="E426" s="14">
        <f>IFERROR(__xludf.DUMMYFUNCTION("GOOGLEFINANCE(A426,""LOW"")"),430.0)</f>
        <v>430</v>
      </c>
      <c r="F426" s="15" t="str">
        <f t="shared" si="8"/>
        <v/>
      </c>
      <c r="G426" s="16">
        <f>IFERROR(__xludf.DUMMYFUNCTION("GOOGLEFINANCE(A426,""CLOSEYEST"")"),436.1)</f>
        <v>436.1</v>
      </c>
      <c r="H426" s="17" t="str">
        <f t="shared" si="14"/>
        <v/>
      </c>
      <c r="I426" s="18">
        <f t="shared" si="9"/>
        <v>436.1333333</v>
      </c>
      <c r="J426" s="19">
        <f t="shared" si="10"/>
        <v>442.2666667</v>
      </c>
      <c r="K426" s="19"/>
      <c r="L426" s="19">
        <f t="shared" si="11"/>
        <v>429.9666667</v>
      </c>
      <c r="M426" s="19">
        <f t="shared" si="12"/>
        <v>448.4333333</v>
      </c>
      <c r="N426" s="19">
        <f t="shared" si="13"/>
        <v>423.8333333</v>
      </c>
    </row>
    <row r="427" ht="24.75" customHeight="1">
      <c r="A427" s="21" t="s">
        <v>390</v>
      </c>
      <c r="B427" s="13" t="str">
        <f>IFERROR(__xludf.DUMMYFUNCTION("GOOGLEFINANCE(A427,""PRICE"")"),"#N/A")</f>
        <v>#N/A</v>
      </c>
      <c r="C427" s="14" t="str">
        <f>IFERROR(__xludf.DUMMYFUNCTION("GOOGLEFINANCE(A427,""PRICEOPEN"")"),"#N/A")</f>
        <v>#N/A</v>
      </c>
      <c r="D427" s="14" t="str">
        <f>IFERROR(__xludf.DUMMYFUNCTION("GOOGLEFINANCE(A427,""HIGH"")"),"#N/A")</f>
        <v>#N/A</v>
      </c>
      <c r="E427" s="14" t="str">
        <f>IFERROR(__xludf.DUMMYFUNCTION("GOOGLEFINANCE(A427,""LOW"")"),"#N/A")</f>
        <v>#N/A</v>
      </c>
      <c r="F427" s="15" t="str">
        <f t="shared" si="8"/>
        <v>#N/A</v>
      </c>
      <c r="G427" s="16" t="str">
        <f>IFERROR(__xludf.DUMMYFUNCTION("GOOGLEFINANCE(A427,""CLOSEYEST"")"),"#N/A")</f>
        <v>#N/A</v>
      </c>
      <c r="H427" s="17" t="str">
        <f t="shared" si="14"/>
        <v>#N/A</v>
      </c>
      <c r="I427" s="18" t="str">
        <f t="shared" si="9"/>
        <v>#N/A</v>
      </c>
      <c r="J427" s="19" t="str">
        <f t="shared" si="10"/>
        <v>#N/A</v>
      </c>
      <c r="K427" s="19"/>
      <c r="L427" s="19" t="str">
        <f t="shared" si="11"/>
        <v>#N/A</v>
      </c>
      <c r="M427" s="19" t="str">
        <f t="shared" si="12"/>
        <v>#N/A</v>
      </c>
      <c r="N427" s="19" t="str">
        <f t="shared" si="13"/>
        <v>#N/A</v>
      </c>
    </row>
    <row r="428" ht="24.75" customHeight="1">
      <c r="A428" s="21" t="s">
        <v>391</v>
      </c>
      <c r="B428" s="13">
        <f>IFERROR(__xludf.DUMMYFUNCTION("GOOGLEFINANCE(A428,""PRICE"")"),132.3)</f>
        <v>132.3</v>
      </c>
      <c r="C428" s="14">
        <f>IFERROR(__xludf.DUMMYFUNCTION("GOOGLEFINANCE(A428,""PRICEOPEN"")"),133.0)</f>
        <v>133</v>
      </c>
      <c r="D428" s="14">
        <f>IFERROR(__xludf.DUMMYFUNCTION("GOOGLEFINANCE(A428,""HIGH"")"),133.54)</f>
        <v>133.54</v>
      </c>
      <c r="E428" s="14">
        <f>IFERROR(__xludf.DUMMYFUNCTION("GOOGLEFINANCE(A428,""LOW"")"),130.42)</f>
        <v>130.42</v>
      </c>
      <c r="F428" s="15" t="str">
        <f t="shared" si="8"/>
        <v/>
      </c>
      <c r="G428" s="16">
        <f>IFERROR(__xludf.DUMMYFUNCTION("GOOGLEFINANCE(A428,""CLOSEYEST"")"),132.15)</f>
        <v>132.15</v>
      </c>
      <c r="H428" s="17" t="str">
        <f t="shared" si="14"/>
        <v/>
      </c>
      <c r="I428" s="18">
        <f t="shared" si="9"/>
        <v>132.0366667</v>
      </c>
      <c r="J428" s="19">
        <f t="shared" si="10"/>
        <v>133.6533333</v>
      </c>
      <c r="K428" s="19"/>
      <c r="L428" s="19">
        <f t="shared" si="11"/>
        <v>130.5333333</v>
      </c>
      <c r="M428" s="19">
        <f t="shared" si="12"/>
        <v>135.1566667</v>
      </c>
      <c r="N428" s="19">
        <f t="shared" si="13"/>
        <v>128.9166667</v>
      </c>
    </row>
    <row r="429" ht="24.75" customHeight="1">
      <c r="A429" s="21" t="s">
        <v>392</v>
      </c>
      <c r="B429" s="13">
        <f>IFERROR(__xludf.DUMMYFUNCTION("GOOGLEFINANCE(A429,""PRICE"")"),628.7)</f>
        <v>628.7</v>
      </c>
      <c r="C429" s="14">
        <f>IFERROR(__xludf.DUMMYFUNCTION("GOOGLEFINANCE(A429,""PRICEOPEN"")"),581.35)</f>
        <v>581.35</v>
      </c>
      <c r="D429" s="14">
        <f>IFERROR(__xludf.DUMMYFUNCTION("GOOGLEFINANCE(A429,""HIGH"")"),630.0)</f>
        <v>630</v>
      </c>
      <c r="E429" s="14">
        <f>IFERROR(__xludf.DUMMYFUNCTION("GOOGLEFINANCE(A429,""LOW"")"),579.5)</f>
        <v>579.5</v>
      </c>
      <c r="F429" s="15" t="str">
        <f t="shared" si="8"/>
        <v/>
      </c>
      <c r="G429" s="16">
        <f>IFERROR(__xludf.DUMMYFUNCTION("GOOGLEFINANCE(A429,""CLOSEYEST"")"),581.35)</f>
        <v>581.35</v>
      </c>
      <c r="H429" s="17" t="str">
        <f t="shared" si="14"/>
        <v/>
      </c>
      <c r="I429" s="18">
        <f t="shared" si="9"/>
        <v>596.95</v>
      </c>
      <c r="J429" s="19">
        <f t="shared" si="10"/>
        <v>614.4</v>
      </c>
      <c r="K429" s="19"/>
      <c r="L429" s="19">
        <f t="shared" si="11"/>
        <v>563.9</v>
      </c>
      <c r="M429" s="19">
        <f t="shared" si="12"/>
        <v>647.45</v>
      </c>
      <c r="N429" s="19">
        <f t="shared" si="13"/>
        <v>546.45</v>
      </c>
    </row>
    <row r="430" ht="24.75" customHeight="1">
      <c r="A430" s="21" t="s">
        <v>393</v>
      </c>
      <c r="B430" s="13">
        <f>IFERROR(__xludf.DUMMYFUNCTION("GOOGLEFINANCE(A430,""PRICE"")"),890.0)</f>
        <v>890</v>
      </c>
      <c r="C430" s="14">
        <f>IFERROR(__xludf.DUMMYFUNCTION("GOOGLEFINANCE(A430,""PRICEOPEN"")"),887.0)</f>
        <v>887</v>
      </c>
      <c r="D430" s="14">
        <f>IFERROR(__xludf.DUMMYFUNCTION("GOOGLEFINANCE(A430,""HIGH"")"),896.0)</f>
        <v>896</v>
      </c>
      <c r="E430" s="14">
        <f>IFERROR(__xludf.DUMMYFUNCTION("GOOGLEFINANCE(A430,""LOW"")"),878.6)</f>
        <v>878.6</v>
      </c>
      <c r="F430" s="15" t="str">
        <f t="shared" si="8"/>
        <v/>
      </c>
      <c r="G430" s="16">
        <f>IFERROR(__xludf.DUMMYFUNCTION("GOOGLEFINANCE(A430,""CLOSEYEST"")"),882.3)</f>
        <v>882.3</v>
      </c>
      <c r="H430" s="17" t="str">
        <f t="shared" si="14"/>
        <v/>
      </c>
      <c r="I430" s="18">
        <f t="shared" si="9"/>
        <v>885.6333333</v>
      </c>
      <c r="J430" s="19">
        <f t="shared" si="10"/>
        <v>892.6666667</v>
      </c>
      <c r="K430" s="19"/>
      <c r="L430" s="19">
        <f t="shared" si="11"/>
        <v>875.2666667</v>
      </c>
      <c r="M430" s="19">
        <f t="shared" si="12"/>
        <v>903.0333333</v>
      </c>
      <c r="N430" s="19">
        <f t="shared" si="13"/>
        <v>868.2333333</v>
      </c>
    </row>
    <row r="431" ht="24.75" customHeight="1">
      <c r="A431" s="21" t="s">
        <v>394</v>
      </c>
      <c r="B431" s="13">
        <f>IFERROR(__xludf.DUMMYFUNCTION("GOOGLEFINANCE(A431,""PRICE"")"),52.82)</f>
        <v>52.82</v>
      </c>
      <c r="C431" s="14">
        <f>IFERROR(__xludf.DUMMYFUNCTION("GOOGLEFINANCE(A431,""PRICEOPEN"")"),52.74)</f>
        <v>52.74</v>
      </c>
      <c r="D431" s="14">
        <f>IFERROR(__xludf.DUMMYFUNCTION("GOOGLEFINANCE(A431,""HIGH"")"),52.98)</f>
        <v>52.98</v>
      </c>
      <c r="E431" s="14">
        <f>IFERROR(__xludf.DUMMYFUNCTION("GOOGLEFINANCE(A431,""LOW"")"),52.02)</f>
        <v>52.02</v>
      </c>
      <c r="F431" s="15" t="str">
        <f t="shared" si="8"/>
        <v/>
      </c>
      <c r="G431" s="16">
        <f>IFERROR(__xludf.DUMMYFUNCTION("GOOGLEFINANCE(A431,""CLOSEYEST"")"),52.49)</f>
        <v>52.49</v>
      </c>
      <c r="H431" s="17" t="str">
        <f t="shared" si="14"/>
        <v/>
      </c>
      <c r="I431" s="18">
        <f t="shared" si="9"/>
        <v>52.49666667</v>
      </c>
      <c r="J431" s="19">
        <f t="shared" si="10"/>
        <v>52.97333333</v>
      </c>
      <c r="K431" s="19"/>
      <c r="L431" s="19">
        <f t="shared" si="11"/>
        <v>52.01333333</v>
      </c>
      <c r="M431" s="19">
        <f t="shared" si="12"/>
        <v>53.45666667</v>
      </c>
      <c r="N431" s="19">
        <f t="shared" si="13"/>
        <v>51.53666667</v>
      </c>
    </row>
    <row r="432" ht="24.75" customHeight="1">
      <c r="A432" s="21" t="s">
        <v>395</v>
      </c>
      <c r="B432" s="13">
        <f>IFERROR(__xludf.DUMMYFUNCTION("GOOGLEFINANCE(A432,""PRICE"")"),674.0)</f>
        <v>674</v>
      </c>
      <c r="C432" s="14">
        <f>IFERROR(__xludf.DUMMYFUNCTION("GOOGLEFINANCE(A432,""PRICEOPEN"")"),683.95)</f>
        <v>683.95</v>
      </c>
      <c r="D432" s="14">
        <f>IFERROR(__xludf.DUMMYFUNCTION("GOOGLEFINANCE(A432,""HIGH"")"),686.95)</f>
        <v>686.95</v>
      </c>
      <c r="E432" s="14">
        <f>IFERROR(__xludf.DUMMYFUNCTION("GOOGLEFINANCE(A432,""LOW"")"),672.1)</f>
        <v>672.1</v>
      </c>
      <c r="F432" s="15" t="str">
        <f t="shared" si="8"/>
        <v/>
      </c>
      <c r="G432" s="16">
        <f>IFERROR(__xludf.DUMMYFUNCTION("GOOGLEFINANCE(A432,""CLOSEYEST"")"),682.35)</f>
        <v>682.35</v>
      </c>
      <c r="H432" s="17" t="str">
        <f t="shared" si="14"/>
        <v/>
      </c>
      <c r="I432" s="18">
        <f t="shared" si="9"/>
        <v>680.4666667</v>
      </c>
      <c r="J432" s="19">
        <f t="shared" si="10"/>
        <v>688.8333333</v>
      </c>
      <c r="K432" s="19"/>
      <c r="L432" s="19">
        <f t="shared" si="11"/>
        <v>673.9833333</v>
      </c>
      <c r="M432" s="19">
        <f t="shared" si="12"/>
        <v>695.3166667</v>
      </c>
      <c r="N432" s="19">
        <f t="shared" si="13"/>
        <v>665.6166667</v>
      </c>
    </row>
    <row r="433" ht="24.75" customHeight="1">
      <c r="A433" s="21" t="s">
        <v>396</v>
      </c>
      <c r="B433" s="13">
        <f>IFERROR(__xludf.DUMMYFUNCTION("GOOGLEFINANCE(A433,""PRICE"")"),650.0)</f>
        <v>650</v>
      </c>
      <c r="C433" s="14">
        <f>IFERROR(__xludf.DUMMYFUNCTION("GOOGLEFINANCE(A433,""PRICEOPEN"")"),640.0)</f>
        <v>640</v>
      </c>
      <c r="D433" s="14">
        <f>IFERROR(__xludf.DUMMYFUNCTION("GOOGLEFINANCE(A433,""HIGH"")"),652.35)</f>
        <v>652.35</v>
      </c>
      <c r="E433" s="14">
        <f>IFERROR(__xludf.DUMMYFUNCTION("GOOGLEFINANCE(A433,""LOW"")"),640.0)</f>
        <v>640</v>
      </c>
      <c r="F433" s="15" t="str">
        <f t="shared" si="8"/>
        <v>BUY</v>
      </c>
      <c r="G433" s="16">
        <f>IFERROR(__xludf.DUMMYFUNCTION("GOOGLEFINANCE(A433,""CLOSEYEST"")"),640.25)</f>
        <v>640.25</v>
      </c>
      <c r="H433" s="17" t="str">
        <f t="shared" si="14"/>
        <v/>
      </c>
      <c r="I433" s="18">
        <f t="shared" si="9"/>
        <v>644.2</v>
      </c>
      <c r="J433" s="19">
        <f t="shared" si="10"/>
        <v>648.4</v>
      </c>
      <c r="K433" s="19"/>
      <c r="L433" s="19">
        <f t="shared" si="11"/>
        <v>636.05</v>
      </c>
      <c r="M433" s="19">
        <f t="shared" si="12"/>
        <v>656.55</v>
      </c>
      <c r="N433" s="19">
        <f t="shared" si="13"/>
        <v>631.85</v>
      </c>
    </row>
    <row r="434" ht="24.75" customHeight="1">
      <c r="A434" s="21" t="s">
        <v>397</v>
      </c>
      <c r="B434" s="13">
        <f>IFERROR(__xludf.DUMMYFUNCTION("GOOGLEFINANCE(A434,""PRICE"")"),392.35)</f>
        <v>392.35</v>
      </c>
      <c r="C434" s="14">
        <f>IFERROR(__xludf.DUMMYFUNCTION("GOOGLEFINANCE(A434,""PRICEOPEN"")"),365.65)</f>
        <v>365.65</v>
      </c>
      <c r="D434" s="14">
        <f>IFERROR(__xludf.DUMMYFUNCTION("GOOGLEFINANCE(A434,""HIGH"")"),413.95)</f>
        <v>413.95</v>
      </c>
      <c r="E434" s="14">
        <f>IFERROR(__xludf.DUMMYFUNCTION("GOOGLEFINANCE(A434,""LOW"")"),364.15)</f>
        <v>364.15</v>
      </c>
      <c r="F434" s="15" t="str">
        <f t="shared" si="8"/>
        <v/>
      </c>
      <c r="G434" s="16">
        <f>IFERROR(__xludf.DUMMYFUNCTION("GOOGLEFINANCE(A434,""CLOSEYEST"")"),365.65)</f>
        <v>365.65</v>
      </c>
      <c r="H434" s="17" t="str">
        <f t="shared" si="14"/>
        <v/>
      </c>
      <c r="I434" s="18">
        <f t="shared" si="9"/>
        <v>381.25</v>
      </c>
      <c r="J434" s="19">
        <f t="shared" si="10"/>
        <v>398.35</v>
      </c>
      <c r="K434" s="19"/>
      <c r="L434" s="19">
        <f t="shared" si="11"/>
        <v>348.55</v>
      </c>
      <c r="M434" s="19">
        <f t="shared" si="12"/>
        <v>431.05</v>
      </c>
      <c r="N434" s="19">
        <f t="shared" si="13"/>
        <v>331.45</v>
      </c>
    </row>
    <row r="435" ht="24.75" customHeight="1">
      <c r="A435" s="21" t="s">
        <v>398</v>
      </c>
      <c r="B435" s="13">
        <f>IFERROR(__xludf.DUMMYFUNCTION("GOOGLEFINANCE(A435,""PRICE"")"),1474.8)</f>
        <v>1474.8</v>
      </c>
      <c r="C435" s="14">
        <f>IFERROR(__xludf.DUMMYFUNCTION("GOOGLEFINANCE(A435,""PRICEOPEN"")"),1519.8)</f>
        <v>1519.8</v>
      </c>
      <c r="D435" s="14">
        <f>IFERROR(__xludf.DUMMYFUNCTION("GOOGLEFINANCE(A435,""HIGH"")"),1526.5)</f>
        <v>1526.5</v>
      </c>
      <c r="E435" s="14">
        <f>IFERROR(__xludf.DUMMYFUNCTION("GOOGLEFINANCE(A435,""LOW"")"),1463.0)</f>
        <v>1463</v>
      </c>
      <c r="F435" s="15" t="str">
        <f t="shared" si="8"/>
        <v/>
      </c>
      <c r="G435" s="16">
        <f>IFERROR(__xludf.DUMMYFUNCTION("GOOGLEFINANCE(A435,""CLOSEYEST"")"),1514.9)</f>
        <v>1514.9</v>
      </c>
      <c r="H435" s="17" t="str">
        <f t="shared" si="14"/>
        <v/>
      </c>
      <c r="I435" s="18">
        <f t="shared" si="9"/>
        <v>1501.466667</v>
      </c>
      <c r="J435" s="19">
        <f t="shared" si="10"/>
        <v>1539.933333</v>
      </c>
      <c r="K435" s="19"/>
      <c r="L435" s="19">
        <f t="shared" si="11"/>
        <v>1476.433333</v>
      </c>
      <c r="M435" s="19">
        <f t="shared" si="12"/>
        <v>1564.966667</v>
      </c>
      <c r="N435" s="19">
        <f t="shared" si="13"/>
        <v>1437.966667</v>
      </c>
    </row>
    <row r="436" ht="24.75" customHeight="1">
      <c r="A436" s="21" t="s">
        <v>399</v>
      </c>
      <c r="B436" s="13">
        <f>IFERROR(__xludf.DUMMYFUNCTION("GOOGLEFINANCE(A436,""PRICE"")"),560.0)</f>
        <v>560</v>
      </c>
      <c r="C436" s="14">
        <f>IFERROR(__xludf.DUMMYFUNCTION("GOOGLEFINANCE(A436,""PRICEOPEN"")"),544.95)</f>
        <v>544.95</v>
      </c>
      <c r="D436" s="14">
        <f>IFERROR(__xludf.DUMMYFUNCTION("GOOGLEFINANCE(A436,""HIGH"")"),562.7)</f>
        <v>562.7</v>
      </c>
      <c r="E436" s="14">
        <f>IFERROR(__xludf.DUMMYFUNCTION("GOOGLEFINANCE(A436,""LOW"")"),542.0)</f>
        <v>542</v>
      </c>
      <c r="F436" s="15" t="str">
        <f t="shared" si="8"/>
        <v/>
      </c>
      <c r="G436" s="16">
        <f>IFERROR(__xludf.DUMMYFUNCTION("GOOGLEFINANCE(A436,""CLOSEYEST"")"),542.65)</f>
        <v>542.65</v>
      </c>
      <c r="H436" s="17" t="str">
        <f t="shared" si="14"/>
        <v/>
      </c>
      <c r="I436" s="18">
        <f t="shared" si="9"/>
        <v>549.1166667</v>
      </c>
      <c r="J436" s="19">
        <f t="shared" si="10"/>
        <v>556.2333333</v>
      </c>
      <c r="K436" s="19"/>
      <c r="L436" s="19">
        <f t="shared" si="11"/>
        <v>535.5333333</v>
      </c>
      <c r="M436" s="19">
        <f t="shared" si="12"/>
        <v>569.8166667</v>
      </c>
      <c r="N436" s="19">
        <f t="shared" si="13"/>
        <v>528.4166667</v>
      </c>
    </row>
    <row r="437" ht="24.75" customHeight="1">
      <c r="A437" s="21" t="s">
        <v>400</v>
      </c>
      <c r="B437" s="13">
        <f>IFERROR(__xludf.DUMMYFUNCTION("GOOGLEFINANCE(A437,""PRICE"")"),829.0)</f>
        <v>829</v>
      </c>
      <c r="C437" s="14">
        <f>IFERROR(__xludf.DUMMYFUNCTION("GOOGLEFINANCE(A437,""PRICEOPEN"")"),820.7)</f>
        <v>820.7</v>
      </c>
      <c r="D437" s="14">
        <f>IFERROR(__xludf.DUMMYFUNCTION("GOOGLEFINANCE(A437,""HIGH"")"),829.2)</f>
        <v>829.2</v>
      </c>
      <c r="E437" s="14">
        <f>IFERROR(__xludf.DUMMYFUNCTION("GOOGLEFINANCE(A437,""LOW"")"),817.2)</f>
        <v>817.2</v>
      </c>
      <c r="F437" s="15" t="str">
        <f t="shared" si="8"/>
        <v/>
      </c>
      <c r="G437" s="16">
        <f>IFERROR(__xludf.DUMMYFUNCTION("GOOGLEFINANCE(A437,""CLOSEYEST"")"),820.7)</f>
        <v>820.7</v>
      </c>
      <c r="H437" s="17" t="str">
        <f t="shared" si="14"/>
        <v/>
      </c>
      <c r="I437" s="18">
        <f t="shared" si="9"/>
        <v>822.3666667</v>
      </c>
      <c r="J437" s="19">
        <f t="shared" si="10"/>
        <v>827.5333333</v>
      </c>
      <c r="K437" s="19"/>
      <c r="L437" s="19">
        <f t="shared" si="11"/>
        <v>815.5333333</v>
      </c>
      <c r="M437" s="19">
        <f t="shared" si="12"/>
        <v>834.3666667</v>
      </c>
      <c r="N437" s="19">
        <f t="shared" si="13"/>
        <v>810.3666667</v>
      </c>
    </row>
    <row r="438" ht="24.75" customHeight="1">
      <c r="A438" s="21" t="s">
        <v>401</v>
      </c>
      <c r="B438" s="13">
        <f>IFERROR(__xludf.DUMMYFUNCTION("GOOGLEFINANCE(A438,""PRICE"")"),424.0)</f>
        <v>424</v>
      </c>
      <c r="C438" s="14">
        <f>IFERROR(__xludf.DUMMYFUNCTION("GOOGLEFINANCE(A438,""PRICEOPEN"")"),416.0)</f>
        <v>416</v>
      </c>
      <c r="D438" s="14">
        <f>IFERROR(__xludf.DUMMYFUNCTION("GOOGLEFINANCE(A438,""HIGH"")"),424.0)</f>
        <v>424</v>
      </c>
      <c r="E438" s="14">
        <f>IFERROR(__xludf.DUMMYFUNCTION("GOOGLEFINANCE(A438,""LOW"")"),414.55)</f>
        <v>414.55</v>
      </c>
      <c r="F438" s="15" t="str">
        <f t="shared" si="8"/>
        <v/>
      </c>
      <c r="G438" s="16">
        <f>IFERROR(__xludf.DUMMYFUNCTION("GOOGLEFINANCE(A438,""CLOSEYEST"")"),416.0)</f>
        <v>416</v>
      </c>
      <c r="H438" s="17" t="str">
        <f t="shared" si="14"/>
        <v/>
      </c>
      <c r="I438" s="18">
        <f t="shared" si="9"/>
        <v>418.1833333</v>
      </c>
      <c r="J438" s="19">
        <f t="shared" si="10"/>
        <v>421.8166667</v>
      </c>
      <c r="K438" s="19"/>
      <c r="L438" s="19">
        <f t="shared" si="11"/>
        <v>412.3666667</v>
      </c>
      <c r="M438" s="19">
        <f t="shared" si="12"/>
        <v>427.6333333</v>
      </c>
      <c r="N438" s="19">
        <f t="shared" si="13"/>
        <v>408.7333333</v>
      </c>
    </row>
    <row r="439" ht="24.75" customHeight="1">
      <c r="A439" s="21" t="s">
        <v>402</v>
      </c>
      <c r="B439" s="13">
        <f>IFERROR(__xludf.DUMMYFUNCTION("GOOGLEFINANCE(A439,""PRICE"")"),731.3)</f>
        <v>731.3</v>
      </c>
      <c r="C439" s="14">
        <f>IFERROR(__xludf.DUMMYFUNCTION("GOOGLEFINANCE(A439,""PRICEOPEN"")"),726.5)</f>
        <v>726.5</v>
      </c>
      <c r="D439" s="14">
        <f>IFERROR(__xludf.DUMMYFUNCTION("GOOGLEFINANCE(A439,""HIGH"")"),736.4)</f>
        <v>736.4</v>
      </c>
      <c r="E439" s="14">
        <f>IFERROR(__xludf.DUMMYFUNCTION("GOOGLEFINANCE(A439,""LOW"")"),720.0)</f>
        <v>720</v>
      </c>
      <c r="F439" s="15" t="str">
        <f t="shared" si="8"/>
        <v/>
      </c>
      <c r="G439" s="16">
        <f>IFERROR(__xludf.DUMMYFUNCTION("GOOGLEFINANCE(A439,""CLOSEYEST"")"),732.1)</f>
        <v>732.1</v>
      </c>
      <c r="H439" s="17" t="str">
        <f t="shared" si="14"/>
        <v/>
      </c>
      <c r="I439" s="18">
        <f t="shared" si="9"/>
        <v>729.5</v>
      </c>
      <c r="J439" s="19">
        <f t="shared" si="10"/>
        <v>739</v>
      </c>
      <c r="K439" s="19"/>
      <c r="L439" s="19">
        <f t="shared" si="11"/>
        <v>722.6</v>
      </c>
      <c r="M439" s="19">
        <f t="shared" si="12"/>
        <v>745.9</v>
      </c>
      <c r="N439" s="19">
        <f t="shared" si="13"/>
        <v>713.1</v>
      </c>
    </row>
    <row r="440" ht="24.75" customHeight="1">
      <c r="A440" s="21" t="s">
        <v>403</v>
      </c>
      <c r="B440" s="13">
        <f>IFERROR(__xludf.DUMMYFUNCTION("GOOGLEFINANCE(A440,""PRICE"")"),22197.62)</f>
        <v>22197.62</v>
      </c>
      <c r="C440" s="14">
        <f>IFERROR(__xludf.DUMMYFUNCTION("GOOGLEFINANCE(A440,""PRICEOPEN"")"),22047.25)</f>
        <v>22047.25</v>
      </c>
      <c r="D440" s="14">
        <f>IFERROR(__xludf.DUMMYFUNCTION("GOOGLEFINANCE(A440,""HIGH"")"),22234.65)</f>
        <v>22234.65</v>
      </c>
      <c r="E440" s="14">
        <f>IFERROR(__xludf.DUMMYFUNCTION("GOOGLEFINANCE(A440,""LOW"")"),22047.25)</f>
        <v>22047.25</v>
      </c>
      <c r="F440" s="15" t="str">
        <f t="shared" si="8"/>
        <v>BUY</v>
      </c>
      <c r="G440" s="16">
        <f>IFERROR(__xludf.DUMMYFUNCTION("GOOGLEFINANCE(A440,""CLOSEYEST"")"),22047.3)</f>
        <v>22047.3</v>
      </c>
      <c r="H440" s="17" t="str">
        <f t="shared" si="14"/>
        <v/>
      </c>
      <c r="I440" s="18">
        <f t="shared" si="9"/>
        <v>22109.73333</v>
      </c>
      <c r="J440" s="19">
        <f t="shared" si="10"/>
        <v>22172.21667</v>
      </c>
      <c r="K440" s="19"/>
      <c r="L440" s="19">
        <f t="shared" si="11"/>
        <v>21984.81667</v>
      </c>
      <c r="M440" s="19">
        <f t="shared" si="12"/>
        <v>22297.13333</v>
      </c>
      <c r="N440" s="19">
        <f t="shared" si="13"/>
        <v>21922.33333</v>
      </c>
    </row>
    <row r="441" ht="24.75" customHeight="1">
      <c r="A441" s="21" t="s">
        <v>404</v>
      </c>
      <c r="B441" s="13">
        <f>IFERROR(__xludf.DUMMYFUNCTION("GOOGLEFINANCE(A441,""PRICE"")"),795.0)</f>
        <v>795</v>
      </c>
      <c r="C441" s="14">
        <f>IFERROR(__xludf.DUMMYFUNCTION("GOOGLEFINANCE(A441,""PRICEOPEN"")"),784.0)</f>
        <v>784</v>
      </c>
      <c r="D441" s="14">
        <f>IFERROR(__xludf.DUMMYFUNCTION("GOOGLEFINANCE(A441,""HIGH"")"),796.0)</f>
        <v>796</v>
      </c>
      <c r="E441" s="14">
        <f>IFERROR(__xludf.DUMMYFUNCTION("GOOGLEFINANCE(A441,""LOW"")"),781.3)</f>
        <v>781.3</v>
      </c>
      <c r="F441" s="15" t="str">
        <f t="shared" si="8"/>
        <v/>
      </c>
      <c r="G441" s="16">
        <f>IFERROR(__xludf.DUMMYFUNCTION("GOOGLEFINANCE(A441,""CLOSEYEST"")"),782.95)</f>
        <v>782.95</v>
      </c>
      <c r="H441" s="17" t="str">
        <f t="shared" si="14"/>
        <v/>
      </c>
      <c r="I441" s="18">
        <f t="shared" si="9"/>
        <v>786.75</v>
      </c>
      <c r="J441" s="19">
        <f t="shared" si="10"/>
        <v>792.2</v>
      </c>
      <c r="K441" s="19"/>
      <c r="L441" s="19">
        <f t="shared" si="11"/>
        <v>777.5</v>
      </c>
      <c r="M441" s="19">
        <f t="shared" si="12"/>
        <v>801.45</v>
      </c>
      <c r="N441" s="19">
        <f t="shared" si="13"/>
        <v>772.05</v>
      </c>
    </row>
    <row r="442" ht="24.75" customHeight="1">
      <c r="A442" s="21" t="s">
        <v>405</v>
      </c>
      <c r="B442" s="13">
        <f>IFERROR(__xludf.DUMMYFUNCTION("GOOGLEFINANCE(A442,""PRICE"")"),4.83)</f>
        <v>4.83</v>
      </c>
      <c r="C442" s="14">
        <f>IFERROR(__xludf.DUMMYFUNCTION("GOOGLEFINANCE(A442,""PRICEOPEN"")"),5.23)</f>
        <v>5.23</v>
      </c>
      <c r="D442" s="14">
        <f>IFERROR(__xludf.DUMMYFUNCTION("GOOGLEFINANCE(A442,""HIGH"")"),5.42)</f>
        <v>5.42</v>
      </c>
      <c r="E442" s="14">
        <f>IFERROR(__xludf.DUMMYFUNCTION("GOOGLEFINANCE(A442,""LOW"")"),4.63)</f>
        <v>4.63</v>
      </c>
      <c r="F442" s="15" t="str">
        <f t="shared" si="8"/>
        <v/>
      </c>
      <c r="G442" s="16">
        <f>IFERROR(__xludf.DUMMYFUNCTION("GOOGLEFINANCE(A442,""CLOSEYEST"")"),5.03)</f>
        <v>5.03</v>
      </c>
      <c r="H442" s="17" t="str">
        <f t="shared" si="14"/>
        <v>GAP UP</v>
      </c>
      <c r="I442" s="18">
        <f t="shared" si="9"/>
        <v>5.026666667</v>
      </c>
      <c r="J442" s="19">
        <f t="shared" si="10"/>
        <v>5.423333333</v>
      </c>
      <c r="K442" s="19"/>
      <c r="L442" s="19">
        <f t="shared" si="11"/>
        <v>4.633333333</v>
      </c>
      <c r="M442" s="19">
        <f t="shared" si="12"/>
        <v>5.816666667</v>
      </c>
      <c r="N442" s="19">
        <f t="shared" si="13"/>
        <v>4.236666667</v>
      </c>
    </row>
    <row r="443" ht="24.75" customHeight="1">
      <c r="A443" s="21" t="s">
        <v>406</v>
      </c>
      <c r="B443" s="13" t="str">
        <f>IFERROR(__xludf.DUMMYFUNCTION("GOOGLEFINANCE(A443,""PRICE"")"),"#N/A")</f>
        <v>#N/A</v>
      </c>
      <c r="C443" s="14" t="str">
        <f>IFERROR(__xludf.DUMMYFUNCTION("GOOGLEFINANCE(A443,""PRICEOPEN"")"),"#N/A")</f>
        <v>#N/A</v>
      </c>
      <c r="D443" s="14" t="str">
        <f>IFERROR(__xludf.DUMMYFUNCTION("GOOGLEFINANCE(A443,""HIGH"")"),"#N/A")</f>
        <v>#N/A</v>
      </c>
      <c r="E443" s="14" t="str">
        <f>IFERROR(__xludf.DUMMYFUNCTION("GOOGLEFINANCE(A443,""LOW"")"),"#N/A")</f>
        <v>#N/A</v>
      </c>
      <c r="F443" s="15" t="str">
        <f t="shared" si="8"/>
        <v>#N/A</v>
      </c>
      <c r="G443" s="16" t="str">
        <f>IFERROR(__xludf.DUMMYFUNCTION("GOOGLEFINANCE(A443,""CLOSEYEST"")"),"#N/A")</f>
        <v>#N/A</v>
      </c>
      <c r="H443" s="17" t="str">
        <f t="shared" si="14"/>
        <v>#N/A</v>
      </c>
      <c r="I443" s="18" t="str">
        <f t="shared" si="9"/>
        <v>#N/A</v>
      </c>
      <c r="J443" s="19" t="str">
        <f t="shared" si="10"/>
        <v>#N/A</v>
      </c>
      <c r="K443" s="19"/>
      <c r="L443" s="19" t="str">
        <f t="shared" si="11"/>
        <v>#N/A</v>
      </c>
      <c r="M443" s="19" t="str">
        <f t="shared" si="12"/>
        <v>#N/A</v>
      </c>
      <c r="N443" s="19" t="str">
        <f t="shared" si="13"/>
        <v>#N/A</v>
      </c>
    </row>
    <row r="444" ht="24.75" customHeight="1">
      <c r="A444" s="21" t="s">
        <v>407</v>
      </c>
      <c r="B444" s="13" t="str">
        <f>IFERROR(__xludf.DUMMYFUNCTION("GOOGLEFINANCE(A444,""PRICE"")"),"#N/A")</f>
        <v>#N/A</v>
      </c>
      <c r="C444" s="14" t="str">
        <f>IFERROR(__xludf.DUMMYFUNCTION("GOOGLEFINANCE(A444,""PRICEOPEN"")"),"#N/A")</f>
        <v>#N/A</v>
      </c>
      <c r="D444" s="14" t="str">
        <f>IFERROR(__xludf.DUMMYFUNCTION("GOOGLEFINANCE(A444,""HIGH"")"),"#N/A")</f>
        <v>#N/A</v>
      </c>
      <c r="E444" s="14" t="str">
        <f>IFERROR(__xludf.DUMMYFUNCTION("GOOGLEFINANCE(A444,""LOW"")"),"#N/A")</f>
        <v>#N/A</v>
      </c>
      <c r="F444" s="15" t="str">
        <f t="shared" si="8"/>
        <v>#N/A</v>
      </c>
      <c r="G444" s="16" t="str">
        <f>IFERROR(__xludf.DUMMYFUNCTION("GOOGLEFINANCE(A444,""CLOSEYEST"")"),"#N/A")</f>
        <v>#N/A</v>
      </c>
      <c r="H444" s="17" t="str">
        <f t="shared" si="14"/>
        <v>#N/A</v>
      </c>
      <c r="I444" s="18" t="str">
        <f t="shared" si="9"/>
        <v>#N/A</v>
      </c>
      <c r="J444" s="19" t="str">
        <f t="shared" si="10"/>
        <v>#N/A</v>
      </c>
      <c r="K444" s="19"/>
      <c r="L444" s="19" t="str">
        <f t="shared" si="11"/>
        <v>#N/A</v>
      </c>
      <c r="M444" s="19" t="str">
        <f t="shared" si="12"/>
        <v>#N/A</v>
      </c>
      <c r="N444" s="19" t="str">
        <f t="shared" si="13"/>
        <v>#N/A</v>
      </c>
    </row>
    <row r="445" ht="24.75" customHeight="1">
      <c r="A445" s="21" t="s">
        <v>408</v>
      </c>
      <c r="B445" s="13">
        <f>IFERROR(__xludf.DUMMYFUNCTION("GOOGLEFINANCE(A445,""PRICE"")"),4390.0)</f>
        <v>4390</v>
      </c>
      <c r="C445" s="14">
        <f>IFERROR(__xludf.DUMMYFUNCTION("GOOGLEFINANCE(A445,""PRICEOPEN"")"),4318.7)</f>
        <v>4318.7</v>
      </c>
      <c r="D445" s="14">
        <f>IFERROR(__xludf.DUMMYFUNCTION("GOOGLEFINANCE(A445,""HIGH"")"),4410.0)</f>
        <v>4410</v>
      </c>
      <c r="E445" s="14">
        <f>IFERROR(__xludf.DUMMYFUNCTION("GOOGLEFINANCE(A445,""LOW"")"),4303.2)</f>
        <v>4303.2</v>
      </c>
      <c r="F445" s="15" t="str">
        <f t="shared" si="8"/>
        <v/>
      </c>
      <c r="G445" s="16">
        <f>IFERROR(__xludf.DUMMYFUNCTION("GOOGLEFINANCE(A445,""CLOSEYEST"")"),4318.7)</f>
        <v>4318.7</v>
      </c>
      <c r="H445" s="17" t="str">
        <f t="shared" si="14"/>
        <v/>
      </c>
      <c r="I445" s="18">
        <f t="shared" si="9"/>
        <v>4343.966667</v>
      </c>
      <c r="J445" s="19">
        <f t="shared" si="10"/>
        <v>4384.733333</v>
      </c>
      <c r="K445" s="19"/>
      <c r="L445" s="19">
        <f t="shared" si="11"/>
        <v>4277.933333</v>
      </c>
      <c r="M445" s="19">
        <f t="shared" si="12"/>
        <v>4450.766667</v>
      </c>
      <c r="N445" s="19">
        <f t="shared" si="13"/>
        <v>4237.166667</v>
      </c>
    </row>
    <row r="446" ht="24.75" customHeight="1">
      <c r="A446" s="21" t="s">
        <v>409</v>
      </c>
      <c r="B446" s="13">
        <f>IFERROR(__xludf.DUMMYFUNCTION("GOOGLEFINANCE(A446,""PRICE"")"),144.0)</f>
        <v>144</v>
      </c>
      <c r="C446" s="14">
        <f>IFERROR(__xludf.DUMMYFUNCTION("GOOGLEFINANCE(A446,""PRICEOPEN"")"),134.49)</f>
        <v>134.49</v>
      </c>
      <c r="D446" s="14">
        <f>IFERROR(__xludf.DUMMYFUNCTION("GOOGLEFINANCE(A446,""HIGH"")"),146.77)</f>
        <v>146.77</v>
      </c>
      <c r="E446" s="14">
        <f>IFERROR(__xludf.DUMMYFUNCTION("GOOGLEFINANCE(A446,""LOW"")"),132.15)</f>
        <v>132.15</v>
      </c>
      <c r="F446" s="15" t="str">
        <f t="shared" si="8"/>
        <v/>
      </c>
      <c r="G446" s="16">
        <f>IFERROR(__xludf.DUMMYFUNCTION("GOOGLEFINANCE(A446,""CLOSEYEST"")"),133.31)</f>
        <v>133.31</v>
      </c>
      <c r="H446" s="17" t="str">
        <f t="shared" si="14"/>
        <v/>
      </c>
      <c r="I446" s="18">
        <f t="shared" si="9"/>
        <v>137.41</v>
      </c>
      <c r="J446" s="19">
        <f t="shared" si="10"/>
        <v>142.67</v>
      </c>
      <c r="K446" s="19"/>
      <c r="L446" s="19">
        <f t="shared" si="11"/>
        <v>128.05</v>
      </c>
      <c r="M446" s="19">
        <f t="shared" si="12"/>
        <v>152.03</v>
      </c>
      <c r="N446" s="19">
        <f t="shared" si="13"/>
        <v>122.79</v>
      </c>
    </row>
    <row r="447" ht="24.75" customHeight="1">
      <c r="A447" s="21" t="s">
        <v>410</v>
      </c>
      <c r="B447" s="13" t="str">
        <f>IFERROR(__xludf.DUMMYFUNCTION("GOOGLEFINANCE(A447,""PRICE"")"),"#N/A")</f>
        <v>#N/A</v>
      </c>
      <c r="C447" s="14" t="str">
        <f>IFERROR(__xludf.DUMMYFUNCTION("GOOGLEFINANCE(A447,""PRICEOPEN"")"),"#N/A")</f>
        <v>#N/A</v>
      </c>
      <c r="D447" s="14" t="str">
        <f>IFERROR(__xludf.DUMMYFUNCTION("GOOGLEFINANCE(A447,""HIGH"")"),"#N/A")</f>
        <v>#N/A</v>
      </c>
      <c r="E447" s="14" t="str">
        <f>IFERROR(__xludf.DUMMYFUNCTION("GOOGLEFINANCE(A447,""LOW"")"),"#N/A")</f>
        <v>#N/A</v>
      </c>
      <c r="F447" s="15" t="str">
        <f t="shared" si="8"/>
        <v>#N/A</v>
      </c>
      <c r="G447" s="16" t="str">
        <f>IFERROR(__xludf.DUMMYFUNCTION("GOOGLEFINANCE(A447,""CLOSEYEST"")"),"#N/A")</f>
        <v>#N/A</v>
      </c>
      <c r="H447" s="17" t="str">
        <f t="shared" si="14"/>
        <v>#N/A</v>
      </c>
      <c r="I447" s="18" t="str">
        <f t="shared" si="9"/>
        <v>#N/A</v>
      </c>
      <c r="J447" s="19" t="str">
        <f t="shared" si="10"/>
        <v>#N/A</v>
      </c>
      <c r="K447" s="19"/>
      <c r="L447" s="19" t="str">
        <f t="shared" si="11"/>
        <v>#N/A</v>
      </c>
      <c r="M447" s="19" t="str">
        <f t="shared" si="12"/>
        <v>#N/A</v>
      </c>
      <c r="N447" s="19" t="str">
        <f t="shared" si="13"/>
        <v>#N/A</v>
      </c>
    </row>
    <row r="448" ht="24.75" customHeight="1">
      <c r="A448" s="21" t="s">
        <v>411</v>
      </c>
      <c r="B448" s="13">
        <f>IFERROR(__xludf.DUMMYFUNCTION("GOOGLEFINANCE(A448,""PRICE"")"),199.0)</f>
        <v>199</v>
      </c>
      <c r="C448" s="14">
        <f>IFERROR(__xludf.DUMMYFUNCTION("GOOGLEFINANCE(A448,""PRICEOPEN"")"),199.0)</f>
        <v>199</v>
      </c>
      <c r="D448" s="14">
        <f>IFERROR(__xludf.DUMMYFUNCTION("GOOGLEFINANCE(A448,""HIGH"")"),199.79)</f>
        <v>199.79</v>
      </c>
      <c r="E448" s="14">
        <f>IFERROR(__xludf.DUMMYFUNCTION("GOOGLEFINANCE(A448,""LOW"")"),196.37)</f>
        <v>196.37</v>
      </c>
      <c r="F448" s="15" t="str">
        <f t="shared" si="8"/>
        <v/>
      </c>
      <c r="G448" s="16">
        <f>IFERROR(__xludf.DUMMYFUNCTION("GOOGLEFINANCE(A448,""CLOSEYEST"")"),197.09)</f>
        <v>197.09</v>
      </c>
      <c r="H448" s="17" t="str">
        <f t="shared" si="14"/>
        <v/>
      </c>
      <c r="I448" s="18">
        <f t="shared" si="9"/>
        <v>197.75</v>
      </c>
      <c r="J448" s="19">
        <f t="shared" si="10"/>
        <v>199.13</v>
      </c>
      <c r="K448" s="19"/>
      <c r="L448" s="19">
        <f t="shared" si="11"/>
        <v>195.71</v>
      </c>
      <c r="M448" s="19">
        <f t="shared" si="12"/>
        <v>201.17</v>
      </c>
      <c r="N448" s="19">
        <f t="shared" si="13"/>
        <v>194.33</v>
      </c>
    </row>
    <row r="449" ht="24.75" customHeight="1">
      <c r="A449" s="21" t="s">
        <v>412</v>
      </c>
      <c r="B449" s="13">
        <f>IFERROR(__xludf.DUMMYFUNCTION("GOOGLEFINANCE(A449,""PRICE"")"),1842.5)</f>
        <v>1842.5</v>
      </c>
      <c r="C449" s="14">
        <f>IFERROR(__xludf.DUMMYFUNCTION("GOOGLEFINANCE(A449,""PRICEOPEN"")"),1822.0)</f>
        <v>1822</v>
      </c>
      <c r="D449" s="14">
        <f>IFERROR(__xludf.DUMMYFUNCTION("GOOGLEFINANCE(A449,""HIGH"")"),1843.0)</f>
        <v>1843</v>
      </c>
      <c r="E449" s="14">
        <f>IFERROR(__xludf.DUMMYFUNCTION("GOOGLEFINANCE(A449,""LOW"")"),1792.0)</f>
        <v>1792</v>
      </c>
      <c r="F449" s="15" t="str">
        <f t="shared" si="8"/>
        <v/>
      </c>
      <c r="G449" s="16">
        <f>IFERROR(__xludf.DUMMYFUNCTION("GOOGLEFINANCE(A449,""CLOSEYEST"")"),1802.8)</f>
        <v>1802.8</v>
      </c>
      <c r="H449" s="17" t="str">
        <f t="shared" si="14"/>
        <v>GAP UP</v>
      </c>
      <c r="I449" s="18">
        <f t="shared" si="9"/>
        <v>1812.6</v>
      </c>
      <c r="J449" s="19">
        <f t="shared" si="10"/>
        <v>1833.2</v>
      </c>
      <c r="K449" s="19"/>
      <c r="L449" s="19">
        <f t="shared" si="11"/>
        <v>1782.2</v>
      </c>
      <c r="M449" s="19">
        <f t="shared" si="12"/>
        <v>1863.6</v>
      </c>
      <c r="N449" s="19">
        <f t="shared" si="13"/>
        <v>1761.6</v>
      </c>
    </row>
    <row r="450" ht="24.75" customHeight="1">
      <c r="A450" s="21" t="s">
        <v>413</v>
      </c>
      <c r="B450" s="13">
        <f>IFERROR(__xludf.DUMMYFUNCTION("GOOGLEFINANCE(A450,""PRICE"")"),295.55)</f>
        <v>295.55</v>
      </c>
      <c r="C450" s="14">
        <f>IFERROR(__xludf.DUMMYFUNCTION("GOOGLEFINANCE(A450,""PRICEOPEN"")"),294.5)</f>
        <v>294.5</v>
      </c>
      <c r="D450" s="14">
        <f>IFERROR(__xludf.DUMMYFUNCTION("GOOGLEFINANCE(A450,""HIGH"")"),295.9)</f>
        <v>295.9</v>
      </c>
      <c r="E450" s="14">
        <f>IFERROR(__xludf.DUMMYFUNCTION("GOOGLEFINANCE(A450,""LOW"")"),292.3)</f>
        <v>292.3</v>
      </c>
      <c r="F450" s="15" t="str">
        <f t="shared" si="8"/>
        <v/>
      </c>
      <c r="G450" s="16">
        <f>IFERROR(__xludf.DUMMYFUNCTION("GOOGLEFINANCE(A450,""CLOSEYEST"")"),294.55)</f>
        <v>294.55</v>
      </c>
      <c r="H450" s="17" t="str">
        <f t="shared" si="14"/>
        <v/>
      </c>
      <c r="I450" s="18">
        <f t="shared" si="9"/>
        <v>294.25</v>
      </c>
      <c r="J450" s="19">
        <f t="shared" si="10"/>
        <v>296.2</v>
      </c>
      <c r="K450" s="19"/>
      <c r="L450" s="19">
        <f t="shared" si="11"/>
        <v>292.6</v>
      </c>
      <c r="M450" s="19">
        <f t="shared" si="12"/>
        <v>297.85</v>
      </c>
      <c r="N450" s="19">
        <f t="shared" si="13"/>
        <v>290.65</v>
      </c>
    </row>
    <row r="451" ht="24.75" customHeight="1">
      <c r="A451" s="21" t="s">
        <v>414</v>
      </c>
      <c r="B451" s="13">
        <f>IFERROR(__xludf.DUMMYFUNCTION("GOOGLEFINANCE(A451,""PRICE"")"),81.7)</f>
        <v>81.7</v>
      </c>
      <c r="C451" s="14">
        <f>IFERROR(__xludf.DUMMYFUNCTION("GOOGLEFINANCE(A451,""PRICEOPEN"")"),79.05)</f>
        <v>79.05</v>
      </c>
      <c r="D451" s="14">
        <f>IFERROR(__xludf.DUMMYFUNCTION("GOOGLEFINANCE(A451,""HIGH"")"),84.9)</f>
        <v>84.9</v>
      </c>
      <c r="E451" s="14">
        <f>IFERROR(__xludf.DUMMYFUNCTION("GOOGLEFINANCE(A451,""LOW"")"),79.02)</f>
        <v>79.02</v>
      </c>
      <c r="F451" s="15" t="str">
        <f t="shared" si="8"/>
        <v/>
      </c>
      <c r="G451" s="16">
        <f>IFERROR(__xludf.DUMMYFUNCTION("GOOGLEFINANCE(A451,""CLOSEYEST"")"),79.04)</f>
        <v>79.04</v>
      </c>
      <c r="H451" s="17" t="str">
        <f t="shared" si="14"/>
        <v/>
      </c>
      <c r="I451" s="18">
        <f t="shared" si="9"/>
        <v>80.98666667</v>
      </c>
      <c r="J451" s="19">
        <f t="shared" si="10"/>
        <v>82.95333333</v>
      </c>
      <c r="K451" s="19"/>
      <c r="L451" s="19">
        <f t="shared" si="11"/>
        <v>77.07333333</v>
      </c>
      <c r="M451" s="19">
        <f t="shared" si="12"/>
        <v>86.86666667</v>
      </c>
      <c r="N451" s="19">
        <f t="shared" si="13"/>
        <v>75.10666667</v>
      </c>
    </row>
    <row r="452" ht="24.75" customHeight="1">
      <c r="A452" s="21" t="s">
        <v>415</v>
      </c>
      <c r="B452" s="13">
        <f>IFERROR(__xludf.DUMMYFUNCTION("GOOGLEFINANCE(A452,""PRICE"")"),341.5)</f>
        <v>341.5</v>
      </c>
      <c r="C452" s="14">
        <f>IFERROR(__xludf.DUMMYFUNCTION("GOOGLEFINANCE(A452,""PRICEOPEN"")"),323.0)</f>
        <v>323</v>
      </c>
      <c r="D452" s="14">
        <f>IFERROR(__xludf.DUMMYFUNCTION("GOOGLEFINANCE(A452,""HIGH"")"),344.35)</f>
        <v>344.35</v>
      </c>
      <c r="E452" s="14">
        <f>IFERROR(__xludf.DUMMYFUNCTION("GOOGLEFINANCE(A452,""LOW"")"),323.0)</f>
        <v>323</v>
      </c>
      <c r="F452" s="15" t="str">
        <f t="shared" si="8"/>
        <v>BUY</v>
      </c>
      <c r="G452" s="16">
        <f>IFERROR(__xludf.DUMMYFUNCTION("GOOGLEFINANCE(A452,""CLOSEYEST"")"),325.3)</f>
        <v>325.3</v>
      </c>
      <c r="H452" s="17" t="str">
        <f t="shared" si="14"/>
        <v/>
      </c>
      <c r="I452" s="18">
        <f t="shared" si="9"/>
        <v>330.8833333</v>
      </c>
      <c r="J452" s="19">
        <f t="shared" si="10"/>
        <v>338.7666667</v>
      </c>
      <c r="K452" s="19"/>
      <c r="L452" s="19">
        <f t="shared" si="11"/>
        <v>317.4166667</v>
      </c>
      <c r="M452" s="19">
        <f t="shared" si="12"/>
        <v>352.2333333</v>
      </c>
      <c r="N452" s="19">
        <f t="shared" si="13"/>
        <v>309.5333333</v>
      </c>
    </row>
    <row r="453" ht="24.75" customHeight="1">
      <c r="A453" s="21" t="s">
        <v>416</v>
      </c>
      <c r="B453" s="13">
        <f>IFERROR(__xludf.DUMMYFUNCTION("GOOGLEFINANCE(A453,""PRICE"")"),279.0)</f>
        <v>279</v>
      </c>
      <c r="C453" s="14">
        <f>IFERROR(__xludf.DUMMYFUNCTION("GOOGLEFINANCE(A453,""PRICEOPEN"")"),277.25)</f>
        <v>277.25</v>
      </c>
      <c r="D453" s="14">
        <f>IFERROR(__xludf.DUMMYFUNCTION("GOOGLEFINANCE(A453,""HIGH"")"),281.0)</f>
        <v>281</v>
      </c>
      <c r="E453" s="14">
        <f>IFERROR(__xludf.DUMMYFUNCTION("GOOGLEFINANCE(A453,""LOW"")"),273.5)</f>
        <v>273.5</v>
      </c>
      <c r="F453" s="15" t="str">
        <f t="shared" si="8"/>
        <v/>
      </c>
      <c r="G453" s="16">
        <f>IFERROR(__xludf.DUMMYFUNCTION("GOOGLEFINANCE(A453,""CLOSEYEST"")"),277.25)</f>
        <v>277.25</v>
      </c>
      <c r="H453" s="17" t="str">
        <f t="shared" si="14"/>
        <v/>
      </c>
      <c r="I453" s="18">
        <f t="shared" si="9"/>
        <v>277.25</v>
      </c>
      <c r="J453" s="19">
        <f t="shared" si="10"/>
        <v>281</v>
      </c>
      <c r="K453" s="19"/>
      <c r="L453" s="19">
        <f t="shared" si="11"/>
        <v>273.5</v>
      </c>
      <c r="M453" s="19">
        <f t="shared" si="12"/>
        <v>284.75</v>
      </c>
      <c r="N453" s="19">
        <f t="shared" si="13"/>
        <v>269.75</v>
      </c>
    </row>
    <row r="454" ht="24.75" customHeight="1">
      <c r="A454" s="21" t="s">
        <v>417</v>
      </c>
      <c r="B454" s="13">
        <f>IFERROR(__xludf.DUMMYFUNCTION("GOOGLEFINANCE(A454,""PRICE"")"),847.0)</f>
        <v>847</v>
      </c>
      <c r="C454" s="14">
        <f>IFERROR(__xludf.DUMMYFUNCTION("GOOGLEFINANCE(A454,""PRICEOPEN"")"),779.0)</f>
        <v>779</v>
      </c>
      <c r="D454" s="14">
        <f>IFERROR(__xludf.DUMMYFUNCTION("GOOGLEFINANCE(A454,""HIGH"")"),867.4)</f>
        <v>867.4</v>
      </c>
      <c r="E454" s="14">
        <f>IFERROR(__xludf.DUMMYFUNCTION("GOOGLEFINANCE(A454,""LOW"")"),756.7)</f>
        <v>756.7</v>
      </c>
      <c r="F454" s="15" t="str">
        <f t="shared" si="8"/>
        <v/>
      </c>
      <c r="G454" s="16">
        <f>IFERROR(__xludf.DUMMYFUNCTION("GOOGLEFINANCE(A454,""CLOSEYEST"")"),726.7)</f>
        <v>726.7</v>
      </c>
      <c r="H454" s="17" t="str">
        <f t="shared" si="14"/>
        <v>GAP UP</v>
      </c>
      <c r="I454" s="18">
        <f t="shared" si="9"/>
        <v>783.6</v>
      </c>
      <c r="J454" s="19">
        <f t="shared" si="10"/>
        <v>810.5</v>
      </c>
      <c r="K454" s="19"/>
      <c r="L454" s="19">
        <f t="shared" si="11"/>
        <v>699.8</v>
      </c>
      <c r="M454" s="19">
        <f t="shared" si="12"/>
        <v>894.3</v>
      </c>
      <c r="N454" s="19">
        <f t="shared" si="13"/>
        <v>672.9</v>
      </c>
    </row>
    <row r="455" ht="24.75" customHeight="1">
      <c r="A455" s="21" t="s">
        <v>418</v>
      </c>
      <c r="B455" s="13">
        <f>IFERROR(__xludf.DUMMYFUNCTION("GOOGLEFINANCE(A455,""PRICE"")"),32.24)</f>
        <v>32.24</v>
      </c>
      <c r="C455" s="14">
        <f>IFERROR(__xludf.DUMMYFUNCTION("GOOGLEFINANCE(A455,""PRICEOPEN"")"),32.24)</f>
        <v>32.24</v>
      </c>
      <c r="D455" s="14" t="str">
        <f>IFERROR(__xludf.DUMMYFUNCTION("GOOGLEFINANCE(A455,""HIGH"")"),"#N/A")</f>
        <v>#N/A</v>
      </c>
      <c r="E455" s="14">
        <f>IFERROR(__xludf.DUMMYFUNCTION("GOOGLEFINANCE(A455,""LOW"")"),32.24)</f>
        <v>32.24</v>
      </c>
      <c r="F455" s="15" t="str">
        <f t="shared" si="8"/>
        <v>#N/A</v>
      </c>
      <c r="G455" s="16">
        <f>IFERROR(__xludf.DUMMYFUNCTION("GOOGLEFINANCE(A455,""CLOSEYEST"")"),30.99)</f>
        <v>30.99</v>
      </c>
      <c r="H455" s="17" t="str">
        <f t="shared" si="14"/>
        <v>GAP UP</v>
      </c>
      <c r="I455" s="18" t="str">
        <f t="shared" si="9"/>
        <v>#N/A</v>
      </c>
      <c r="J455" s="19" t="str">
        <f t="shared" si="10"/>
        <v>#N/A</v>
      </c>
      <c r="K455" s="19"/>
      <c r="L455" s="19" t="str">
        <f t="shared" si="11"/>
        <v>#N/A</v>
      </c>
      <c r="M455" s="19" t="str">
        <f t="shared" si="12"/>
        <v>#N/A</v>
      </c>
      <c r="N455" s="19" t="str">
        <f t="shared" si="13"/>
        <v>#N/A</v>
      </c>
    </row>
    <row r="456" ht="24.75" customHeight="1">
      <c r="A456" s="21" t="s">
        <v>419</v>
      </c>
      <c r="B456" s="13">
        <f>IFERROR(__xludf.DUMMYFUNCTION("GOOGLEFINANCE(A456,""PRICE"")"),9339.0)</f>
        <v>9339</v>
      </c>
      <c r="C456" s="14">
        <f>IFERROR(__xludf.DUMMYFUNCTION("GOOGLEFINANCE(A456,""PRICEOPEN"")"),9248.0)</f>
        <v>9248</v>
      </c>
      <c r="D456" s="14">
        <f>IFERROR(__xludf.DUMMYFUNCTION("GOOGLEFINANCE(A456,""HIGH"")"),9380.0)</f>
        <v>9380</v>
      </c>
      <c r="E456" s="14">
        <f>IFERROR(__xludf.DUMMYFUNCTION("GOOGLEFINANCE(A456,""LOW"")"),9156.0)</f>
        <v>9156</v>
      </c>
      <c r="F456" s="15" t="str">
        <f t="shared" si="8"/>
        <v/>
      </c>
      <c r="G456" s="16">
        <f>IFERROR(__xludf.DUMMYFUNCTION("GOOGLEFINANCE(A456,""CLOSEYEST"")"),9222.0)</f>
        <v>9222</v>
      </c>
      <c r="H456" s="17" t="str">
        <f t="shared" si="14"/>
        <v/>
      </c>
      <c r="I456" s="18">
        <f t="shared" si="9"/>
        <v>9252.666667</v>
      </c>
      <c r="J456" s="19">
        <f t="shared" si="10"/>
        <v>9349.333333</v>
      </c>
      <c r="K456" s="19"/>
      <c r="L456" s="19">
        <f t="shared" si="11"/>
        <v>9125.333333</v>
      </c>
      <c r="M456" s="19">
        <f t="shared" si="12"/>
        <v>9476.666667</v>
      </c>
      <c r="N456" s="19">
        <f t="shared" si="13"/>
        <v>9028.666667</v>
      </c>
    </row>
    <row r="457" ht="24.75" customHeight="1">
      <c r="A457" s="21" t="s">
        <v>420</v>
      </c>
      <c r="B457" s="13">
        <f>IFERROR(__xludf.DUMMYFUNCTION("GOOGLEFINANCE(A457,""PRICE"")"),385.4)</f>
        <v>385.4</v>
      </c>
      <c r="C457" s="14">
        <f>IFERROR(__xludf.DUMMYFUNCTION("GOOGLEFINANCE(A457,""PRICEOPEN"")"),391.2)</f>
        <v>391.2</v>
      </c>
      <c r="D457" s="14">
        <f>IFERROR(__xludf.DUMMYFUNCTION("GOOGLEFINANCE(A457,""HIGH"")"),392.95)</f>
        <v>392.95</v>
      </c>
      <c r="E457" s="14">
        <f>IFERROR(__xludf.DUMMYFUNCTION("GOOGLEFINANCE(A457,""LOW"")"),384.3)</f>
        <v>384.3</v>
      </c>
      <c r="F457" s="15" t="str">
        <f t="shared" si="8"/>
        <v/>
      </c>
      <c r="G457" s="16">
        <f>IFERROR(__xludf.DUMMYFUNCTION("GOOGLEFINANCE(A457,""CLOSEYEST"")"),391.2)</f>
        <v>391.2</v>
      </c>
      <c r="H457" s="17" t="str">
        <f t="shared" si="14"/>
        <v/>
      </c>
      <c r="I457" s="18">
        <f t="shared" si="9"/>
        <v>389.4833333</v>
      </c>
      <c r="J457" s="19">
        <f t="shared" si="10"/>
        <v>394.6666667</v>
      </c>
      <c r="K457" s="19"/>
      <c r="L457" s="19">
        <f t="shared" si="11"/>
        <v>386.0166667</v>
      </c>
      <c r="M457" s="19">
        <f t="shared" si="12"/>
        <v>398.1333333</v>
      </c>
      <c r="N457" s="19">
        <f t="shared" si="13"/>
        <v>380.8333333</v>
      </c>
    </row>
    <row r="458" ht="24.75" customHeight="1">
      <c r="A458" s="21" t="s">
        <v>421</v>
      </c>
      <c r="B458" s="13" t="str">
        <f>IFERROR(__xludf.DUMMYFUNCTION("GOOGLEFINANCE(A458,""PRICE"")"),"#N/A")</f>
        <v>#N/A</v>
      </c>
      <c r="C458" s="14" t="str">
        <f>IFERROR(__xludf.DUMMYFUNCTION("GOOGLEFINANCE(A458,""PRICEOPEN"")"),"#N/A")</f>
        <v>#N/A</v>
      </c>
      <c r="D458" s="14" t="str">
        <f>IFERROR(__xludf.DUMMYFUNCTION("GOOGLEFINANCE(A458,""HIGH"")"),"#N/A")</f>
        <v>#N/A</v>
      </c>
      <c r="E458" s="14" t="str">
        <f>IFERROR(__xludf.DUMMYFUNCTION("GOOGLEFINANCE(A458,""LOW"")"),"#N/A")</f>
        <v>#N/A</v>
      </c>
      <c r="F458" s="15" t="str">
        <f t="shared" si="8"/>
        <v>#N/A</v>
      </c>
      <c r="G458" s="16" t="str">
        <f>IFERROR(__xludf.DUMMYFUNCTION("GOOGLEFINANCE(A458,""CLOSEYEST"")"),"#N/A")</f>
        <v>#N/A</v>
      </c>
      <c r="H458" s="17" t="str">
        <f t="shared" si="14"/>
        <v>#N/A</v>
      </c>
      <c r="I458" s="18" t="str">
        <f t="shared" si="9"/>
        <v>#N/A</v>
      </c>
      <c r="J458" s="19" t="str">
        <f t="shared" si="10"/>
        <v>#N/A</v>
      </c>
      <c r="K458" s="19"/>
      <c r="L458" s="19" t="str">
        <f t="shared" si="11"/>
        <v>#N/A</v>
      </c>
      <c r="M458" s="19" t="str">
        <f t="shared" si="12"/>
        <v>#N/A</v>
      </c>
      <c r="N458" s="19" t="str">
        <f t="shared" si="13"/>
        <v>#N/A</v>
      </c>
    </row>
    <row r="459" ht="24.75" customHeight="1">
      <c r="A459" s="21" t="s">
        <v>422</v>
      </c>
      <c r="B459" s="13">
        <f>IFERROR(__xludf.DUMMYFUNCTION("GOOGLEFINANCE(A459,""PRICE"")"),1042.0)</f>
        <v>1042</v>
      </c>
      <c r="C459" s="14">
        <f>IFERROR(__xludf.DUMMYFUNCTION("GOOGLEFINANCE(A459,""PRICEOPEN"")"),1053.1)</f>
        <v>1053.1</v>
      </c>
      <c r="D459" s="14">
        <f>IFERROR(__xludf.DUMMYFUNCTION("GOOGLEFINANCE(A459,""HIGH"")"),1054.9)</f>
        <v>1054.9</v>
      </c>
      <c r="E459" s="14">
        <f>IFERROR(__xludf.DUMMYFUNCTION("GOOGLEFINANCE(A459,""LOW"")"),1039.4)</f>
        <v>1039.4</v>
      </c>
      <c r="F459" s="15" t="str">
        <f t="shared" si="8"/>
        <v/>
      </c>
      <c r="G459" s="16">
        <f>IFERROR(__xludf.DUMMYFUNCTION("GOOGLEFINANCE(A459,""CLOSEYEST"")"),1053.1)</f>
        <v>1053.1</v>
      </c>
      <c r="H459" s="17" t="str">
        <f t="shared" si="14"/>
        <v/>
      </c>
      <c r="I459" s="18">
        <f t="shared" si="9"/>
        <v>1049.133333</v>
      </c>
      <c r="J459" s="19">
        <f t="shared" si="10"/>
        <v>1058.866667</v>
      </c>
      <c r="K459" s="19"/>
      <c r="L459" s="19">
        <f t="shared" si="11"/>
        <v>1043.366667</v>
      </c>
      <c r="M459" s="19">
        <f t="shared" si="12"/>
        <v>1064.633333</v>
      </c>
      <c r="N459" s="19">
        <f t="shared" si="13"/>
        <v>1033.633333</v>
      </c>
    </row>
    <row r="460" ht="24.75" customHeight="1">
      <c r="A460" s="21" t="s">
        <v>423</v>
      </c>
      <c r="B460" s="13">
        <f>IFERROR(__xludf.DUMMYFUNCTION("GOOGLEFINANCE(A460,""PRICE"")"),32.06)</f>
        <v>32.06</v>
      </c>
      <c r="C460" s="14">
        <f>IFERROR(__xludf.DUMMYFUNCTION("GOOGLEFINANCE(A460,""PRICEOPEN"")"),31.4)</f>
        <v>31.4</v>
      </c>
      <c r="D460" s="14">
        <f>IFERROR(__xludf.DUMMYFUNCTION("GOOGLEFINANCE(A460,""HIGH"")"),32.31)</f>
        <v>32.31</v>
      </c>
      <c r="E460" s="14">
        <f>IFERROR(__xludf.DUMMYFUNCTION("GOOGLEFINANCE(A460,""LOW"")"),30.2)</f>
        <v>30.2</v>
      </c>
      <c r="F460" s="15" t="str">
        <f t="shared" si="8"/>
        <v/>
      </c>
      <c r="G460" s="16">
        <f>IFERROR(__xludf.DUMMYFUNCTION("GOOGLEFINANCE(A460,""CLOSEYEST"")"),31.56)</f>
        <v>31.56</v>
      </c>
      <c r="H460" s="17" t="str">
        <f t="shared" si="14"/>
        <v/>
      </c>
      <c r="I460" s="18">
        <f t="shared" si="9"/>
        <v>31.35666667</v>
      </c>
      <c r="J460" s="19">
        <f t="shared" si="10"/>
        <v>32.51333333</v>
      </c>
      <c r="K460" s="19"/>
      <c r="L460" s="19">
        <f t="shared" si="11"/>
        <v>30.40333333</v>
      </c>
      <c r="M460" s="19">
        <f t="shared" si="12"/>
        <v>33.46666667</v>
      </c>
      <c r="N460" s="19">
        <f t="shared" si="13"/>
        <v>29.24666667</v>
      </c>
    </row>
    <row r="461" ht="24.75" customHeight="1">
      <c r="A461" s="21" t="s">
        <v>424</v>
      </c>
      <c r="B461" s="13">
        <f>IFERROR(__xludf.DUMMYFUNCTION("GOOGLEFINANCE(A461,""PRICE"")"),62.8)</f>
        <v>62.8</v>
      </c>
      <c r="C461" s="14">
        <f>IFERROR(__xludf.DUMMYFUNCTION("GOOGLEFINANCE(A461,""PRICEOPEN"")"),64.0)</f>
        <v>64</v>
      </c>
      <c r="D461" s="14">
        <f>IFERROR(__xludf.DUMMYFUNCTION("GOOGLEFINANCE(A461,""HIGH"")"),64.32)</f>
        <v>64.32</v>
      </c>
      <c r="E461" s="14">
        <f>IFERROR(__xludf.DUMMYFUNCTION("GOOGLEFINANCE(A461,""LOW"")"),62.13)</f>
        <v>62.13</v>
      </c>
      <c r="F461" s="15" t="str">
        <f t="shared" si="8"/>
        <v/>
      </c>
      <c r="G461" s="16">
        <f>IFERROR(__xludf.DUMMYFUNCTION("GOOGLEFINANCE(A461,""CLOSEYEST"")"),63.61)</f>
        <v>63.61</v>
      </c>
      <c r="H461" s="17" t="str">
        <f t="shared" si="14"/>
        <v/>
      </c>
      <c r="I461" s="18">
        <f t="shared" si="9"/>
        <v>63.35333333</v>
      </c>
      <c r="J461" s="19">
        <f t="shared" si="10"/>
        <v>64.57666667</v>
      </c>
      <c r="K461" s="19"/>
      <c r="L461" s="19">
        <f t="shared" si="11"/>
        <v>62.38666667</v>
      </c>
      <c r="M461" s="19">
        <f t="shared" si="12"/>
        <v>65.54333333</v>
      </c>
      <c r="N461" s="19">
        <f t="shared" si="13"/>
        <v>61.16333333</v>
      </c>
    </row>
    <row r="462" ht="24.75" customHeight="1">
      <c r="A462" s="21" t="s">
        <v>425</v>
      </c>
      <c r="B462" s="13">
        <f>IFERROR(__xludf.DUMMYFUNCTION("GOOGLEFINANCE(A462,""PRICE"")"),168.99)</f>
        <v>168.99</v>
      </c>
      <c r="C462" s="14">
        <f>IFERROR(__xludf.DUMMYFUNCTION("GOOGLEFINANCE(A462,""PRICEOPEN"")"),164.3)</f>
        <v>164.3</v>
      </c>
      <c r="D462" s="14">
        <f>IFERROR(__xludf.DUMMYFUNCTION("GOOGLEFINANCE(A462,""HIGH"")"),169.55)</f>
        <v>169.55</v>
      </c>
      <c r="E462" s="14">
        <f>IFERROR(__xludf.DUMMYFUNCTION("GOOGLEFINANCE(A462,""LOW"")"),162.45)</f>
        <v>162.45</v>
      </c>
      <c r="F462" s="15" t="str">
        <f t="shared" si="8"/>
        <v/>
      </c>
      <c r="G462" s="16">
        <f>IFERROR(__xludf.DUMMYFUNCTION("GOOGLEFINANCE(A462,""CLOSEYEST"")"),163.2)</f>
        <v>163.2</v>
      </c>
      <c r="H462" s="17" t="str">
        <f t="shared" si="14"/>
        <v/>
      </c>
      <c r="I462" s="18">
        <f t="shared" si="9"/>
        <v>165.0666667</v>
      </c>
      <c r="J462" s="19">
        <f t="shared" si="10"/>
        <v>167.6833333</v>
      </c>
      <c r="K462" s="19"/>
      <c r="L462" s="19">
        <f t="shared" si="11"/>
        <v>160.5833333</v>
      </c>
      <c r="M462" s="19">
        <f t="shared" si="12"/>
        <v>172.1666667</v>
      </c>
      <c r="N462" s="19">
        <f t="shared" si="13"/>
        <v>157.9666667</v>
      </c>
    </row>
    <row r="463" ht="24.75" customHeight="1">
      <c r="A463" s="21" t="s">
        <v>426</v>
      </c>
      <c r="B463" s="13">
        <f>IFERROR(__xludf.DUMMYFUNCTION("GOOGLEFINANCE(A463,""PRICE"")"),490.55)</f>
        <v>490.55</v>
      </c>
      <c r="C463" s="14">
        <f>IFERROR(__xludf.DUMMYFUNCTION("GOOGLEFINANCE(A463,""PRICEOPEN"")"),468.0)</f>
        <v>468</v>
      </c>
      <c r="D463" s="14">
        <f>IFERROR(__xludf.DUMMYFUNCTION("GOOGLEFINANCE(A463,""HIGH"")"),498.25)</f>
        <v>498.25</v>
      </c>
      <c r="E463" s="14">
        <f>IFERROR(__xludf.DUMMYFUNCTION("GOOGLEFINANCE(A463,""LOW"")"),462.7)</f>
        <v>462.7</v>
      </c>
      <c r="F463" s="15" t="str">
        <f t="shared" si="8"/>
        <v/>
      </c>
      <c r="G463" s="16">
        <f>IFERROR(__xludf.DUMMYFUNCTION("GOOGLEFINANCE(A463,""CLOSEYEST"")"),465.3)</f>
        <v>465.3</v>
      </c>
      <c r="H463" s="17" t="str">
        <f t="shared" si="14"/>
        <v/>
      </c>
      <c r="I463" s="18">
        <f t="shared" si="9"/>
        <v>475.4166667</v>
      </c>
      <c r="J463" s="19">
        <f t="shared" si="10"/>
        <v>488.1333333</v>
      </c>
      <c r="K463" s="19"/>
      <c r="L463" s="19">
        <f t="shared" si="11"/>
        <v>452.5833333</v>
      </c>
      <c r="M463" s="19">
        <f t="shared" si="12"/>
        <v>510.9666667</v>
      </c>
      <c r="N463" s="19">
        <f t="shared" si="13"/>
        <v>439.8666667</v>
      </c>
    </row>
    <row r="464" ht="24.75" customHeight="1">
      <c r="A464" s="21" t="s">
        <v>427</v>
      </c>
      <c r="B464" s="13" t="str">
        <f>IFERROR(__xludf.DUMMYFUNCTION("GOOGLEFINANCE(A464,""PRICE"")"),"#N/A")</f>
        <v>#N/A</v>
      </c>
      <c r="C464" s="14" t="str">
        <f>IFERROR(__xludf.DUMMYFUNCTION("GOOGLEFINANCE(A464,""PRICEOPEN"")"),"#N/A")</f>
        <v>#N/A</v>
      </c>
      <c r="D464" s="14" t="str">
        <f>IFERROR(__xludf.DUMMYFUNCTION("GOOGLEFINANCE(A464,""HIGH"")"),"#N/A")</f>
        <v>#N/A</v>
      </c>
      <c r="E464" s="14" t="str">
        <f>IFERROR(__xludf.DUMMYFUNCTION("GOOGLEFINANCE(A464,""LOW"")"),"#N/A")</f>
        <v>#N/A</v>
      </c>
      <c r="F464" s="15" t="str">
        <f t="shared" si="8"/>
        <v>#N/A</v>
      </c>
      <c r="G464" s="16" t="str">
        <f>IFERROR(__xludf.DUMMYFUNCTION("GOOGLEFINANCE(A464,""CLOSEYEST"")"),"#N/A")</f>
        <v>#N/A</v>
      </c>
      <c r="H464" s="17" t="str">
        <f t="shared" si="14"/>
        <v>#N/A</v>
      </c>
      <c r="I464" s="18" t="str">
        <f t="shared" si="9"/>
        <v>#N/A</v>
      </c>
      <c r="J464" s="19" t="str">
        <f t="shared" si="10"/>
        <v>#N/A</v>
      </c>
      <c r="K464" s="19"/>
      <c r="L464" s="19" t="str">
        <f t="shared" si="11"/>
        <v>#N/A</v>
      </c>
      <c r="M464" s="19" t="str">
        <f t="shared" si="12"/>
        <v>#N/A</v>
      </c>
      <c r="N464" s="19" t="str">
        <f t="shared" si="13"/>
        <v>#N/A</v>
      </c>
    </row>
    <row r="465" ht="24.75" customHeight="1">
      <c r="A465" s="21" t="s">
        <v>428</v>
      </c>
      <c r="B465" s="13">
        <f>IFERROR(__xludf.DUMMYFUNCTION("GOOGLEFINANCE(A465,""PRICE"")"),9995.0)</f>
        <v>9995</v>
      </c>
      <c r="C465" s="14">
        <f>IFERROR(__xludf.DUMMYFUNCTION("GOOGLEFINANCE(A465,""PRICEOPEN"")"),10600.0)</f>
        <v>10600</v>
      </c>
      <c r="D465" s="14">
        <f>IFERROR(__xludf.DUMMYFUNCTION("GOOGLEFINANCE(A465,""HIGH"")"),11847.0)</f>
        <v>11847</v>
      </c>
      <c r="E465" s="14">
        <f>IFERROR(__xludf.DUMMYFUNCTION("GOOGLEFINANCE(A465,""LOW"")"),9801.0)</f>
        <v>9801</v>
      </c>
      <c r="F465" s="15" t="str">
        <f t="shared" si="8"/>
        <v/>
      </c>
      <c r="G465" s="16">
        <f>IFERROR(__xludf.DUMMYFUNCTION("GOOGLEFINANCE(A465,""CLOSEYEST"")"),10580.0)</f>
        <v>10580</v>
      </c>
      <c r="H465" s="17" t="str">
        <f t="shared" si="14"/>
        <v/>
      </c>
      <c r="I465" s="18">
        <f t="shared" si="9"/>
        <v>10742.66667</v>
      </c>
      <c r="J465" s="19">
        <f t="shared" si="10"/>
        <v>11684.33333</v>
      </c>
      <c r="K465" s="19"/>
      <c r="L465" s="19">
        <f t="shared" si="11"/>
        <v>9638.333333</v>
      </c>
      <c r="M465" s="19">
        <f t="shared" si="12"/>
        <v>12788.66667</v>
      </c>
      <c r="N465" s="19">
        <f t="shared" si="13"/>
        <v>8696.666667</v>
      </c>
    </row>
    <row r="466" ht="24.75" customHeight="1">
      <c r="A466" s="21" t="s">
        <v>429</v>
      </c>
      <c r="B466" s="13">
        <f>IFERROR(__xludf.DUMMYFUNCTION("GOOGLEFINANCE(A466,""PRICE"")"),161.0)</f>
        <v>161</v>
      </c>
      <c r="C466" s="14">
        <f>IFERROR(__xludf.DUMMYFUNCTION("GOOGLEFINANCE(A466,""PRICEOPEN"")"),158.92)</f>
        <v>158.92</v>
      </c>
      <c r="D466" s="14">
        <f>IFERROR(__xludf.DUMMYFUNCTION("GOOGLEFINANCE(A466,""HIGH"")"),161.09)</f>
        <v>161.09</v>
      </c>
      <c r="E466" s="14">
        <f>IFERROR(__xludf.DUMMYFUNCTION("GOOGLEFINANCE(A466,""LOW"")"),157.24)</f>
        <v>157.24</v>
      </c>
      <c r="F466" s="15" t="str">
        <f t="shared" si="8"/>
        <v/>
      </c>
      <c r="G466" s="16">
        <f>IFERROR(__xludf.DUMMYFUNCTION("GOOGLEFINANCE(A466,""CLOSEYEST"")"),158.92)</f>
        <v>158.92</v>
      </c>
      <c r="H466" s="17" t="str">
        <f t="shared" si="14"/>
        <v/>
      </c>
      <c r="I466" s="18">
        <f t="shared" si="9"/>
        <v>159.0833333</v>
      </c>
      <c r="J466" s="19">
        <f t="shared" si="10"/>
        <v>160.9266667</v>
      </c>
      <c r="K466" s="19"/>
      <c r="L466" s="19">
        <f t="shared" si="11"/>
        <v>157.0766667</v>
      </c>
      <c r="M466" s="19">
        <f t="shared" si="12"/>
        <v>162.9333333</v>
      </c>
      <c r="N466" s="19">
        <f t="shared" si="13"/>
        <v>155.2333333</v>
      </c>
    </row>
    <row r="467" ht="24.75" customHeight="1">
      <c r="A467" s="21" t="s">
        <v>430</v>
      </c>
      <c r="B467" s="13">
        <f>IFERROR(__xludf.DUMMYFUNCTION("GOOGLEFINANCE(A467,""PRICE"")"),18.59)</f>
        <v>18.59</v>
      </c>
      <c r="C467" s="14">
        <f>IFERROR(__xludf.DUMMYFUNCTION("GOOGLEFINANCE(A467,""PRICEOPEN"")"),17.8)</f>
        <v>17.8</v>
      </c>
      <c r="D467" s="14">
        <f>IFERROR(__xludf.DUMMYFUNCTION("GOOGLEFINANCE(A467,""HIGH"")"),18.64)</f>
        <v>18.64</v>
      </c>
      <c r="E467" s="14">
        <f>IFERROR(__xludf.DUMMYFUNCTION("GOOGLEFINANCE(A467,""LOW"")"),17.74)</f>
        <v>17.74</v>
      </c>
      <c r="F467" s="15" t="str">
        <f t="shared" si="8"/>
        <v/>
      </c>
      <c r="G467" s="16">
        <f>IFERROR(__xludf.DUMMYFUNCTION("GOOGLEFINANCE(A467,""CLOSEYEST"")"),17.76)</f>
        <v>17.76</v>
      </c>
      <c r="H467" s="17" t="str">
        <f t="shared" si="14"/>
        <v/>
      </c>
      <c r="I467" s="18">
        <f t="shared" si="9"/>
        <v>18.04666667</v>
      </c>
      <c r="J467" s="19">
        <f t="shared" si="10"/>
        <v>18.35333333</v>
      </c>
      <c r="K467" s="19"/>
      <c r="L467" s="19">
        <f t="shared" si="11"/>
        <v>17.45333333</v>
      </c>
      <c r="M467" s="19">
        <f t="shared" si="12"/>
        <v>18.94666667</v>
      </c>
      <c r="N467" s="19">
        <f t="shared" si="13"/>
        <v>17.14666667</v>
      </c>
    </row>
    <row r="468" ht="24.75" customHeight="1">
      <c r="A468" s="21" t="s">
        <v>431</v>
      </c>
      <c r="B468" s="13">
        <f>IFERROR(__xludf.DUMMYFUNCTION("GOOGLEFINANCE(A468,""PRICE"")"),686.0)</f>
        <v>686</v>
      </c>
      <c r="C468" s="14">
        <f>IFERROR(__xludf.DUMMYFUNCTION("GOOGLEFINANCE(A468,""PRICEOPEN"")"),681.5)</f>
        <v>681.5</v>
      </c>
      <c r="D468" s="14">
        <f>IFERROR(__xludf.DUMMYFUNCTION("GOOGLEFINANCE(A468,""HIGH"")"),688.4)</f>
        <v>688.4</v>
      </c>
      <c r="E468" s="14">
        <f>IFERROR(__xludf.DUMMYFUNCTION("GOOGLEFINANCE(A468,""LOW"")"),675.95)</f>
        <v>675.95</v>
      </c>
      <c r="F468" s="15" t="str">
        <f t="shared" si="8"/>
        <v/>
      </c>
      <c r="G468" s="16">
        <f>IFERROR(__xludf.DUMMYFUNCTION("GOOGLEFINANCE(A468,""CLOSEYEST"")"),681.35)</f>
        <v>681.35</v>
      </c>
      <c r="H468" s="17" t="str">
        <f t="shared" si="14"/>
        <v/>
      </c>
      <c r="I468" s="18">
        <f t="shared" si="9"/>
        <v>681.9</v>
      </c>
      <c r="J468" s="19">
        <f t="shared" si="10"/>
        <v>687.85</v>
      </c>
      <c r="K468" s="19"/>
      <c r="L468" s="19">
        <f t="shared" si="11"/>
        <v>675.4</v>
      </c>
      <c r="M468" s="19">
        <f t="shared" si="12"/>
        <v>694.35</v>
      </c>
      <c r="N468" s="19">
        <f t="shared" si="13"/>
        <v>669.45</v>
      </c>
    </row>
    <row r="469" ht="24.75" customHeight="1">
      <c r="A469" s="21" t="s">
        <v>432</v>
      </c>
      <c r="B469" s="13">
        <f>IFERROR(__xludf.DUMMYFUNCTION("GOOGLEFINANCE(A469,""PRICE"")"),30.61)</f>
        <v>30.61</v>
      </c>
      <c r="C469" s="14">
        <f>IFERROR(__xludf.DUMMYFUNCTION("GOOGLEFINANCE(A469,""PRICEOPEN"")"),30.1)</f>
        <v>30.1</v>
      </c>
      <c r="D469" s="14">
        <f>IFERROR(__xludf.DUMMYFUNCTION("GOOGLEFINANCE(A469,""HIGH"")"),30.7)</f>
        <v>30.7</v>
      </c>
      <c r="E469" s="14">
        <f>IFERROR(__xludf.DUMMYFUNCTION("GOOGLEFINANCE(A469,""LOW"")"),29.96)</f>
        <v>29.96</v>
      </c>
      <c r="F469" s="15" t="str">
        <f t="shared" si="8"/>
        <v/>
      </c>
      <c r="G469" s="16">
        <f>IFERROR(__xludf.DUMMYFUNCTION("GOOGLEFINANCE(A469,""CLOSEYEST"")"),30.03)</f>
        <v>30.03</v>
      </c>
      <c r="H469" s="17" t="str">
        <f t="shared" si="14"/>
        <v/>
      </c>
      <c r="I469" s="18">
        <f t="shared" si="9"/>
        <v>30.23</v>
      </c>
      <c r="J469" s="19">
        <f t="shared" si="10"/>
        <v>30.5</v>
      </c>
      <c r="K469" s="19"/>
      <c r="L469" s="19">
        <f t="shared" si="11"/>
        <v>29.76</v>
      </c>
      <c r="M469" s="19">
        <f t="shared" si="12"/>
        <v>30.97</v>
      </c>
      <c r="N469" s="19">
        <f t="shared" si="13"/>
        <v>29.49</v>
      </c>
    </row>
    <row r="470" ht="24.75" customHeight="1">
      <c r="A470" s="21" t="s">
        <v>433</v>
      </c>
      <c r="B470" s="13">
        <f>IFERROR(__xludf.DUMMYFUNCTION("GOOGLEFINANCE(A470,""PRICE"")"),1940.8)</f>
        <v>1940.8</v>
      </c>
      <c r="C470" s="14">
        <f>IFERROR(__xludf.DUMMYFUNCTION("GOOGLEFINANCE(A470,""PRICEOPEN"")"),1900.0)</f>
        <v>1900</v>
      </c>
      <c r="D470" s="14">
        <f>IFERROR(__xludf.DUMMYFUNCTION("GOOGLEFINANCE(A470,""HIGH"")"),1945.0)</f>
        <v>1945</v>
      </c>
      <c r="E470" s="14">
        <f>IFERROR(__xludf.DUMMYFUNCTION("GOOGLEFINANCE(A470,""LOW"")"),1890.6)</f>
        <v>1890.6</v>
      </c>
      <c r="F470" s="15" t="str">
        <f t="shared" si="8"/>
        <v/>
      </c>
      <c r="G470" s="16">
        <f>IFERROR(__xludf.DUMMYFUNCTION("GOOGLEFINANCE(A470,""CLOSEYEST"")"),1898.6)</f>
        <v>1898.6</v>
      </c>
      <c r="H470" s="17" t="str">
        <f t="shared" si="14"/>
        <v/>
      </c>
      <c r="I470" s="18">
        <f t="shared" si="9"/>
        <v>1911.4</v>
      </c>
      <c r="J470" s="19">
        <f t="shared" si="10"/>
        <v>1932.2</v>
      </c>
      <c r="K470" s="19"/>
      <c r="L470" s="19">
        <f t="shared" si="11"/>
        <v>1877.8</v>
      </c>
      <c r="M470" s="19">
        <f t="shared" si="12"/>
        <v>1965.8</v>
      </c>
      <c r="N470" s="19">
        <f t="shared" si="13"/>
        <v>1857</v>
      </c>
    </row>
    <row r="471" ht="24.75" customHeight="1">
      <c r="A471" s="21" t="s">
        <v>434</v>
      </c>
      <c r="B471" s="13">
        <f>IFERROR(__xludf.DUMMYFUNCTION("GOOGLEFINANCE(A471,""PRICE"")"),832.0)</f>
        <v>832</v>
      </c>
      <c r="C471" s="14">
        <f>IFERROR(__xludf.DUMMYFUNCTION("GOOGLEFINANCE(A471,""PRICEOPEN"")"),839.8)</f>
        <v>839.8</v>
      </c>
      <c r="D471" s="14">
        <f>IFERROR(__xludf.DUMMYFUNCTION("GOOGLEFINANCE(A471,""HIGH"")"),846.2)</f>
        <v>846.2</v>
      </c>
      <c r="E471" s="14">
        <f>IFERROR(__xludf.DUMMYFUNCTION("GOOGLEFINANCE(A471,""LOW"")"),830.5)</f>
        <v>830.5</v>
      </c>
      <c r="F471" s="15" t="str">
        <f t="shared" si="8"/>
        <v/>
      </c>
      <c r="G471" s="16">
        <f>IFERROR(__xludf.DUMMYFUNCTION("GOOGLEFINANCE(A471,""CLOSEYEST"")"),833.45)</f>
        <v>833.45</v>
      </c>
      <c r="H471" s="17" t="str">
        <f t="shared" si="14"/>
        <v/>
      </c>
      <c r="I471" s="18">
        <f t="shared" si="9"/>
        <v>836.7166667</v>
      </c>
      <c r="J471" s="19">
        <f t="shared" si="10"/>
        <v>842.9333333</v>
      </c>
      <c r="K471" s="19"/>
      <c r="L471" s="19">
        <f t="shared" si="11"/>
        <v>827.2333333</v>
      </c>
      <c r="M471" s="19">
        <f t="shared" si="12"/>
        <v>852.4166667</v>
      </c>
      <c r="N471" s="19">
        <f t="shared" si="13"/>
        <v>821.0166667</v>
      </c>
    </row>
    <row r="472" ht="24.75" customHeight="1">
      <c r="A472" s="21" t="s">
        <v>435</v>
      </c>
      <c r="B472" s="13">
        <f>IFERROR(__xludf.DUMMYFUNCTION("GOOGLEFINANCE(A472,""PRICE"")"),921.5)</f>
        <v>921.5</v>
      </c>
      <c r="C472" s="14">
        <f>IFERROR(__xludf.DUMMYFUNCTION("GOOGLEFINANCE(A472,""PRICEOPEN"")"),918.0)</f>
        <v>918</v>
      </c>
      <c r="D472" s="14">
        <f>IFERROR(__xludf.DUMMYFUNCTION("GOOGLEFINANCE(A472,""HIGH"")"),924.5)</f>
        <v>924.5</v>
      </c>
      <c r="E472" s="14">
        <f>IFERROR(__xludf.DUMMYFUNCTION("GOOGLEFINANCE(A472,""LOW"")"),905.0)</f>
        <v>905</v>
      </c>
      <c r="F472" s="15" t="str">
        <f t="shared" si="8"/>
        <v/>
      </c>
      <c r="G472" s="16">
        <f>IFERROR(__xludf.DUMMYFUNCTION("GOOGLEFINANCE(A472,""CLOSEYEST"")"),912.5)</f>
        <v>912.5</v>
      </c>
      <c r="H472" s="17" t="str">
        <f t="shared" si="14"/>
        <v/>
      </c>
      <c r="I472" s="18">
        <f t="shared" si="9"/>
        <v>914</v>
      </c>
      <c r="J472" s="19">
        <f t="shared" si="10"/>
        <v>923</v>
      </c>
      <c r="K472" s="19"/>
      <c r="L472" s="19">
        <f t="shared" si="11"/>
        <v>903.5</v>
      </c>
      <c r="M472" s="19">
        <f t="shared" si="12"/>
        <v>933.5</v>
      </c>
      <c r="N472" s="19">
        <f t="shared" si="13"/>
        <v>894.5</v>
      </c>
    </row>
    <row r="473" ht="24.75" customHeight="1">
      <c r="A473" s="21" t="s">
        <v>436</v>
      </c>
      <c r="B473" s="13">
        <f>IFERROR(__xludf.DUMMYFUNCTION("GOOGLEFINANCE(A473,""PRICE"")"),1246.3)</f>
        <v>1246.3</v>
      </c>
      <c r="C473" s="14">
        <f>IFERROR(__xludf.DUMMYFUNCTION("GOOGLEFINANCE(A473,""PRICEOPEN"")"),1236.9)</f>
        <v>1236.9</v>
      </c>
      <c r="D473" s="14">
        <f>IFERROR(__xludf.DUMMYFUNCTION("GOOGLEFINANCE(A473,""HIGH"")"),1264.0)</f>
        <v>1264</v>
      </c>
      <c r="E473" s="14">
        <f>IFERROR(__xludf.DUMMYFUNCTION("GOOGLEFINANCE(A473,""LOW"")"),1220.1)</f>
        <v>1220.1</v>
      </c>
      <c r="F473" s="15" t="str">
        <f t="shared" si="8"/>
        <v/>
      </c>
      <c r="G473" s="16">
        <f>IFERROR(__xludf.DUMMYFUNCTION("GOOGLEFINANCE(A473,""CLOSEYEST"")"),1234.4)</f>
        <v>1234.4</v>
      </c>
      <c r="H473" s="17" t="str">
        <f t="shared" si="14"/>
        <v/>
      </c>
      <c r="I473" s="18">
        <f t="shared" si="9"/>
        <v>1239.5</v>
      </c>
      <c r="J473" s="19">
        <f t="shared" si="10"/>
        <v>1258.9</v>
      </c>
      <c r="K473" s="19"/>
      <c r="L473" s="19">
        <f t="shared" si="11"/>
        <v>1215</v>
      </c>
      <c r="M473" s="19">
        <f t="shared" si="12"/>
        <v>1283.4</v>
      </c>
      <c r="N473" s="19">
        <f t="shared" si="13"/>
        <v>1195.6</v>
      </c>
    </row>
    <row r="474" ht="24.75" customHeight="1">
      <c r="A474" s="21" t="s">
        <v>437</v>
      </c>
      <c r="B474" s="13">
        <f>IFERROR(__xludf.DUMMYFUNCTION("GOOGLEFINANCE(A474,""PRICE"")"),245.7)</f>
        <v>245.7</v>
      </c>
      <c r="C474" s="14">
        <f>IFERROR(__xludf.DUMMYFUNCTION("GOOGLEFINANCE(A474,""PRICEOPEN"")"),245.9)</f>
        <v>245.9</v>
      </c>
      <c r="D474" s="14">
        <f>IFERROR(__xludf.DUMMYFUNCTION("GOOGLEFINANCE(A474,""HIGH"")"),248.7)</f>
        <v>248.7</v>
      </c>
      <c r="E474" s="14">
        <f>IFERROR(__xludf.DUMMYFUNCTION("GOOGLEFINANCE(A474,""LOW"")"),245.05)</f>
        <v>245.05</v>
      </c>
      <c r="F474" s="15" t="str">
        <f t="shared" si="8"/>
        <v/>
      </c>
      <c r="G474" s="16">
        <f>IFERROR(__xludf.DUMMYFUNCTION("GOOGLEFINANCE(A474,""CLOSEYEST"")"),244.95)</f>
        <v>244.95</v>
      </c>
      <c r="H474" s="17" t="str">
        <f t="shared" si="14"/>
        <v/>
      </c>
      <c r="I474" s="18">
        <f t="shared" si="9"/>
        <v>246.2333333</v>
      </c>
      <c r="J474" s="19">
        <f t="shared" si="10"/>
        <v>247.4166667</v>
      </c>
      <c r="K474" s="19"/>
      <c r="L474" s="19">
        <f t="shared" si="11"/>
        <v>243.7666667</v>
      </c>
      <c r="M474" s="19">
        <f t="shared" si="12"/>
        <v>249.8833333</v>
      </c>
      <c r="N474" s="19">
        <f t="shared" si="13"/>
        <v>242.5833333</v>
      </c>
    </row>
    <row r="475" ht="24.75" customHeight="1">
      <c r="A475" s="21" t="s">
        <v>438</v>
      </c>
      <c r="B475" s="13">
        <f>IFERROR(__xludf.DUMMYFUNCTION("GOOGLEFINANCE(A475,""PRICE"")"),516.0)</f>
        <v>516</v>
      </c>
      <c r="C475" s="14">
        <f>IFERROR(__xludf.DUMMYFUNCTION("GOOGLEFINANCE(A475,""PRICEOPEN"")"),515.0)</f>
        <v>515</v>
      </c>
      <c r="D475" s="14">
        <f>IFERROR(__xludf.DUMMYFUNCTION("GOOGLEFINANCE(A475,""HIGH"")"),521.25)</f>
        <v>521.25</v>
      </c>
      <c r="E475" s="14">
        <f>IFERROR(__xludf.DUMMYFUNCTION("GOOGLEFINANCE(A475,""LOW"")"),512.3)</f>
        <v>512.3</v>
      </c>
      <c r="F475" s="15" t="str">
        <f t="shared" si="8"/>
        <v/>
      </c>
      <c r="G475" s="16">
        <f>IFERROR(__xludf.DUMMYFUNCTION("GOOGLEFINANCE(A475,""CLOSEYEST"")"),513.4)</f>
        <v>513.4</v>
      </c>
      <c r="H475" s="17" t="str">
        <f t="shared" si="14"/>
        <v/>
      </c>
      <c r="I475" s="18">
        <f t="shared" si="9"/>
        <v>515.65</v>
      </c>
      <c r="J475" s="19">
        <f t="shared" si="10"/>
        <v>519</v>
      </c>
      <c r="K475" s="19"/>
      <c r="L475" s="19">
        <f t="shared" si="11"/>
        <v>510.05</v>
      </c>
      <c r="M475" s="19">
        <f t="shared" si="12"/>
        <v>524.6</v>
      </c>
      <c r="N475" s="19">
        <f t="shared" si="13"/>
        <v>506.7</v>
      </c>
    </row>
    <row r="476" ht="24.75" customHeight="1">
      <c r="A476" s="21" t="s">
        <v>439</v>
      </c>
      <c r="B476" s="13">
        <f>IFERROR(__xludf.DUMMYFUNCTION("GOOGLEFINANCE(A476,""PRICE"")"),501.1)</f>
        <v>501.1</v>
      </c>
      <c r="C476" s="14">
        <f>IFERROR(__xludf.DUMMYFUNCTION("GOOGLEFINANCE(A476,""PRICEOPEN"")"),498.0)</f>
        <v>498</v>
      </c>
      <c r="D476" s="14">
        <f>IFERROR(__xludf.DUMMYFUNCTION("GOOGLEFINANCE(A476,""HIGH"")"),503.35)</f>
        <v>503.35</v>
      </c>
      <c r="E476" s="14">
        <f>IFERROR(__xludf.DUMMYFUNCTION("GOOGLEFINANCE(A476,""LOW"")"),497.15)</f>
        <v>497.15</v>
      </c>
      <c r="F476" s="15" t="str">
        <f t="shared" si="8"/>
        <v/>
      </c>
      <c r="G476" s="16">
        <f>IFERROR(__xludf.DUMMYFUNCTION("GOOGLEFINANCE(A476,""CLOSEYEST"")"),496.2)</f>
        <v>496.2</v>
      </c>
      <c r="H476" s="17" t="str">
        <f t="shared" si="14"/>
        <v/>
      </c>
      <c r="I476" s="18">
        <f t="shared" si="9"/>
        <v>498.9</v>
      </c>
      <c r="J476" s="19">
        <f t="shared" si="10"/>
        <v>500.65</v>
      </c>
      <c r="K476" s="19"/>
      <c r="L476" s="19">
        <f t="shared" si="11"/>
        <v>494.45</v>
      </c>
      <c r="M476" s="19">
        <f t="shared" si="12"/>
        <v>505.1</v>
      </c>
      <c r="N476" s="19">
        <f t="shared" si="13"/>
        <v>492.7</v>
      </c>
    </row>
    <row r="477" ht="24.75" customHeight="1">
      <c r="A477" s="21" t="s">
        <v>440</v>
      </c>
      <c r="B477" s="13">
        <f>IFERROR(__xludf.DUMMYFUNCTION("GOOGLEFINANCE(A477,""PRICE"")"),111.65)</f>
        <v>111.65</v>
      </c>
      <c r="C477" s="14">
        <f>IFERROR(__xludf.DUMMYFUNCTION("GOOGLEFINANCE(A477,""PRICEOPEN"")"),109.5)</f>
        <v>109.5</v>
      </c>
      <c r="D477" s="14">
        <f>IFERROR(__xludf.DUMMYFUNCTION("GOOGLEFINANCE(A477,""HIGH"")"),111.78)</f>
        <v>111.78</v>
      </c>
      <c r="E477" s="14">
        <f>IFERROR(__xludf.DUMMYFUNCTION("GOOGLEFINANCE(A477,""LOW"")"),108.66)</f>
        <v>108.66</v>
      </c>
      <c r="F477" s="15" t="str">
        <f t="shared" si="8"/>
        <v/>
      </c>
      <c r="G477" s="16">
        <f>IFERROR(__xludf.DUMMYFUNCTION("GOOGLEFINANCE(A477,""CLOSEYEST"")"),108.67)</f>
        <v>108.67</v>
      </c>
      <c r="H477" s="17" t="str">
        <f t="shared" si="14"/>
        <v/>
      </c>
      <c r="I477" s="18">
        <f t="shared" si="9"/>
        <v>109.7033333</v>
      </c>
      <c r="J477" s="19">
        <f t="shared" si="10"/>
        <v>110.7466667</v>
      </c>
      <c r="K477" s="19"/>
      <c r="L477" s="19">
        <f t="shared" si="11"/>
        <v>107.6266667</v>
      </c>
      <c r="M477" s="19">
        <f t="shared" si="12"/>
        <v>112.8233333</v>
      </c>
      <c r="N477" s="19">
        <f t="shared" si="13"/>
        <v>106.5833333</v>
      </c>
    </row>
    <row r="478" ht="24.75" customHeight="1">
      <c r="A478" s="21" t="s">
        <v>441</v>
      </c>
      <c r="B478" s="13">
        <f>IFERROR(__xludf.DUMMYFUNCTION("GOOGLEFINANCE(A478,""PRICE"")"),863.85)</f>
        <v>863.85</v>
      </c>
      <c r="C478" s="14">
        <f>IFERROR(__xludf.DUMMYFUNCTION("GOOGLEFINANCE(A478,""PRICEOPEN"")"),857.6)</f>
        <v>857.6</v>
      </c>
      <c r="D478" s="14">
        <f>IFERROR(__xludf.DUMMYFUNCTION("GOOGLEFINANCE(A478,""HIGH"")"),866.8)</f>
        <v>866.8</v>
      </c>
      <c r="E478" s="14">
        <f>IFERROR(__xludf.DUMMYFUNCTION("GOOGLEFINANCE(A478,""LOW"")"),855.65)</f>
        <v>855.65</v>
      </c>
      <c r="F478" s="15" t="str">
        <f t="shared" si="8"/>
        <v/>
      </c>
      <c r="G478" s="16">
        <f>IFERROR(__xludf.DUMMYFUNCTION("GOOGLEFINANCE(A478,""CLOSEYEST"")"),867.8)</f>
        <v>867.8</v>
      </c>
      <c r="H478" s="17" t="str">
        <f t="shared" si="14"/>
        <v>GAP DOWN</v>
      </c>
      <c r="I478" s="18">
        <f t="shared" si="9"/>
        <v>863.4166667</v>
      </c>
      <c r="J478" s="19">
        <f t="shared" si="10"/>
        <v>871.1833333</v>
      </c>
      <c r="K478" s="19"/>
      <c r="L478" s="19">
        <f t="shared" si="11"/>
        <v>860.0333333</v>
      </c>
      <c r="M478" s="19">
        <f t="shared" si="12"/>
        <v>874.5666667</v>
      </c>
      <c r="N478" s="19">
        <f t="shared" si="13"/>
        <v>852.2666667</v>
      </c>
    </row>
    <row r="479" ht="24.75" customHeight="1">
      <c r="A479" s="21" t="s">
        <v>442</v>
      </c>
      <c r="B479" s="13">
        <f>IFERROR(__xludf.DUMMYFUNCTION("GOOGLEFINANCE(A479,""PRICE"")"),1758.5)</f>
        <v>1758.5</v>
      </c>
      <c r="C479" s="14">
        <f>IFERROR(__xludf.DUMMYFUNCTION("GOOGLEFINANCE(A479,""PRICEOPEN"")"),1757.7)</f>
        <v>1757.7</v>
      </c>
      <c r="D479" s="14">
        <f>IFERROR(__xludf.DUMMYFUNCTION("GOOGLEFINANCE(A479,""HIGH"")"),1773.4)</f>
        <v>1773.4</v>
      </c>
      <c r="E479" s="14">
        <f>IFERROR(__xludf.DUMMYFUNCTION("GOOGLEFINANCE(A479,""LOW"")"),1743.0)</f>
        <v>1743</v>
      </c>
      <c r="F479" s="15" t="str">
        <f t="shared" si="8"/>
        <v/>
      </c>
      <c r="G479" s="16">
        <f>IFERROR(__xludf.DUMMYFUNCTION("GOOGLEFINANCE(A479,""CLOSEYEST"")"),1754.0)</f>
        <v>1754</v>
      </c>
      <c r="H479" s="17" t="str">
        <f t="shared" si="14"/>
        <v/>
      </c>
      <c r="I479" s="18">
        <f t="shared" si="9"/>
        <v>1756.8</v>
      </c>
      <c r="J479" s="19">
        <f t="shared" si="10"/>
        <v>1770.6</v>
      </c>
      <c r="K479" s="19"/>
      <c r="L479" s="19">
        <f t="shared" si="11"/>
        <v>1740.2</v>
      </c>
      <c r="M479" s="19">
        <f t="shared" si="12"/>
        <v>1787.2</v>
      </c>
      <c r="N479" s="19">
        <f t="shared" si="13"/>
        <v>1726.4</v>
      </c>
    </row>
    <row r="480" ht="24.75" customHeight="1">
      <c r="A480" s="21" t="s">
        <v>443</v>
      </c>
      <c r="B480" s="13">
        <f>IFERROR(__xludf.DUMMYFUNCTION("GOOGLEFINANCE(A480,""PRICE"")"),641.3)</f>
        <v>641.3</v>
      </c>
      <c r="C480" s="14">
        <f>IFERROR(__xludf.DUMMYFUNCTION("GOOGLEFINANCE(A480,""PRICEOPEN"")"),638.9)</f>
        <v>638.9</v>
      </c>
      <c r="D480" s="14">
        <f>IFERROR(__xludf.DUMMYFUNCTION("GOOGLEFINANCE(A480,""HIGH"")"),646.5)</f>
        <v>646.5</v>
      </c>
      <c r="E480" s="14">
        <f>IFERROR(__xludf.DUMMYFUNCTION("GOOGLEFINANCE(A480,""LOW"")"),633.1)</f>
        <v>633.1</v>
      </c>
      <c r="F480" s="15" t="str">
        <f t="shared" si="8"/>
        <v/>
      </c>
      <c r="G480" s="16">
        <f>IFERROR(__xludf.DUMMYFUNCTION("GOOGLEFINANCE(A480,""CLOSEYEST"")"),636.15)</f>
        <v>636.15</v>
      </c>
      <c r="H480" s="17" t="str">
        <f t="shared" si="14"/>
        <v/>
      </c>
      <c r="I480" s="18">
        <f t="shared" si="9"/>
        <v>638.5833333</v>
      </c>
      <c r="J480" s="19">
        <f t="shared" si="10"/>
        <v>644.0666667</v>
      </c>
      <c r="K480" s="19"/>
      <c r="L480" s="19">
        <f t="shared" si="11"/>
        <v>630.6666667</v>
      </c>
      <c r="M480" s="19">
        <f t="shared" si="12"/>
        <v>651.9833333</v>
      </c>
      <c r="N480" s="19">
        <f t="shared" si="13"/>
        <v>625.1833333</v>
      </c>
    </row>
    <row r="481" ht="24.75" customHeight="1">
      <c r="A481" s="21" t="s">
        <v>444</v>
      </c>
      <c r="B481" s="13">
        <f>IFERROR(__xludf.DUMMYFUNCTION("GOOGLEFINANCE(A481,""PRICE"")"),760.0)</f>
        <v>760</v>
      </c>
      <c r="C481" s="14">
        <f>IFERROR(__xludf.DUMMYFUNCTION("GOOGLEFINANCE(A481,""PRICEOPEN"")"),772.4)</f>
        <v>772.4</v>
      </c>
      <c r="D481" s="14">
        <f>IFERROR(__xludf.DUMMYFUNCTION("GOOGLEFINANCE(A481,""HIGH"")"),779.4)</f>
        <v>779.4</v>
      </c>
      <c r="E481" s="14">
        <f>IFERROR(__xludf.DUMMYFUNCTION("GOOGLEFINANCE(A481,""LOW"")"),754.0)</f>
        <v>754</v>
      </c>
      <c r="F481" s="15" t="str">
        <f t="shared" si="8"/>
        <v/>
      </c>
      <c r="G481" s="16">
        <f>IFERROR(__xludf.DUMMYFUNCTION("GOOGLEFINANCE(A481,""CLOSEYEST"")"),772.2)</f>
        <v>772.2</v>
      </c>
      <c r="H481" s="17" t="str">
        <f t="shared" si="14"/>
        <v/>
      </c>
      <c r="I481" s="18">
        <f t="shared" si="9"/>
        <v>768.5333333</v>
      </c>
      <c r="J481" s="19">
        <f t="shared" si="10"/>
        <v>783.0666667</v>
      </c>
      <c r="K481" s="19"/>
      <c r="L481" s="19">
        <f t="shared" si="11"/>
        <v>757.6666667</v>
      </c>
      <c r="M481" s="19">
        <f t="shared" si="12"/>
        <v>793.9333333</v>
      </c>
      <c r="N481" s="19">
        <f t="shared" si="13"/>
        <v>743.1333333</v>
      </c>
    </row>
    <row r="482" ht="24.75" customHeight="1">
      <c r="A482" s="21" t="s">
        <v>445</v>
      </c>
      <c r="B482" s="13" t="str">
        <f>IFERROR(__xludf.DUMMYFUNCTION("GOOGLEFINANCE(A482,""PRICE"")"),"#N/A")</f>
        <v>#N/A</v>
      </c>
      <c r="C482" s="14" t="str">
        <f>IFERROR(__xludf.DUMMYFUNCTION("GOOGLEFINANCE(A482,""PRICEOPEN"")"),"#N/A")</f>
        <v>#N/A</v>
      </c>
      <c r="D482" s="14" t="str">
        <f>IFERROR(__xludf.DUMMYFUNCTION("GOOGLEFINANCE(A482,""HIGH"")"),"#N/A")</f>
        <v>#N/A</v>
      </c>
      <c r="E482" s="14" t="str">
        <f>IFERROR(__xludf.DUMMYFUNCTION("GOOGLEFINANCE(A482,""LOW"")"),"#N/A")</f>
        <v>#N/A</v>
      </c>
      <c r="F482" s="15" t="str">
        <f t="shared" si="8"/>
        <v>#N/A</v>
      </c>
      <c r="G482" s="16" t="str">
        <f>IFERROR(__xludf.DUMMYFUNCTION("GOOGLEFINANCE(A482,""CLOSEYEST"")"),"#N/A")</f>
        <v>#N/A</v>
      </c>
      <c r="H482" s="17" t="str">
        <f t="shared" si="14"/>
        <v>#N/A</v>
      </c>
      <c r="I482" s="18" t="str">
        <f t="shared" si="9"/>
        <v>#N/A</v>
      </c>
      <c r="J482" s="19" t="str">
        <f t="shared" si="10"/>
        <v>#N/A</v>
      </c>
      <c r="K482" s="19"/>
      <c r="L482" s="19" t="str">
        <f t="shared" si="11"/>
        <v>#N/A</v>
      </c>
      <c r="M482" s="19" t="str">
        <f t="shared" si="12"/>
        <v>#N/A</v>
      </c>
      <c r="N482" s="19" t="str">
        <f t="shared" si="13"/>
        <v>#N/A</v>
      </c>
    </row>
    <row r="483" ht="24.75" customHeight="1">
      <c r="A483" s="21" t="s">
        <v>446</v>
      </c>
      <c r="B483" s="13">
        <f>IFERROR(__xludf.DUMMYFUNCTION("GOOGLEFINANCE(A483,""PRICE"")"),18.23)</f>
        <v>18.23</v>
      </c>
      <c r="C483" s="14" t="str">
        <f>IFERROR(__xludf.DUMMYFUNCTION("GOOGLEFINANCE(A483,""PRICEOPEN"")"),"#N/A")</f>
        <v>#N/A</v>
      </c>
      <c r="D483" s="14" t="str">
        <f>IFERROR(__xludf.DUMMYFUNCTION("GOOGLEFINANCE(A483,""HIGH"")"),"#N/A")</f>
        <v>#N/A</v>
      </c>
      <c r="E483" s="14" t="str">
        <f>IFERROR(__xludf.DUMMYFUNCTION("GOOGLEFINANCE(A483,""LOW"")"),"#N/A")</f>
        <v>#N/A</v>
      </c>
      <c r="F483" s="15" t="str">
        <f t="shared" si="8"/>
        <v>#N/A</v>
      </c>
      <c r="G483" s="16">
        <f>IFERROR(__xludf.DUMMYFUNCTION("GOOGLEFINANCE(A483,""CLOSEYEST"")"),18.21)</f>
        <v>18.21</v>
      </c>
      <c r="H483" s="17" t="str">
        <f t="shared" si="14"/>
        <v>#N/A</v>
      </c>
      <c r="I483" s="18" t="str">
        <f t="shared" si="9"/>
        <v>#N/A</v>
      </c>
      <c r="J483" s="19" t="str">
        <f t="shared" si="10"/>
        <v>#N/A</v>
      </c>
      <c r="K483" s="19"/>
      <c r="L483" s="19" t="str">
        <f t="shared" si="11"/>
        <v>#N/A</v>
      </c>
      <c r="M483" s="19" t="str">
        <f t="shared" si="12"/>
        <v>#N/A</v>
      </c>
      <c r="N483" s="19" t="str">
        <f t="shared" si="13"/>
        <v>#N/A</v>
      </c>
    </row>
    <row r="484" ht="24.75" customHeight="1">
      <c r="A484" s="21" t="s">
        <v>447</v>
      </c>
      <c r="B484" s="13">
        <f>IFERROR(__xludf.DUMMYFUNCTION("GOOGLEFINANCE(A484,""PRICE"")"),2110.0)</f>
        <v>2110</v>
      </c>
      <c r="C484" s="14">
        <f>IFERROR(__xludf.DUMMYFUNCTION("GOOGLEFINANCE(A484,""PRICEOPEN"")"),2055.0)</f>
        <v>2055</v>
      </c>
      <c r="D484" s="14">
        <f>IFERROR(__xludf.DUMMYFUNCTION("GOOGLEFINANCE(A484,""HIGH"")"),2120.0)</f>
        <v>2120</v>
      </c>
      <c r="E484" s="14">
        <f>IFERROR(__xludf.DUMMYFUNCTION("GOOGLEFINANCE(A484,""LOW"")"),2050.0)</f>
        <v>2050</v>
      </c>
      <c r="F484" s="15" t="str">
        <f t="shared" si="8"/>
        <v/>
      </c>
      <c r="G484" s="16">
        <f>IFERROR(__xludf.DUMMYFUNCTION("GOOGLEFINANCE(A484,""CLOSEYEST"")"),2075.0)</f>
        <v>2075</v>
      </c>
      <c r="H484" s="17" t="str">
        <f t="shared" si="14"/>
        <v/>
      </c>
      <c r="I484" s="18">
        <f t="shared" si="9"/>
        <v>2081.666667</v>
      </c>
      <c r="J484" s="19">
        <f t="shared" si="10"/>
        <v>2113.333333</v>
      </c>
      <c r="K484" s="19"/>
      <c r="L484" s="19">
        <f t="shared" si="11"/>
        <v>2043.333333</v>
      </c>
      <c r="M484" s="19">
        <f t="shared" si="12"/>
        <v>2151.666667</v>
      </c>
      <c r="N484" s="19">
        <f t="shared" si="13"/>
        <v>2011.666667</v>
      </c>
    </row>
    <row r="485" ht="24.75" customHeight="1">
      <c r="A485" s="21" t="s">
        <v>448</v>
      </c>
      <c r="B485" s="13">
        <f>IFERROR(__xludf.DUMMYFUNCTION("GOOGLEFINANCE(A485,""PRICE"")"),358.9)</f>
        <v>358.9</v>
      </c>
      <c r="C485" s="14">
        <f>IFERROR(__xludf.DUMMYFUNCTION("GOOGLEFINANCE(A485,""PRICEOPEN"")"),338.0)</f>
        <v>338</v>
      </c>
      <c r="D485" s="14">
        <f>IFERROR(__xludf.DUMMYFUNCTION("GOOGLEFINANCE(A485,""HIGH"")"),363.9)</f>
        <v>363.9</v>
      </c>
      <c r="E485" s="14">
        <f>IFERROR(__xludf.DUMMYFUNCTION("GOOGLEFINANCE(A485,""LOW"")"),336.65)</f>
        <v>336.65</v>
      </c>
      <c r="F485" s="15" t="str">
        <f t="shared" si="8"/>
        <v/>
      </c>
      <c r="G485" s="16">
        <f>IFERROR(__xludf.DUMMYFUNCTION("GOOGLEFINANCE(A485,""CLOSEYEST"")"),335.2)</f>
        <v>335.2</v>
      </c>
      <c r="H485" s="17" t="str">
        <f t="shared" si="14"/>
        <v/>
      </c>
      <c r="I485" s="18">
        <f t="shared" si="9"/>
        <v>345.25</v>
      </c>
      <c r="J485" s="19">
        <f t="shared" si="10"/>
        <v>353.85</v>
      </c>
      <c r="K485" s="19"/>
      <c r="L485" s="19">
        <f t="shared" si="11"/>
        <v>326.6</v>
      </c>
      <c r="M485" s="19">
        <f t="shared" si="12"/>
        <v>372.5</v>
      </c>
      <c r="N485" s="19">
        <f t="shared" si="13"/>
        <v>318</v>
      </c>
    </row>
    <row r="486" ht="24.75" customHeight="1">
      <c r="A486" s="21" t="s">
        <v>449</v>
      </c>
      <c r="B486" s="13">
        <f>IFERROR(__xludf.DUMMYFUNCTION("GOOGLEFINANCE(A486,""PRICE"")"),0.0)</f>
        <v>0</v>
      </c>
      <c r="C486" s="14" t="str">
        <f>IFERROR(__xludf.DUMMYFUNCTION("GOOGLEFINANCE(A486,""PRICEOPEN"")"),"#N/A")</f>
        <v>#N/A</v>
      </c>
      <c r="D486" s="14" t="str">
        <f>IFERROR(__xludf.DUMMYFUNCTION("GOOGLEFINANCE(A486,""HIGH"")"),"#N/A")</f>
        <v>#N/A</v>
      </c>
      <c r="E486" s="14" t="str">
        <f>IFERROR(__xludf.DUMMYFUNCTION("GOOGLEFINANCE(A486,""LOW"")"),"#N/A")</f>
        <v>#N/A</v>
      </c>
      <c r="F486" s="15" t="str">
        <f t="shared" si="8"/>
        <v>#N/A</v>
      </c>
      <c r="G486" s="16">
        <f>IFERROR(__xludf.DUMMYFUNCTION("GOOGLEFINANCE(A486,""CLOSEYEST"")"),0.0)</f>
        <v>0</v>
      </c>
      <c r="H486" s="17" t="str">
        <f t="shared" si="14"/>
        <v>#N/A</v>
      </c>
      <c r="I486" s="18" t="str">
        <f t="shared" si="9"/>
        <v>#N/A</v>
      </c>
      <c r="J486" s="19" t="str">
        <f t="shared" si="10"/>
        <v>#N/A</v>
      </c>
      <c r="K486" s="19"/>
      <c r="L486" s="19" t="str">
        <f t="shared" si="11"/>
        <v>#N/A</v>
      </c>
      <c r="M486" s="19" t="str">
        <f t="shared" si="12"/>
        <v>#N/A</v>
      </c>
      <c r="N486" s="19" t="str">
        <f t="shared" si="13"/>
        <v>#N/A</v>
      </c>
    </row>
    <row r="487" ht="24.75" customHeight="1">
      <c r="A487" s="21" t="s">
        <v>450</v>
      </c>
      <c r="B487" s="13">
        <f>IFERROR(__xludf.DUMMYFUNCTION("GOOGLEFINANCE(A487,""PRICE"")"),57.56)</f>
        <v>57.56</v>
      </c>
      <c r="C487" s="14">
        <f>IFERROR(__xludf.DUMMYFUNCTION("GOOGLEFINANCE(A487,""PRICEOPEN"")"),56.85)</f>
        <v>56.85</v>
      </c>
      <c r="D487" s="14">
        <f>IFERROR(__xludf.DUMMYFUNCTION("GOOGLEFINANCE(A487,""HIGH"")"),57.58)</f>
        <v>57.58</v>
      </c>
      <c r="E487" s="14">
        <f>IFERROR(__xludf.DUMMYFUNCTION("GOOGLEFINANCE(A487,""LOW"")"),56.72)</f>
        <v>56.72</v>
      </c>
      <c r="F487" s="15" t="str">
        <f t="shared" si="8"/>
        <v/>
      </c>
      <c r="G487" s="16">
        <f>IFERROR(__xludf.DUMMYFUNCTION("GOOGLEFINANCE(A487,""CLOSEYEST"")"),56.85)</f>
        <v>56.85</v>
      </c>
      <c r="H487" s="17" t="str">
        <f t="shared" si="14"/>
        <v/>
      </c>
      <c r="I487" s="18">
        <f t="shared" si="9"/>
        <v>57.05</v>
      </c>
      <c r="J487" s="19">
        <f t="shared" si="10"/>
        <v>57.38</v>
      </c>
      <c r="K487" s="19"/>
      <c r="L487" s="19">
        <f t="shared" si="11"/>
        <v>56.52</v>
      </c>
      <c r="M487" s="19">
        <f t="shared" si="12"/>
        <v>57.91</v>
      </c>
      <c r="N487" s="19">
        <f t="shared" si="13"/>
        <v>56.19</v>
      </c>
    </row>
    <row r="488" ht="24.75" customHeight="1">
      <c r="A488" s="21" t="s">
        <v>451</v>
      </c>
      <c r="B488" s="13">
        <f>IFERROR(__xludf.DUMMYFUNCTION("GOOGLEFINANCE(A488,""PRICE"")"),616.05)</f>
        <v>616.05</v>
      </c>
      <c r="C488" s="14">
        <f>IFERROR(__xludf.DUMMYFUNCTION("GOOGLEFINANCE(A488,""PRICEOPEN"")"),618.1)</f>
        <v>618.1</v>
      </c>
      <c r="D488" s="14">
        <f>IFERROR(__xludf.DUMMYFUNCTION("GOOGLEFINANCE(A488,""HIGH"")"),624.4)</f>
        <v>624.4</v>
      </c>
      <c r="E488" s="14">
        <f>IFERROR(__xludf.DUMMYFUNCTION("GOOGLEFINANCE(A488,""LOW"")"),603.8)</f>
        <v>603.8</v>
      </c>
      <c r="F488" s="15" t="str">
        <f t="shared" si="8"/>
        <v/>
      </c>
      <c r="G488" s="16">
        <f>IFERROR(__xludf.DUMMYFUNCTION("GOOGLEFINANCE(A488,""CLOSEYEST"")"),610.15)</f>
        <v>610.15</v>
      </c>
      <c r="H488" s="17" t="str">
        <f t="shared" si="14"/>
        <v>GAP UP</v>
      </c>
      <c r="I488" s="18">
        <f t="shared" si="9"/>
        <v>612.7833333</v>
      </c>
      <c r="J488" s="19">
        <f t="shared" si="10"/>
        <v>621.7666667</v>
      </c>
      <c r="K488" s="19"/>
      <c r="L488" s="19">
        <f t="shared" si="11"/>
        <v>601.1666667</v>
      </c>
      <c r="M488" s="19">
        <f t="shared" si="12"/>
        <v>633.3833333</v>
      </c>
      <c r="N488" s="19">
        <f t="shared" si="13"/>
        <v>592.1833333</v>
      </c>
    </row>
    <row r="489" ht="24.75" customHeight="1">
      <c r="A489" s="21" t="s">
        <v>452</v>
      </c>
      <c r="B489" s="13">
        <f>IFERROR(__xludf.DUMMYFUNCTION("GOOGLEFINANCE(A489,""PRICE"")"),1545.6)</f>
        <v>1545.6</v>
      </c>
      <c r="C489" s="14">
        <f>IFERROR(__xludf.DUMMYFUNCTION("GOOGLEFINANCE(A489,""PRICEOPEN"")"),1559.0)</f>
        <v>1559</v>
      </c>
      <c r="D489" s="14">
        <f>IFERROR(__xludf.DUMMYFUNCTION("GOOGLEFINANCE(A489,""HIGH"")"),1563.8)</f>
        <v>1563.8</v>
      </c>
      <c r="E489" s="14">
        <f>IFERROR(__xludf.DUMMYFUNCTION("GOOGLEFINANCE(A489,""LOW"")"),1537.0)</f>
        <v>1537</v>
      </c>
      <c r="F489" s="15" t="str">
        <f t="shared" si="8"/>
        <v/>
      </c>
      <c r="G489" s="16">
        <f>IFERROR(__xludf.DUMMYFUNCTION("GOOGLEFINANCE(A489,""CLOSEYEST"")"),1558.0)</f>
        <v>1558</v>
      </c>
      <c r="H489" s="17" t="str">
        <f t="shared" si="14"/>
        <v/>
      </c>
      <c r="I489" s="18">
        <f t="shared" si="9"/>
        <v>1552.933333</v>
      </c>
      <c r="J489" s="19">
        <f t="shared" si="10"/>
        <v>1568.866667</v>
      </c>
      <c r="K489" s="19"/>
      <c r="L489" s="19">
        <f t="shared" si="11"/>
        <v>1542.066667</v>
      </c>
      <c r="M489" s="19">
        <f t="shared" si="12"/>
        <v>1579.733333</v>
      </c>
      <c r="N489" s="19">
        <f t="shared" si="13"/>
        <v>1526.133333</v>
      </c>
    </row>
    <row r="490" ht="24.75" customHeight="1">
      <c r="A490" s="21" t="s">
        <v>453</v>
      </c>
      <c r="B490" s="13">
        <f>IFERROR(__xludf.DUMMYFUNCTION("GOOGLEFINANCE(A490,""PRICE"")"),253.5)</f>
        <v>253.5</v>
      </c>
      <c r="C490" s="14">
        <f>IFERROR(__xludf.DUMMYFUNCTION("GOOGLEFINANCE(A490,""PRICEOPEN"")"),253.7)</f>
        <v>253.7</v>
      </c>
      <c r="D490" s="14">
        <f>IFERROR(__xludf.DUMMYFUNCTION("GOOGLEFINANCE(A490,""HIGH"")"),255.0)</f>
        <v>255</v>
      </c>
      <c r="E490" s="14">
        <f>IFERROR(__xludf.DUMMYFUNCTION("GOOGLEFINANCE(A490,""LOW"")"),251.51)</f>
        <v>251.51</v>
      </c>
      <c r="F490" s="15" t="str">
        <f t="shared" si="8"/>
        <v/>
      </c>
      <c r="G490" s="16">
        <f>IFERROR(__xludf.DUMMYFUNCTION("GOOGLEFINANCE(A490,""CLOSEYEST"")"),251.8)</f>
        <v>251.8</v>
      </c>
      <c r="H490" s="17" t="str">
        <f t="shared" si="14"/>
        <v/>
      </c>
      <c r="I490" s="18">
        <f t="shared" si="9"/>
        <v>252.77</v>
      </c>
      <c r="J490" s="19">
        <f t="shared" si="10"/>
        <v>254.03</v>
      </c>
      <c r="K490" s="19"/>
      <c r="L490" s="19">
        <f t="shared" si="11"/>
        <v>250.54</v>
      </c>
      <c r="M490" s="19">
        <f t="shared" si="12"/>
        <v>256.26</v>
      </c>
      <c r="N490" s="19">
        <f t="shared" si="13"/>
        <v>249.28</v>
      </c>
    </row>
    <row r="491" ht="24.75" customHeight="1">
      <c r="A491" s="21" t="s">
        <v>454</v>
      </c>
      <c r="B491" s="13">
        <f>IFERROR(__xludf.DUMMYFUNCTION("GOOGLEFINANCE(A491,""PRICE"")"),20.82)</f>
        <v>20.82</v>
      </c>
      <c r="C491" s="14">
        <f>IFERROR(__xludf.DUMMYFUNCTION("GOOGLEFINANCE(A491,""PRICEOPEN"")"),20.48)</f>
        <v>20.48</v>
      </c>
      <c r="D491" s="14">
        <f>IFERROR(__xludf.DUMMYFUNCTION("GOOGLEFINANCE(A491,""HIGH"")"),20.82)</f>
        <v>20.82</v>
      </c>
      <c r="E491" s="14">
        <f>IFERROR(__xludf.DUMMYFUNCTION("GOOGLEFINANCE(A491,""LOW"")"),20.48)</f>
        <v>20.48</v>
      </c>
      <c r="F491" s="15" t="str">
        <f t="shared" si="8"/>
        <v>BUY</v>
      </c>
      <c r="G491" s="16">
        <f>IFERROR(__xludf.DUMMYFUNCTION("GOOGLEFINANCE(A491,""CLOSEYEST"")"),20.5)</f>
        <v>20.5</v>
      </c>
      <c r="H491" s="17" t="str">
        <f t="shared" si="14"/>
        <v/>
      </c>
      <c r="I491" s="18">
        <f t="shared" si="9"/>
        <v>20.6</v>
      </c>
      <c r="J491" s="19">
        <f t="shared" si="10"/>
        <v>20.72</v>
      </c>
      <c r="K491" s="19"/>
      <c r="L491" s="19">
        <f t="shared" si="11"/>
        <v>20.38</v>
      </c>
      <c r="M491" s="19">
        <f t="shared" si="12"/>
        <v>20.94</v>
      </c>
      <c r="N491" s="19">
        <f t="shared" si="13"/>
        <v>20.26</v>
      </c>
    </row>
    <row r="492" ht="24.75" customHeight="1">
      <c r="A492" s="21" t="s">
        <v>455</v>
      </c>
      <c r="B492" s="13">
        <f>IFERROR(__xludf.DUMMYFUNCTION("GOOGLEFINANCE(A492,""PRICE"")"),506.25)</f>
        <v>506.25</v>
      </c>
      <c r="C492" s="14">
        <f>IFERROR(__xludf.DUMMYFUNCTION("GOOGLEFINANCE(A492,""PRICEOPEN"")"),497.6)</f>
        <v>497.6</v>
      </c>
      <c r="D492" s="14">
        <f>IFERROR(__xludf.DUMMYFUNCTION("GOOGLEFINANCE(A492,""HIGH"")"),507.0)</f>
        <v>507</v>
      </c>
      <c r="E492" s="14">
        <f>IFERROR(__xludf.DUMMYFUNCTION("GOOGLEFINANCE(A492,""LOW"")"),497.6)</f>
        <v>497.6</v>
      </c>
      <c r="F492" s="15" t="str">
        <f t="shared" si="8"/>
        <v>BUY</v>
      </c>
      <c r="G492" s="16">
        <f>IFERROR(__xludf.DUMMYFUNCTION("GOOGLEFINANCE(A492,""CLOSEYEST"")"),496.6)</f>
        <v>496.6</v>
      </c>
      <c r="H492" s="17" t="str">
        <f t="shared" si="14"/>
        <v/>
      </c>
      <c r="I492" s="18">
        <f t="shared" si="9"/>
        <v>500.4</v>
      </c>
      <c r="J492" s="19">
        <f t="shared" si="10"/>
        <v>503.2</v>
      </c>
      <c r="K492" s="19"/>
      <c r="L492" s="19">
        <f t="shared" si="11"/>
        <v>493.8</v>
      </c>
      <c r="M492" s="19">
        <f t="shared" si="12"/>
        <v>509.8</v>
      </c>
      <c r="N492" s="19">
        <f t="shared" si="13"/>
        <v>491</v>
      </c>
    </row>
    <row r="493" ht="24.75" customHeight="1">
      <c r="A493" s="21" t="s">
        <v>456</v>
      </c>
      <c r="B493" s="13">
        <f>IFERROR(__xludf.DUMMYFUNCTION("GOOGLEFINANCE(A493,""PRICE"")"),8.14)</f>
        <v>8.14</v>
      </c>
      <c r="C493" s="14">
        <f>IFERROR(__xludf.DUMMYFUNCTION("GOOGLEFINANCE(A493,""PRICEOPEN"")"),8.12)</f>
        <v>8.12</v>
      </c>
      <c r="D493" s="14">
        <f>IFERROR(__xludf.DUMMYFUNCTION("GOOGLEFINANCE(A493,""HIGH"")"),8.17)</f>
        <v>8.17</v>
      </c>
      <c r="E493" s="14">
        <f>IFERROR(__xludf.DUMMYFUNCTION("GOOGLEFINANCE(A493,""LOW"")"),8.04)</f>
        <v>8.04</v>
      </c>
      <c r="F493" s="15" t="str">
        <f t="shared" si="8"/>
        <v/>
      </c>
      <c r="G493" s="16">
        <f>IFERROR(__xludf.DUMMYFUNCTION("GOOGLEFINANCE(A493,""CLOSEYEST"")"),8.12)</f>
        <v>8.12</v>
      </c>
      <c r="H493" s="17" t="str">
        <f t="shared" si="14"/>
        <v/>
      </c>
      <c r="I493" s="18">
        <f t="shared" si="9"/>
        <v>8.11</v>
      </c>
      <c r="J493" s="19">
        <f t="shared" si="10"/>
        <v>8.18</v>
      </c>
      <c r="K493" s="19"/>
      <c r="L493" s="19">
        <f t="shared" si="11"/>
        <v>8.05</v>
      </c>
      <c r="M493" s="19">
        <f t="shared" si="12"/>
        <v>8.24</v>
      </c>
      <c r="N493" s="19">
        <f t="shared" si="13"/>
        <v>7.98</v>
      </c>
    </row>
    <row r="494" ht="24.75" customHeight="1">
      <c r="A494" s="21" t="s">
        <v>457</v>
      </c>
      <c r="B494" s="13">
        <f>IFERROR(__xludf.DUMMYFUNCTION("GOOGLEFINANCE(A494,""PRICE"")"),83.86)</f>
        <v>83.86</v>
      </c>
      <c r="C494" s="14">
        <f>IFERROR(__xludf.DUMMYFUNCTION("GOOGLEFINANCE(A494,""PRICEOPEN"")"),83.06)</f>
        <v>83.06</v>
      </c>
      <c r="D494" s="14">
        <f>IFERROR(__xludf.DUMMYFUNCTION("GOOGLEFINANCE(A494,""HIGH"")"),84.18)</f>
        <v>84.18</v>
      </c>
      <c r="E494" s="14">
        <f>IFERROR(__xludf.DUMMYFUNCTION("GOOGLEFINANCE(A494,""LOW"")"),82.89)</f>
        <v>82.89</v>
      </c>
      <c r="F494" s="15" t="str">
        <f t="shared" si="8"/>
        <v/>
      </c>
      <c r="G494" s="16">
        <f>IFERROR(__xludf.DUMMYFUNCTION("GOOGLEFINANCE(A494,""CLOSEYEST"")"),83.18)</f>
        <v>83.18</v>
      </c>
      <c r="H494" s="17" t="str">
        <f t="shared" si="14"/>
        <v/>
      </c>
      <c r="I494" s="18">
        <f t="shared" si="9"/>
        <v>83.41666667</v>
      </c>
      <c r="J494" s="19">
        <f t="shared" si="10"/>
        <v>83.94333333</v>
      </c>
      <c r="K494" s="19"/>
      <c r="L494" s="19">
        <f t="shared" si="11"/>
        <v>82.65333333</v>
      </c>
      <c r="M494" s="19">
        <f t="shared" si="12"/>
        <v>84.70666667</v>
      </c>
      <c r="N494" s="19">
        <f t="shared" si="13"/>
        <v>82.12666667</v>
      </c>
    </row>
    <row r="495" ht="24.75" customHeight="1">
      <c r="A495" s="21" t="s">
        <v>458</v>
      </c>
      <c r="B495" s="13">
        <f>IFERROR(__xludf.DUMMYFUNCTION("GOOGLEFINANCE(A495,""PRICE"")"),254.3)</f>
        <v>254.3</v>
      </c>
      <c r="C495" s="14">
        <f>IFERROR(__xludf.DUMMYFUNCTION("GOOGLEFINANCE(A495,""PRICEOPEN"")"),255.05)</f>
        <v>255.05</v>
      </c>
      <c r="D495" s="14">
        <f>IFERROR(__xludf.DUMMYFUNCTION("GOOGLEFINANCE(A495,""HIGH"")"),257.5)</f>
        <v>257.5</v>
      </c>
      <c r="E495" s="14">
        <f>IFERROR(__xludf.DUMMYFUNCTION("GOOGLEFINANCE(A495,""LOW"")"),252.0)</f>
        <v>252</v>
      </c>
      <c r="F495" s="15" t="str">
        <f t="shared" si="8"/>
        <v/>
      </c>
      <c r="G495" s="16">
        <f>IFERROR(__xludf.DUMMYFUNCTION("GOOGLEFINANCE(A495,""CLOSEYEST"")"),255.0)</f>
        <v>255</v>
      </c>
      <c r="H495" s="17" t="str">
        <f t="shared" si="14"/>
        <v/>
      </c>
      <c r="I495" s="18">
        <f t="shared" si="9"/>
        <v>254.8333333</v>
      </c>
      <c r="J495" s="19">
        <f t="shared" si="10"/>
        <v>257.6666667</v>
      </c>
      <c r="K495" s="19"/>
      <c r="L495" s="19">
        <f t="shared" si="11"/>
        <v>252.1666667</v>
      </c>
      <c r="M495" s="19">
        <f t="shared" si="12"/>
        <v>260.3333333</v>
      </c>
      <c r="N495" s="19">
        <f t="shared" si="13"/>
        <v>249.3333333</v>
      </c>
    </row>
    <row r="496" ht="24.75" customHeight="1">
      <c r="A496" s="21" t="s">
        <v>459</v>
      </c>
      <c r="B496" s="13">
        <f>IFERROR(__xludf.DUMMYFUNCTION("GOOGLEFINANCE(A496,""PRICE"")"),109.4)</f>
        <v>109.4</v>
      </c>
      <c r="C496" s="14">
        <f>IFERROR(__xludf.DUMMYFUNCTION("GOOGLEFINANCE(A496,""PRICEOPEN"")"),105.4)</f>
        <v>105.4</v>
      </c>
      <c r="D496" s="14">
        <f>IFERROR(__xludf.DUMMYFUNCTION("GOOGLEFINANCE(A496,""HIGH"")"),110.9)</f>
        <v>110.9</v>
      </c>
      <c r="E496" s="14">
        <f>IFERROR(__xludf.DUMMYFUNCTION("GOOGLEFINANCE(A496,""LOW"")"),105.39)</f>
        <v>105.39</v>
      </c>
      <c r="F496" s="15" t="str">
        <f t="shared" si="8"/>
        <v/>
      </c>
      <c r="G496" s="16">
        <f>IFERROR(__xludf.DUMMYFUNCTION("GOOGLEFINANCE(A496,""CLOSEYEST"")"),105.41)</f>
        <v>105.41</v>
      </c>
      <c r="H496" s="17" t="str">
        <f t="shared" si="14"/>
        <v/>
      </c>
      <c r="I496" s="18">
        <f t="shared" si="9"/>
        <v>107.2333333</v>
      </c>
      <c r="J496" s="19">
        <f t="shared" si="10"/>
        <v>109.0766667</v>
      </c>
      <c r="K496" s="19"/>
      <c r="L496" s="19">
        <f t="shared" si="11"/>
        <v>103.5666667</v>
      </c>
      <c r="M496" s="19">
        <f t="shared" si="12"/>
        <v>112.7433333</v>
      </c>
      <c r="N496" s="19">
        <f t="shared" si="13"/>
        <v>101.7233333</v>
      </c>
    </row>
    <row r="497" ht="24.75" customHeight="1">
      <c r="A497" s="21" t="s">
        <v>460</v>
      </c>
      <c r="B497" s="13">
        <f>IFERROR(__xludf.DUMMYFUNCTION("GOOGLEFINANCE(A497,""PRICE"")"),6120.0)</f>
        <v>6120</v>
      </c>
      <c r="C497" s="14">
        <f>IFERROR(__xludf.DUMMYFUNCTION("GOOGLEFINANCE(A497,""PRICEOPEN"")"),6106.0)</f>
        <v>6106</v>
      </c>
      <c r="D497" s="14">
        <f>IFERROR(__xludf.DUMMYFUNCTION("GOOGLEFINANCE(A497,""HIGH"")"),6170.0)</f>
        <v>6170</v>
      </c>
      <c r="E497" s="14">
        <f>IFERROR(__xludf.DUMMYFUNCTION("GOOGLEFINANCE(A497,""LOW"")"),6066.0)</f>
        <v>6066</v>
      </c>
      <c r="F497" s="15" t="str">
        <f t="shared" si="8"/>
        <v/>
      </c>
      <c r="G497" s="16">
        <f>IFERROR(__xludf.DUMMYFUNCTION("GOOGLEFINANCE(A497,""CLOSEYEST"")"),6106.0)</f>
        <v>6106</v>
      </c>
      <c r="H497" s="17" t="str">
        <f t="shared" si="14"/>
        <v/>
      </c>
      <c r="I497" s="18">
        <f t="shared" si="9"/>
        <v>6114</v>
      </c>
      <c r="J497" s="19">
        <f t="shared" si="10"/>
        <v>6162</v>
      </c>
      <c r="K497" s="19"/>
      <c r="L497" s="19">
        <f t="shared" si="11"/>
        <v>6058</v>
      </c>
      <c r="M497" s="19">
        <f t="shared" si="12"/>
        <v>6218</v>
      </c>
      <c r="N497" s="19">
        <f t="shared" si="13"/>
        <v>6010</v>
      </c>
    </row>
    <row r="498" ht="24.75" customHeight="1">
      <c r="A498" s="21" t="s">
        <v>461</v>
      </c>
      <c r="B498" s="13">
        <f>IFERROR(__xludf.DUMMYFUNCTION("GOOGLEFINANCE(A498,""PRICE"")"),2031.0)</f>
        <v>2031</v>
      </c>
      <c r="C498" s="14">
        <f>IFERROR(__xludf.DUMMYFUNCTION("GOOGLEFINANCE(A498,""PRICEOPEN"")"),2060.0)</f>
        <v>2060</v>
      </c>
      <c r="D498" s="14">
        <f>IFERROR(__xludf.DUMMYFUNCTION("GOOGLEFINANCE(A498,""HIGH"")"),2067.0)</f>
        <v>2067</v>
      </c>
      <c r="E498" s="14">
        <f>IFERROR(__xludf.DUMMYFUNCTION("GOOGLEFINANCE(A498,""LOW"")"),1995.1)</f>
        <v>1995.1</v>
      </c>
      <c r="F498" s="15" t="str">
        <f t="shared" si="8"/>
        <v/>
      </c>
      <c r="G498" s="16">
        <f>IFERROR(__xludf.DUMMYFUNCTION("GOOGLEFINANCE(A498,""CLOSEYEST"")"),2058.5)</f>
        <v>2058.5</v>
      </c>
      <c r="H498" s="17" t="str">
        <f t="shared" si="14"/>
        <v/>
      </c>
      <c r="I498" s="18">
        <f t="shared" si="9"/>
        <v>2040.2</v>
      </c>
      <c r="J498" s="19">
        <f t="shared" si="10"/>
        <v>2085.3</v>
      </c>
      <c r="K498" s="19"/>
      <c r="L498" s="19">
        <f t="shared" si="11"/>
        <v>2013.4</v>
      </c>
      <c r="M498" s="19">
        <f t="shared" si="12"/>
        <v>2112.1</v>
      </c>
      <c r="N498" s="19">
        <f t="shared" si="13"/>
        <v>1968.3</v>
      </c>
    </row>
    <row r="499" ht="24.75" customHeight="1">
      <c r="A499" s="21" t="s">
        <v>462</v>
      </c>
      <c r="B499" s="13">
        <f>IFERROR(__xludf.DUMMYFUNCTION("GOOGLEFINANCE(A499,""PRICE"")"),45.86)</f>
        <v>45.86</v>
      </c>
      <c r="C499" s="14" t="str">
        <f>IFERROR(__xludf.DUMMYFUNCTION("GOOGLEFINANCE(A499,""PRICEOPEN"")"),"#N/A")</f>
        <v>#N/A</v>
      </c>
      <c r="D499" s="14" t="str">
        <f>IFERROR(__xludf.DUMMYFUNCTION("GOOGLEFINANCE(A499,""HIGH"")"),"#N/A")</f>
        <v>#N/A</v>
      </c>
      <c r="E499" s="14">
        <f>IFERROR(__xludf.DUMMYFUNCTION("GOOGLEFINANCE(A499,""LOW"")"),45.68)</f>
        <v>45.68</v>
      </c>
      <c r="F499" s="15" t="str">
        <f t="shared" si="8"/>
        <v>#N/A</v>
      </c>
      <c r="G499" s="16">
        <f>IFERROR(__xludf.DUMMYFUNCTION("GOOGLEFINANCE(A499,""CLOSEYEST"")"),45.3)</f>
        <v>45.3</v>
      </c>
      <c r="H499" s="17" t="str">
        <f t="shared" si="14"/>
        <v>#N/A</v>
      </c>
      <c r="I499" s="18" t="str">
        <f t="shared" si="9"/>
        <v>#N/A</v>
      </c>
      <c r="J499" s="19" t="str">
        <f t="shared" si="10"/>
        <v>#N/A</v>
      </c>
      <c r="K499" s="19"/>
      <c r="L499" s="19" t="str">
        <f t="shared" si="11"/>
        <v>#N/A</v>
      </c>
      <c r="M499" s="19" t="str">
        <f t="shared" si="12"/>
        <v>#N/A</v>
      </c>
      <c r="N499" s="19" t="str">
        <f t="shared" si="13"/>
        <v>#N/A</v>
      </c>
    </row>
    <row r="500" ht="24.75" customHeight="1">
      <c r="A500" s="21" t="s">
        <v>463</v>
      </c>
      <c r="B500" s="13">
        <f>IFERROR(__xludf.DUMMYFUNCTION("GOOGLEFINANCE(A500,""PRICE"")"),0.17)</f>
        <v>0.17</v>
      </c>
      <c r="C500" s="14">
        <f>IFERROR(__xludf.DUMMYFUNCTION("GOOGLEFINANCE(A500,""PRICEOPEN"")"),0.17)</f>
        <v>0.17</v>
      </c>
      <c r="D500" s="14">
        <f>IFERROR(__xludf.DUMMYFUNCTION("GOOGLEFINANCE(A500,""HIGH"")"),0.17)</f>
        <v>0.17</v>
      </c>
      <c r="E500" s="14">
        <f>IFERROR(__xludf.DUMMYFUNCTION("GOOGLEFINANCE(A500,""LOW"")"),0.16)</f>
        <v>0.16</v>
      </c>
      <c r="F500" s="15" t="str">
        <f t="shared" si="8"/>
        <v>SELL</v>
      </c>
      <c r="G500" s="16">
        <f>IFERROR(__xludf.DUMMYFUNCTION("GOOGLEFINANCE(A500,""CLOSEYEST"")"),0.17)</f>
        <v>0.17</v>
      </c>
      <c r="H500" s="17" t="str">
        <f t="shared" si="14"/>
        <v/>
      </c>
      <c r="I500" s="18">
        <f t="shared" si="9"/>
        <v>0.1666666667</v>
      </c>
      <c r="J500" s="19">
        <f t="shared" si="10"/>
        <v>0.1733333333</v>
      </c>
      <c r="K500" s="19"/>
      <c r="L500" s="19">
        <f t="shared" si="11"/>
        <v>0.1633333333</v>
      </c>
      <c r="M500" s="19">
        <f t="shared" si="12"/>
        <v>0.1766666667</v>
      </c>
      <c r="N500" s="19">
        <f t="shared" si="13"/>
        <v>0.1566666667</v>
      </c>
    </row>
    <row r="501" ht="24.75" customHeight="1">
      <c r="A501" s="21" t="s">
        <v>464</v>
      </c>
      <c r="B501" s="13">
        <f>IFERROR(__xludf.DUMMYFUNCTION("GOOGLEFINANCE(A501,""PRICE"")"),475.8)</f>
        <v>475.8</v>
      </c>
      <c r="C501" s="14">
        <f>IFERROR(__xludf.DUMMYFUNCTION("GOOGLEFINANCE(A501,""PRICEOPEN"")"),466.8)</f>
        <v>466.8</v>
      </c>
      <c r="D501" s="14">
        <f>IFERROR(__xludf.DUMMYFUNCTION("GOOGLEFINANCE(A501,""HIGH"")"),484.8)</f>
        <v>484.8</v>
      </c>
      <c r="E501" s="14">
        <f>IFERROR(__xludf.DUMMYFUNCTION("GOOGLEFINANCE(A501,""LOW"")"),464.3)</f>
        <v>464.3</v>
      </c>
      <c r="F501" s="15" t="str">
        <f t="shared" si="8"/>
        <v/>
      </c>
      <c r="G501" s="16">
        <f>IFERROR(__xludf.DUMMYFUNCTION("GOOGLEFINANCE(A501,""CLOSEYEST"")"),463.9)</f>
        <v>463.9</v>
      </c>
      <c r="H501" s="17" t="str">
        <f t="shared" si="14"/>
        <v/>
      </c>
      <c r="I501" s="18">
        <f t="shared" si="9"/>
        <v>471</v>
      </c>
      <c r="J501" s="19">
        <f t="shared" si="10"/>
        <v>477.7</v>
      </c>
      <c r="K501" s="19"/>
      <c r="L501" s="19">
        <f t="shared" si="11"/>
        <v>457.2</v>
      </c>
      <c r="M501" s="19">
        <f t="shared" si="12"/>
        <v>491.5</v>
      </c>
      <c r="N501" s="19">
        <f t="shared" si="13"/>
        <v>450.5</v>
      </c>
    </row>
    <row r="502" ht="24.75" customHeight="1">
      <c r="A502" s="21" t="s">
        <v>465</v>
      </c>
      <c r="B502" s="13">
        <f>IFERROR(__xludf.DUMMYFUNCTION("GOOGLEFINANCE(A502,""PRICE"")"),348.05)</f>
        <v>348.05</v>
      </c>
      <c r="C502" s="14">
        <f>IFERROR(__xludf.DUMMYFUNCTION("GOOGLEFINANCE(A502,""PRICEOPEN"")"),352.0)</f>
        <v>352</v>
      </c>
      <c r="D502" s="14">
        <f>IFERROR(__xludf.DUMMYFUNCTION("GOOGLEFINANCE(A502,""HIGH"")"),354.95)</f>
        <v>354.95</v>
      </c>
      <c r="E502" s="14">
        <f>IFERROR(__xludf.DUMMYFUNCTION("GOOGLEFINANCE(A502,""LOW"")"),344.15)</f>
        <v>344.15</v>
      </c>
      <c r="F502" s="15" t="str">
        <f t="shared" si="8"/>
        <v/>
      </c>
      <c r="G502" s="16">
        <f>IFERROR(__xludf.DUMMYFUNCTION("GOOGLEFINANCE(A502,""CLOSEYEST"")"),343.7)</f>
        <v>343.7</v>
      </c>
      <c r="H502" s="17" t="str">
        <f t="shared" si="14"/>
        <v>GAP UP</v>
      </c>
      <c r="I502" s="18">
        <f t="shared" si="9"/>
        <v>347.6</v>
      </c>
      <c r="J502" s="19">
        <f t="shared" si="10"/>
        <v>351.05</v>
      </c>
      <c r="K502" s="19"/>
      <c r="L502" s="19">
        <f t="shared" si="11"/>
        <v>340.25</v>
      </c>
      <c r="M502" s="19">
        <f t="shared" si="12"/>
        <v>358.4</v>
      </c>
      <c r="N502" s="19">
        <f t="shared" si="13"/>
        <v>336.8</v>
      </c>
    </row>
    <row r="503" ht="24.75" customHeight="1">
      <c r="A503" s="21" t="s">
        <v>466</v>
      </c>
      <c r="B503" s="13">
        <f>IFERROR(__xludf.DUMMYFUNCTION("GOOGLEFINANCE(A503,""PRICE"")"),15.48)</f>
        <v>15.48</v>
      </c>
      <c r="C503" s="14">
        <f>IFERROR(__xludf.DUMMYFUNCTION("GOOGLEFINANCE(A503,""PRICEOPEN"")"),15.48)</f>
        <v>15.48</v>
      </c>
      <c r="D503" s="14">
        <f>IFERROR(__xludf.DUMMYFUNCTION("GOOGLEFINANCE(A503,""HIGH"")"),15.53)</f>
        <v>15.53</v>
      </c>
      <c r="E503" s="14">
        <f>IFERROR(__xludf.DUMMYFUNCTION("GOOGLEFINANCE(A503,""LOW"")"),15.48)</f>
        <v>15.48</v>
      </c>
      <c r="F503" s="15" t="str">
        <f t="shared" si="8"/>
        <v>BUY</v>
      </c>
      <c r="G503" s="16">
        <f>IFERROR(__xludf.DUMMYFUNCTION("GOOGLEFINANCE(A503,""CLOSEYEST"")"),15.49)</f>
        <v>15.49</v>
      </c>
      <c r="H503" s="17" t="str">
        <f t="shared" si="14"/>
        <v/>
      </c>
      <c r="I503" s="18">
        <f t="shared" si="9"/>
        <v>15.5</v>
      </c>
      <c r="J503" s="19">
        <f t="shared" si="10"/>
        <v>15.52</v>
      </c>
      <c r="K503" s="19"/>
      <c r="L503" s="19">
        <f t="shared" si="11"/>
        <v>15.47</v>
      </c>
      <c r="M503" s="19">
        <f t="shared" si="12"/>
        <v>15.55</v>
      </c>
      <c r="N503" s="19">
        <f t="shared" si="13"/>
        <v>15.45</v>
      </c>
    </row>
    <row r="504" ht="24.75" customHeight="1">
      <c r="A504" s="21" t="s">
        <v>467</v>
      </c>
      <c r="B504" s="13">
        <f>IFERROR(__xludf.DUMMYFUNCTION("GOOGLEFINANCE(A504,""PRICE"")"),3406.0)</f>
        <v>3406</v>
      </c>
      <c r="C504" s="14">
        <f>IFERROR(__xludf.DUMMYFUNCTION("GOOGLEFINANCE(A504,""PRICEOPEN"")"),3385.0)</f>
        <v>3385</v>
      </c>
      <c r="D504" s="14">
        <f>IFERROR(__xludf.DUMMYFUNCTION("GOOGLEFINANCE(A504,""HIGH"")"),3442.5)</f>
        <v>3442.5</v>
      </c>
      <c r="E504" s="14">
        <f>IFERROR(__xludf.DUMMYFUNCTION("GOOGLEFINANCE(A504,""LOW"")"),3342.7)</f>
        <v>3342.7</v>
      </c>
      <c r="F504" s="15" t="str">
        <f t="shared" si="8"/>
        <v/>
      </c>
      <c r="G504" s="16">
        <f>IFERROR(__xludf.DUMMYFUNCTION("GOOGLEFINANCE(A504,""CLOSEYEST"")"),3376.5)</f>
        <v>3376.5</v>
      </c>
      <c r="H504" s="17" t="str">
        <f t="shared" si="14"/>
        <v/>
      </c>
      <c r="I504" s="18">
        <f t="shared" si="9"/>
        <v>3387.233333</v>
      </c>
      <c r="J504" s="19">
        <f t="shared" si="10"/>
        <v>3431.766667</v>
      </c>
      <c r="K504" s="19"/>
      <c r="L504" s="19">
        <f t="shared" si="11"/>
        <v>3331.966667</v>
      </c>
      <c r="M504" s="19">
        <f t="shared" si="12"/>
        <v>3487.033333</v>
      </c>
      <c r="N504" s="19">
        <f t="shared" si="13"/>
        <v>3287.433333</v>
      </c>
    </row>
    <row r="505" ht="24.75" customHeight="1">
      <c r="A505" s="21" t="s">
        <v>468</v>
      </c>
      <c r="B505" s="13">
        <f>IFERROR(__xludf.DUMMYFUNCTION("GOOGLEFINANCE(A505,""PRICE"")"),1039.4)</f>
        <v>1039.4</v>
      </c>
      <c r="C505" s="14">
        <f>IFERROR(__xludf.DUMMYFUNCTION("GOOGLEFINANCE(A505,""PRICEOPEN"")"),1036.0)</f>
        <v>1036</v>
      </c>
      <c r="D505" s="14">
        <f>IFERROR(__xludf.DUMMYFUNCTION("GOOGLEFINANCE(A505,""HIGH"")"),1061.8)</f>
        <v>1061.8</v>
      </c>
      <c r="E505" s="14">
        <f>IFERROR(__xludf.DUMMYFUNCTION("GOOGLEFINANCE(A505,""LOW"")"),1026.8)</f>
        <v>1026.8</v>
      </c>
      <c r="F505" s="15" t="str">
        <f t="shared" si="8"/>
        <v/>
      </c>
      <c r="G505" s="16">
        <f>IFERROR(__xludf.DUMMYFUNCTION("GOOGLEFINANCE(A505,""CLOSEYEST"")"),1028.1)</f>
        <v>1028.1</v>
      </c>
      <c r="H505" s="17" t="str">
        <f t="shared" si="14"/>
        <v/>
      </c>
      <c r="I505" s="18">
        <f t="shared" si="9"/>
        <v>1038.9</v>
      </c>
      <c r="J505" s="19">
        <f t="shared" si="10"/>
        <v>1051</v>
      </c>
      <c r="K505" s="19"/>
      <c r="L505" s="19">
        <f t="shared" si="11"/>
        <v>1016</v>
      </c>
      <c r="M505" s="19">
        <f t="shared" si="12"/>
        <v>1073.9</v>
      </c>
      <c r="N505" s="19">
        <f t="shared" si="13"/>
        <v>1003.9</v>
      </c>
    </row>
    <row r="506" ht="24.75" customHeight="1">
      <c r="A506" s="21" t="s">
        <v>469</v>
      </c>
      <c r="B506" s="13">
        <f>IFERROR(__xludf.DUMMYFUNCTION("GOOGLEFINANCE(A506,""PRICE"")"),351.4)</f>
        <v>351.4</v>
      </c>
      <c r="C506" s="14">
        <f>IFERROR(__xludf.DUMMYFUNCTION("GOOGLEFINANCE(A506,""PRICEOPEN"")"),339.3)</f>
        <v>339.3</v>
      </c>
      <c r="D506" s="14">
        <f>IFERROR(__xludf.DUMMYFUNCTION("GOOGLEFINANCE(A506,""HIGH"")"),351.7)</f>
        <v>351.7</v>
      </c>
      <c r="E506" s="14">
        <f>IFERROR(__xludf.DUMMYFUNCTION("GOOGLEFINANCE(A506,""LOW"")"),337.7)</f>
        <v>337.7</v>
      </c>
      <c r="F506" s="15" t="str">
        <f t="shared" si="8"/>
        <v/>
      </c>
      <c r="G506" s="16">
        <f>IFERROR(__xludf.DUMMYFUNCTION("GOOGLEFINANCE(A506,""CLOSEYEST"")"),339.25)</f>
        <v>339.25</v>
      </c>
      <c r="H506" s="17" t="str">
        <f t="shared" si="14"/>
        <v/>
      </c>
      <c r="I506" s="18">
        <f t="shared" si="9"/>
        <v>342.8833333</v>
      </c>
      <c r="J506" s="19">
        <f t="shared" si="10"/>
        <v>348.0666667</v>
      </c>
      <c r="K506" s="19"/>
      <c r="L506" s="19">
        <f t="shared" si="11"/>
        <v>334.0666667</v>
      </c>
      <c r="M506" s="19">
        <f t="shared" si="12"/>
        <v>356.8833333</v>
      </c>
      <c r="N506" s="19">
        <f t="shared" si="13"/>
        <v>328.8833333</v>
      </c>
    </row>
    <row r="507" ht="24.75" customHeight="1">
      <c r="A507" s="21" t="s">
        <v>470</v>
      </c>
      <c r="B507" s="13">
        <f>IFERROR(__xludf.DUMMYFUNCTION("GOOGLEFINANCE(A507,""PRICE"")"),1052.0)</f>
        <v>1052</v>
      </c>
      <c r="C507" s="14">
        <f>IFERROR(__xludf.DUMMYFUNCTION("GOOGLEFINANCE(A507,""PRICEOPEN"")"),1053.5)</f>
        <v>1053.5</v>
      </c>
      <c r="D507" s="14">
        <f>IFERROR(__xludf.DUMMYFUNCTION("GOOGLEFINANCE(A507,""HIGH"")"),1059.1)</f>
        <v>1059.1</v>
      </c>
      <c r="E507" s="14">
        <f>IFERROR(__xludf.DUMMYFUNCTION("GOOGLEFINANCE(A507,""LOW"")"),1040.0)</f>
        <v>1040</v>
      </c>
      <c r="F507" s="15" t="str">
        <f t="shared" si="8"/>
        <v/>
      </c>
      <c r="G507" s="16">
        <f>IFERROR(__xludf.DUMMYFUNCTION("GOOGLEFINANCE(A507,""CLOSEYEST"")"),1053.7)</f>
        <v>1053.7</v>
      </c>
      <c r="H507" s="17" t="str">
        <f t="shared" si="14"/>
        <v/>
      </c>
      <c r="I507" s="18">
        <f t="shared" si="9"/>
        <v>1050.933333</v>
      </c>
      <c r="J507" s="19">
        <f t="shared" si="10"/>
        <v>1061.866667</v>
      </c>
      <c r="K507" s="19"/>
      <c r="L507" s="19">
        <f t="shared" si="11"/>
        <v>1042.766667</v>
      </c>
      <c r="M507" s="19">
        <f t="shared" si="12"/>
        <v>1070.033333</v>
      </c>
      <c r="N507" s="19">
        <f t="shared" si="13"/>
        <v>1031.833333</v>
      </c>
    </row>
    <row r="508" ht="24.75" customHeight="1">
      <c r="A508" s="21" t="s">
        <v>471</v>
      </c>
      <c r="B508" s="13">
        <f>IFERROR(__xludf.DUMMYFUNCTION("GOOGLEFINANCE(A508,""PRICE"")"),1565.0)</f>
        <v>1565</v>
      </c>
      <c r="C508" s="14">
        <f>IFERROR(__xludf.DUMMYFUNCTION("GOOGLEFINANCE(A508,""PRICEOPEN"")"),1549.1)</f>
        <v>1549.1</v>
      </c>
      <c r="D508" s="14">
        <f>IFERROR(__xludf.DUMMYFUNCTION("GOOGLEFINANCE(A508,""HIGH"")"),1581.1)</f>
        <v>1581.1</v>
      </c>
      <c r="E508" s="14">
        <f>IFERROR(__xludf.DUMMYFUNCTION("GOOGLEFINANCE(A508,""LOW"")"),1531.6)</f>
        <v>1531.6</v>
      </c>
      <c r="F508" s="15" t="str">
        <f t="shared" si="8"/>
        <v/>
      </c>
      <c r="G508" s="16">
        <f>IFERROR(__xludf.DUMMYFUNCTION("GOOGLEFINANCE(A508,""CLOSEYEST"")"),1547.1)</f>
        <v>1547.1</v>
      </c>
      <c r="H508" s="17" t="str">
        <f t="shared" si="14"/>
        <v/>
      </c>
      <c r="I508" s="18">
        <f t="shared" si="9"/>
        <v>1553.266667</v>
      </c>
      <c r="J508" s="19">
        <f t="shared" si="10"/>
        <v>1574.933333</v>
      </c>
      <c r="K508" s="19"/>
      <c r="L508" s="19">
        <f t="shared" si="11"/>
        <v>1525.433333</v>
      </c>
      <c r="M508" s="19">
        <f t="shared" si="12"/>
        <v>1602.766667</v>
      </c>
      <c r="N508" s="19">
        <f t="shared" si="13"/>
        <v>1503.766667</v>
      </c>
    </row>
    <row r="509" ht="24.75" customHeight="1">
      <c r="A509" s="21" t="s">
        <v>472</v>
      </c>
      <c r="B509" s="13">
        <f>IFERROR(__xludf.DUMMYFUNCTION("GOOGLEFINANCE(A509,""PRICE"")"),524.45)</f>
        <v>524.45</v>
      </c>
      <c r="C509" s="14">
        <f>IFERROR(__xludf.DUMMYFUNCTION("GOOGLEFINANCE(A509,""PRICEOPEN"")"),526.0)</f>
        <v>526</v>
      </c>
      <c r="D509" s="14">
        <f>IFERROR(__xludf.DUMMYFUNCTION("GOOGLEFINANCE(A509,""HIGH"")"),528.45)</f>
        <v>528.45</v>
      </c>
      <c r="E509" s="14">
        <f>IFERROR(__xludf.DUMMYFUNCTION("GOOGLEFINANCE(A509,""LOW"")"),520.1)</f>
        <v>520.1</v>
      </c>
      <c r="F509" s="15" t="str">
        <f t="shared" si="8"/>
        <v/>
      </c>
      <c r="G509" s="16">
        <f>IFERROR(__xludf.DUMMYFUNCTION("GOOGLEFINANCE(A509,""CLOSEYEST"")"),523.6)</f>
        <v>523.6</v>
      </c>
      <c r="H509" s="17" t="str">
        <f t="shared" si="14"/>
        <v/>
      </c>
      <c r="I509" s="18">
        <f t="shared" si="9"/>
        <v>524.05</v>
      </c>
      <c r="J509" s="19">
        <f t="shared" si="10"/>
        <v>528</v>
      </c>
      <c r="K509" s="19"/>
      <c r="L509" s="19">
        <f t="shared" si="11"/>
        <v>519.65</v>
      </c>
      <c r="M509" s="19">
        <f t="shared" si="12"/>
        <v>532.4</v>
      </c>
      <c r="N509" s="19">
        <f t="shared" si="13"/>
        <v>515.7</v>
      </c>
    </row>
    <row r="510" ht="24.75" customHeight="1">
      <c r="A510" s="21" t="s">
        <v>473</v>
      </c>
      <c r="B510" s="13">
        <f>IFERROR(__xludf.DUMMYFUNCTION("GOOGLEFINANCE(A510,""PRICE"")"),28.57)</f>
        <v>28.57</v>
      </c>
      <c r="C510" s="14">
        <f>IFERROR(__xludf.DUMMYFUNCTION("GOOGLEFINANCE(A510,""PRICEOPEN"")"),29.0)</f>
        <v>29</v>
      </c>
      <c r="D510" s="14">
        <f>IFERROR(__xludf.DUMMYFUNCTION("GOOGLEFINANCE(A510,""HIGH"")"),29.24)</f>
        <v>29.24</v>
      </c>
      <c r="E510" s="14">
        <f>IFERROR(__xludf.DUMMYFUNCTION("GOOGLEFINANCE(A510,""LOW"")"),28.47)</f>
        <v>28.47</v>
      </c>
      <c r="F510" s="15" t="str">
        <f t="shared" si="8"/>
        <v/>
      </c>
      <c r="G510" s="16">
        <f>IFERROR(__xludf.DUMMYFUNCTION("GOOGLEFINANCE(A510,""CLOSEYEST"")"),28.85)</f>
        <v>28.85</v>
      </c>
      <c r="H510" s="17" t="str">
        <f t="shared" si="14"/>
        <v/>
      </c>
      <c r="I510" s="18">
        <f t="shared" si="9"/>
        <v>28.85333333</v>
      </c>
      <c r="J510" s="19">
        <f t="shared" si="10"/>
        <v>29.23666667</v>
      </c>
      <c r="K510" s="19"/>
      <c r="L510" s="19">
        <f t="shared" si="11"/>
        <v>28.46666667</v>
      </c>
      <c r="M510" s="19">
        <f t="shared" si="12"/>
        <v>29.62333333</v>
      </c>
      <c r="N510" s="19">
        <f t="shared" si="13"/>
        <v>28.08333333</v>
      </c>
    </row>
    <row r="511" ht="24.75" customHeight="1">
      <c r="A511" s="21" t="s">
        <v>474</v>
      </c>
      <c r="B511" s="13">
        <f>IFERROR(__xludf.DUMMYFUNCTION("GOOGLEFINANCE(A511,""PRICE"")"),1179.0)</f>
        <v>1179</v>
      </c>
      <c r="C511" s="14">
        <f>IFERROR(__xludf.DUMMYFUNCTION("GOOGLEFINANCE(A511,""PRICEOPEN"")"),1150.0)</f>
        <v>1150</v>
      </c>
      <c r="D511" s="14">
        <f>IFERROR(__xludf.DUMMYFUNCTION("GOOGLEFINANCE(A511,""HIGH"")"),1190.9)</f>
        <v>1190.9</v>
      </c>
      <c r="E511" s="14">
        <f>IFERROR(__xludf.DUMMYFUNCTION("GOOGLEFINANCE(A511,""LOW"")"),1132.5)</f>
        <v>1132.5</v>
      </c>
      <c r="F511" s="15" t="str">
        <f t="shared" si="8"/>
        <v/>
      </c>
      <c r="G511" s="16">
        <f>IFERROR(__xludf.DUMMYFUNCTION("GOOGLEFINANCE(A511,""CLOSEYEST"")"),1148.8)</f>
        <v>1148.8</v>
      </c>
      <c r="H511" s="17" t="str">
        <f t="shared" si="14"/>
        <v/>
      </c>
      <c r="I511" s="18">
        <f t="shared" si="9"/>
        <v>1157.4</v>
      </c>
      <c r="J511" s="19">
        <f t="shared" si="10"/>
        <v>1182.3</v>
      </c>
      <c r="K511" s="19"/>
      <c r="L511" s="19">
        <f t="shared" si="11"/>
        <v>1123.9</v>
      </c>
      <c r="M511" s="19">
        <f t="shared" si="12"/>
        <v>1215.8</v>
      </c>
      <c r="N511" s="19">
        <f t="shared" si="13"/>
        <v>1099</v>
      </c>
    </row>
    <row r="512" ht="24.75" customHeight="1">
      <c r="A512" s="21" t="s">
        <v>475</v>
      </c>
      <c r="B512" s="13" t="str">
        <f>IFERROR(__xludf.DUMMYFUNCTION("GOOGLEFINANCE(A512,""PRICE"")"),"#N/A")</f>
        <v>#N/A</v>
      </c>
      <c r="C512" s="14" t="str">
        <f>IFERROR(__xludf.DUMMYFUNCTION("GOOGLEFINANCE(A512,""PRICEOPEN"")"),"#N/A")</f>
        <v>#N/A</v>
      </c>
      <c r="D512" s="14" t="str">
        <f>IFERROR(__xludf.DUMMYFUNCTION("GOOGLEFINANCE(A512,""HIGH"")"),"#N/A")</f>
        <v>#N/A</v>
      </c>
      <c r="E512" s="14" t="str">
        <f>IFERROR(__xludf.DUMMYFUNCTION("GOOGLEFINANCE(A512,""LOW"")"),"#N/A")</f>
        <v>#N/A</v>
      </c>
      <c r="F512" s="15" t="str">
        <f t="shared" si="8"/>
        <v>#N/A</v>
      </c>
      <c r="G512" s="16" t="str">
        <f>IFERROR(__xludf.DUMMYFUNCTION("GOOGLEFINANCE(A512,""CLOSEYEST"")"),"#N/A")</f>
        <v>#N/A</v>
      </c>
      <c r="H512" s="17" t="str">
        <f t="shared" si="14"/>
        <v>#N/A</v>
      </c>
      <c r="I512" s="18" t="str">
        <f t="shared" si="9"/>
        <v>#N/A</v>
      </c>
      <c r="J512" s="19" t="str">
        <f t="shared" si="10"/>
        <v>#N/A</v>
      </c>
      <c r="K512" s="19"/>
      <c r="L512" s="19" t="str">
        <f t="shared" si="11"/>
        <v>#N/A</v>
      </c>
      <c r="M512" s="19" t="str">
        <f t="shared" si="12"/>
        <v>#N/A</v>
      </c>
      <c r="N512" s="19" t="str">
        <f t="shared" si="13"/>
        <v>#N/A</v>
      </c>
    </row>
    <row r="513" ht="24.75" customHeight="1">
      <c r="A513" s="21" t="s">
        <v>476</v>
      </c>
      <c r="B513" s="13">
        <f>IFERROR(__xludf.DUMMYFUNCTION("GOOGLEFINANCE(A513,""PRICE"")"),1010.5)</f>
        <v>1010.5</v>
      </c>
      <c r="C513" s="14">
        <f>IFERROR(__xludf.DUMMYFUNCTION("GOOGLEFINANCE(A513,""PRICEOPEN"")"),1022.0)</f>
        <v>1022</v>
      </c>
      <c r="D513" s="14">
        <f>IFERROR(__xludf.DUMMYFUNCTION("GOOGLEFINANCE(A513,""HIGH"")"),1027.45)</f>
        <v>1027.45</v>
      </c>
      <c r="E513" s="14">
        <f>IFERROR(__xludf.DUMMYFUNCTION("GOOGLEFINANCE(A513,""LOW"")"),1005.1)</f>
        <v>1005.1</v>
      </c>
      <c r="F513" s="15" t="str">
        <f t="shared" si="8"/>
        <v/>
      </c>
      <c r="G513" s="16">
        <f>IFERROR(__xludf.DUMMYFUNCTION("GOOGLEFINANCE(A513,""CLOSEYEST"")"),1003.7)</f>
        <v>1003.7</v>
      </c>
      <c r="H513" s="17" t="str">
        <f t="shared" si="14"/>
        <v>GAP UP</v>
      </c>
      <c r="I513" s="18">
        <f t="shared" si="9"/>
        <v>1012.083333</v>
      </c>
      <c r="J513" s="19">
        <f t="shared" si="10"/>
        <v>1019.066667</v>
      </c>
      <c r="K513" s="19"/>
      <c r="L513" s="19">
        <f t="shared" si="11"/>
        <v>996.7166667</v>
      </c>
      <c r="M513" s="19">
        <f t="shared" si="12"/>
        <v>1034.433333</v>
      </c>
      <c r="N513" s="19">
        <f t="shared" si="13"/>
        <v>989.7333333</v>
      </c>
    </row>
    <row r="514" ht="24.75" customHeight="1">
      <c r="A514" s="21" t="s">
        <v>477</v>
      </c>
      <c r="B514" s="13">
        <f>IFERROR(__xludf.DUMMYFUNCTION("GOOGLEFINANCE(A514,""PRICE"")"),2886.0)</f>
        <v>2886</v>
      </c>
      <c r="C514" s="14">
        <f>IFERROR(__xludf.DUMMYFUNCTION("GOOGLEFINANCE(A514,""PRICEOPEN"")"),2841.0)</f>
        <v>2841</v>
      </c>
      <c r="D514" s="14">
        <f>IFERROR(__xludf.DUMMYFUNCTION("GOOGLEFINANCE(A514,""HIGH"")"),2890.0)</f>
        <v>2890</v>
      </c>
      <c r="E514" s="14">
        <f>IFERROR(__xludf.DUMMYFUNCTION("GOOGLEFINANCE(A514,""LOW"")"),2829.3)</f>
        <v>2829.3</v>
      </c>
      <c r="F514" s="15" t="str">
        <f t="shared" si="8"/>
        <v/>
      </c>
      <c r="G514" s="16">
        <f>IFERROR(__xludf.DUMMYFUNCTION("GOOGLEFINANCE(A514,""CLOSEYEST"")"),2841.6)</f>
        <v>2841.6</v>
      </c>
      <c r="H514" s="17" t="str">
        <f t="shared" si="14"/>
        <v/>
      </c>
      <c r="I514" s="18">
        <f t="shared" si="9"/>
        <v>2853.633333</v>
      </c>
      <c r="J514" s="19">
        <f t="shared" si="10"/>
        <v>2877.966667</v>
      </c>
      <c r="K514" s="19"/>
      <c r="L514" s="19">
        <f t="shared" si="11"/>
        <v>2817.266667</v>
      </c>
      <c r="M514" s="19">
        <f t="shared" si="12"/>
        <v>2914.333333</v>
      </c>
      <c r="N514" s="19">
        <f t="shared" si="13"/>
        <v>2792.933333</v>
      </c>
    </row>
    <row r="515" ht="24.75" customHeight="1">
      <c r="A515" s="21" t="s">
        <v>478</v>
      </c>
      <c r="B515" s="13" t="str">
        <f>IFERROR(__xludf.DUMMYFUNCTION("GOOGLEFINANCE(A515,""PRICE"")"),"#N/A")</f>
        <v>#N/A</v>
      </c>
      <c r="C515" s="14" t="str">
        <f>IFERROR(__xludf.DUMMYFUNCTION("GOOGLEFINANCE(A515,""PRICEOPEN"")"),"#N/A")</f>
        <v>#N/A</v>
      </c>
      <c r="D515" s="14" t="str">
        <f>IFERROR(__xludf.DUMMYFUNCTION("GOOGLEFINANCE(A515,""HIGH"")"),"#N/A")</f>
        <v>#N/A</v>
      </c>
      <c r="E515" s="14" t="str">
        <f>IFERROR(__xludf.DUMMYFUNCTION("GOOGLEFINANCE(A515,""LOW"")"),"#N/A")</f>
        <v>#N/A</v>
      </c>
      <c r="F515" s="15" t="str">
        <f t="shared" si="8"/>
        <v>#N/A</v>
      </c>
      <c r="G515" s="16" t="str">
        <f>IFERROR(__xludf.DUMMYFUNCTION("GOOGLEFINANCE(A515,""CLOSEYEST"")"),"#N/A")</f>
        <v>#N/A</v>
      </c>
      <c r="H515" s="17" t="str">
        <f t="shared" si="14"/>
        <v>#N/A</v>
      </c>
      <c r="I515" s="18" t="str">
        <f t="shared" si="9"/>
        <v>#N/A</v>
      </c>
      <c r="J515" s="19" t="str">
        <f t="shared" si="10"/>
        <v>#N/A</v>
      </c>
      <c r="K515" s="19"/>
      <c r="L515" s="19" t="str">
        <f t="shared" si="11"/>
        <v>#N/A</v>
      </c>
      <c r="M515" s="19" t="str">
        <f t="shared" si="12"/>
        <v>#N/A</v>
      </c>
      <c r="N515" s="19" t="str">
        <f t="shared" si="13"/>
        <v>#N/A</v>
      </c>
    </row>
    <row r="516" ht="24.75" customHeight="1">
      <c r="A516" s="21" t="s">
        <v>479</v>
      </c>
      <c r="B516" s="13">
        <f>IFERROR(__xludf.DUMMYFUNCTION("GOOGLEFINANCE(A516,""PRICE"")"),16.75)</f>
        <v>16.75</v>
      </c>
      <c r="C516" s="14">
        <f>IFERROR(__xludf.DUMMYFUNCTION("GOOGLEFINANCE(A516,""PRICEOPEN"")"),16.45)</f>
        <v>16.45</v>
      </c>
      <c r="D516" s="14">
        <f>IFERROR(__xludf.DUMMYFUNCTION("GOOGLEFINANCE(A516,""HIGH"")"),16.8)</f>
        <v>16.8</v>
      </c>
      <c r="E516" s="14">
        <f>IFERROR(__xludf.DUMMYFUNCTION("GOOGLEFINANCE(A516,""LOW"")"),16.44)</f>
        <v>16.44</v>
      </c>
      <c r="F516" s="15" t="str">
        <f t="shared" si="8"/>
        <v/>
      </c>
      <c r="G516" s="16">
        <f>IFERROR(__xludf.DUMMYFUNCTION("GOOGLEFINANCE(A516,""CLOSEYEST"")"),16.45)</f>
        <v>16.45</v>
      </c>
      <c r="H516" s="17" t="str">
        <f t="shared" si="14"/>
        <v/>
      </c>
      <c r="I516" s="18">
        <f t="shared" si="9"/>
        <v>16.56333333</v>
      </c>
      <c r="J516" s="19">
        <f t="shared" si="10"/>
        <v>16.68666667</v>
      </c>
      <c r="K516" s="19"/>
      <c r="L516" s="19">
        <f t="shared" si="11"/>
        <v>16.32666667</v>
      </c>
      <c r="M516" s="19">
        <f t="shared" si="12"/>
        <v>16.92333333</v>
      </c>
      <c r="N516" s="19">
        <f t="shared" si="13"/>
        <v>16.20333333</v>
      </c>
    </row>
    <row r="517" ht="24.75" customHeight="1">
      <c r="A517" s="21" t="s">
        <v>480</v>
      </c>
      <c r="B517" s="13">
        <f>IFERROR(__xludf.DUMMYFUNCTION("GOOGLEFINANCE(A517,""PRICE"")"),313.2)</f>
        <v>313.2</v>
      </c>
      <c r="C517" s="14">
        <f>IFERROR(__xludf.DUMMYFUNCTION("GOOGLEFINANCE(A517,""PRICEOPEN"")"),313.1)</f>
        <v>313.1</v>
      </c>
      <c r="D517" s="14">
        <f>IFERROR(__xludf.DUMMYFUNCTION("GOOGLEFINANCE(A517,""HIGH"")"),313.75)</f>
        <v>313.75</v>
      </c>
      <c r="E517" s="14">
        <f>IFERROR(__xludf.DUMMYFUNCTION("GOOGLEFINANCE(A517,""LOW"")"),303.0)</f>
        <v>303</v>
      </c>
      <c r="F517" s="15" t="str">
        <f t="shared" si="8"/>
        <v/>
      </c>
      <c r="G517" s="16">
        <f>IFERROR(__xludf.DUMMYFUNCTION("GOOGLEFINANCE(A517,""CLOSEYEST"")"),309.2)</f>
        <v>309.2</v>
      </c>
      <c r="H517" s="17" t="str">
        <f t="shared" si="14"/>
        <v>GAP UP</v>
      </c>
      <c r="I517" s="18">
        <f t="shared" si="9"/>
        <v>308.65</v>
      </c>
      <c r="J517" s="19">
        <f t="shared" si="10"/>
        <v>314.3</v>
      </c>
      <c r="K517" s="19"/>
      <c r="L517" s="19">
        <f t="shared" si="11"/>
        <v>303.55</v>
      </c>
      <c r="M517" s="19">
        <f t="shared" si="12"/>
        <v>319.4</v>
      </c>
      <c r="N517" s="19">
        <f t="shared" si="13"/>
        <v>297.9</v>
      </c>
    </row>
    <row r="518" ht="24.75" customHeight="1">
      <c r="A518" s="21" t="s">
        <v>481</v>
      </c>
      <c r="B518" s="13">
        <f>IFERROR(__xludf.DUMMYFUNCTION("GOOGLEFINANCE(A518,""PRICE"")"),300.0)</f>
        <v>300</v>
      </c>
      <c r="C518" s="14">
        <f>IFERROR(__xludf.DUMMYFUNCTION("GOOGLEFINANCE(A518,""PRICEOPEN"")"),293.5)</f>
        <v>293.5</v>
      </c>
      <c r="D518" s="14">
        <f>IFERROR(__xludf.DUMMYFUNCTION("GOOGLEFINANCE(A518,""HIGH"")"),300.75)</f>
        <v>300.75</v>
      </c>
      <c r="E518" s="14">
        <f>IFERROR(__xludf.DUMMYFUNCTION("GOOGLEFINANCE(A518,""LOW"")"),283.7)</f>
        <v>283.7</v>
      </c>
      <c r="F518" s="15" t="str">
        <f t="shared" si="8"/>
        <v/>
      </c>
      <c r="G518" s="16">
        <f>IFERROR(__xludf.DUMMYFUNCTION("GOOGLEFINANCE(A518,""CLOSEYEST"")"),297.3)</f>
        <v>297.3</v>
      </c>
      <c r="H518" s="17" t="str">
        <f t="shared" si="14"/>
        <v>GAP DOWN</v>
      </c>
      <c r="I518" s="18">
        <f t="shared" si="9"/>
        <v>293.9166667</v>
      </c>
      <c r="J518" s="19">
        <f t="shared" si="10"/>
        <v>304.1333333</v>
      </c>
      <c r="K518" s="19"/>
      <c r="L518" s="19">
        <f t="shared" si="11"/>
        <v>287.0833333</v>
      </c>
      <c r="M518" s="19">
        <f t="shared" si="12"/>
        <v>310.9666667</v>
      </c>
      <c r="N518" s="19">
        <f t="shared" si="13"/>
        <v>276.8666667</v>
      </c>
    </row>
    <row r="519" ht="24.75" customHeight="1">
      <c r="A519" s="21" t="s">
        <v>482</v>
      </c>
      <c r="B519" s="13">
        <f>IFERROR(__xludf.DUMMYFUNCTION("GOOGLEFINANCE(A519,""PRICE"")"),201.85)</f>
        <v>201.85</v>
      </c>
      <c r="C519" s="14">
        <f>IFERROR(__xludf.DUMMYFUNCTION("GOOGLEFINANCE(A519,""PRICEOPEN"")"),204.0)</f>
        <v>204</v>
      </c>
      <c r="D519" s="14">
        <f>IFERROR(__xludf.DUMMYFUNCTION("GOOGLEFINANCE(A519,""HIGH"")"),204.3)</f>
        <v>204.3</v>
      </c>
      <c r="E519" s="14">
        <f>IFERROR(__xludf.DUMMYFUNCTION("GOOGLEFINANCE(A519,""LOW"")"),199.02)</f>
        <v>199.02</v>
      </c>
      <c r="F519" s="15" t="str">
        <f t="shared" si="8"/>
        <v/>
      </c>
      <c r="G519" s="16">
        <f>IFERROR(__xludf.DUMMYFUNCTION("GOOGLEFINANCE(A519,""CLOSEYEST"")"),203.22)</f>
        <v>203.22</v>
      </c>
      <c r="H519" s="17" t="str">
        <f t="shared" si="14"/>
        <v/>
      </c>
      <c r="I519" s="18">
        <f t="shared" si="9"/>
        <v>202.18</v>
      </c>
      <c r="J519" s="19">
        <f t="shared" si="10"/>
        <v>205.34</v>
      </c>
      <c r="K519" s="19"/>
      <c r="L519" s="19">
        <f t="shared" si="11"/>
        <v>200.06</v>
      </c>
      <c r="M519" s="19">
        <f t="shared" si="12"/>
        <v>207.46</v>
      </c>
      <c r="N519" s="19">
        <f t="shared" si="13"/>
        <v>196.9</v>
      </c>
    </row>
    <row r="520" ht="24.75" customHeight="1">
      <c r="A520" s="21" t="s">
        <v>483</v>
      </c>
      <c r="B520" s="13">
        <f>IFERROR(__xludf.DUMMYFUNCTION("GOOGLEFINANCE(A520,""PRICE"")"),236.4)</f>
        <v>236.4</v>
      </c>
      <c r="C520" s="14">
        <f>IFERROR(__xludf.DUMMYFUNCTION("GOOGLEFINANCE(A520,""PRICEOPEN"")"),236.98)</f>
        <v>236.98</v>
      </c>
      <c r="D520" s="14">
        <f>IFERROR(__xludf.DUMMYFUNCTION("GOOGLEFINANCE(A520,""HIGH"")"),237.8)</f>
        <v>237.8</v>
      </c>
      <c r="E520" s="14">
        <f>IFERROR(__xludf.DUMMYFUNCTION("GOOGLEFINANCE(A520,""LOW"")"),231.4)</f>
        <v>231.4</v>
      </c>
      <c r="F520" s="15" t="str">
        <f t="shared" si="8"/>
        <v/>
      </c>
      <c r="G520" s="16">
        <f>IFERROR(__xludf.DUMMYFUNCTION("GOOGLEFINANCE(A520,""CLOSEYEST"")"),234.12)</f>
        <v>234.12</v>
      </c>
      <c r="H520" s="17" t="str">
        <f t="shared" si="14"/>
        <v>GAP UP</v>
      </c>
      <c r="I520" s="18">
        <f t="shared" si="9"/>
        <v>234.44</v>
      </c>
      <c r="J520" s="19">
        <f t="shared" si="10"/>
        <v>237.48</v>
      </c>
      <c r="K520" s="19"/>
      <c r="L520" s="19">
        <f t="shared" si="11"/>
        <v>231.08</v>
      </c>
      <c r="M520" s="19">
        <f t="shared" si="12"/>
        <v>240.84</v>
      </c>
      <c r="N520" s="19">
        <f t="shared" si="13"/>
        <v>228.04</v>
      </c>
    </row>
    <row r="521" ht="24.75" customHeight="1">
      <c r="A521" s="21" t="s">
        <v>484</v>
      </c>
      <c r="B521" s="13">
        <f>IFERROR(__xludf.DUMMYFUNCTION("GOOGLEFINANCE(A521,""PRICE"")"),36.0)</f>
        <v>36</v>
      </c>
      <c r="C521" s="14">
        <f>IFERROR(__xludf.DUMMYFUNCTION("GOOGLEFINANCE(A521,""PRICEOPEN"")"),35.69)</f>
        <v>35.69</v>
      </c>
      <c r="D521" s="14">
        <f>IFERROR(__xludf.DUMMYFUNCTION("GOOGLEFINANCE(A521,""HIGH"")"),36.5)</f>
        <v>36.5</v>
      </c>
      <c r="E521" s="14">
        <f>IFERROR(__xludf.DUMMYFUNCTION("GOOGLEFINANCE(A521,""LOW"")"),35.52)</f>
        <v>35.52</v>
      </c>
      <c r="F521" s="15" t="str">
        <f t="shared" si="8"/>
        <v/>
      </c>
      <c r="G521" s="16">
        <f>IFERROR(__xludf.DUMMYFUNCTION("GOOGLEFINANCE(A521,""CLOSEYEST"")"),35.69)</f>
        <v>35.69</v>
      </c>
      <c r="H521" s="17" t="str">
        <f t="shared" si="14"/>
        <v/>
      </c>
      <c r="I521" s="18">
        <f t="shared" si="9"/>
        <v>35.90333333</v>
      </c>
      <c r="J521" s="19">
        <f t="shared" si="10"/>
        <v>36.28666667</v>
      </c>
      <c r="K521" s="19"/>
      <c r="L521" s="19">
        <f t="shared" si="11"/>
        <v>35.30666667</v>
      </c>
      <c r="M521" s="19">
        <f t="shared" si="12"/>
        <v>36.88333333</v>
      </c>
      <c r="N521" s="19">
        <f t="shared" si="13"/>
        <v>34.92333333</v>
      </c>
    </row>
    <row r="522" ht="24.75" customHeight="1">
      <c r="A522" s="21" t="s">
        <v>485</v>
      </c>
      <c r="B522" s="13">
        <f>IFERROR(__xludf.DUMMYFUNCTION("GOOGLEFINANCE(A522,""PRICE"")"),1729.1)</f>
        <v>1729.1</v>
      </c>
      <c r="C522" s="14">
        <f>IFERROR(__xludf.DUMMYFUNCTION("GOOGLEFINANCE(A522,""PRICEOPEN"")"),1748.9)</f>
        <v>1748.9</v>
      </c>
      <c r="D522" s="14">
        <f>IFERROR(__xludf.DUMMYFUNCTION("GOOGLEFINANCE(A522,""HIGH"")"),1748.9)</f>
        <v>1748.9</v>
      </c>
      <c r="E522" s="14">
        <f>IFERROR(__xludf.DUMMYFUNCTION("GOOGLEFINANCE(A522,""LOW"")"),1727.8)</f>
        <v>1727.8</v>
      </c>
      <c r="F522" s="15" t="str">
        <f t="shared" si="8"/>
        <v>SELL</v>
      </c>
      <c r="G522" s="16">
        <f>IFERROR(__xludf.DUMMYFUNCTION("GOOGLEFINANCE(A522,""CLOSEYEST"")"),1740.7)</f>
        <v>1740.7</v>
      </c>
      <c r="H522" s="17" t="str">
        <f t="shared" si="14"/>
        <v/>
      </c>
      <c r="I522" s="18">
        <f t="shared" si="9"/>
        <v>1739.133333</v>
      </c>
      <c r="J522" s="19">
        <f t="shared" si="10"/>
        <v>1750.466667</v>
      </c>
      <c r="K522" s="19"/>
      <c r="L522" s="19">
        <f t="shared" si="11"/>
        <v>1729.366667</v>
      </c>
      <c r="M522" s="19">
        <f t="shared" si="12"/>
        <v>1760.233333</v>
      </c>
      <c r="N522" s="19">
        <f t="shared" si="13"/>
        <v>1718.033333</v>
      </c>
    </row>
    <row r="523" ht="24.75" customHeight="1">
      <c r="A523" s="21" t="s">
        <v>486</v>
      </c>
      <c r="B523" s="13">
        <f>IFERROR(__xludf.DUMMYFUNCTION("GOOGLEFINANCE(A523,""PRICE"")"),592.5)</f>
        <v>592.5</v>
      </c>
      <c r="C523" s="14">
        <f>IFERROR(__xludf.DUMMYFUNCTION("GOOGLEFINANCE(A523,""PRICEOPEN"")"),585.1)</f>
        <v>585.1</v>
      </c>
      <c r="D523" s="14">
        <f>IFERROR(__xludf.DUMMYFUNCTION("GOOGLEFINANCE(A523,""HIGH"")"),593.0)</f>
        <v>593</v>
      </c>
      <c r="E523" s="14">
        <f>IFERROR(__xludf.DUMMYFUNCTION("GOOGLEFINANCE(A523,""LOW"")"),583.65)</f>
        <v>583.65</v>
      </c>
      <c r="F523" s="15" t="str">
        <f t="shared" si="8"/>
        <v/>
      </c>
      <c r="G523" s="16">
        <f>IFERROR(__xludf.DUMMYFUNCTION("GOOGLEFINANCE(A523,""CLOSEYEST"")"),582.35)</f>
        <v>582.35</v>
      </c>
      <c r="H523" s="17" t="str">
        <f t="shared" si="14"/>
        <v/>
      </c>
      <c r="I523" s="18">
        <f t="shared" si="9"/>
        <v>586.3333333</v>
      </c>
      <c r="J523" s="19">
        <f t="shared" si="10"/>
        <v>589.0166667</v>
      </c>
      <c r="K523" s="19"/>
      <c r="L523" s="19">
        <f t="shared" si="11"/>
        <v>579.6666667</v>
      </c>
      <c r="M523" s="19">
        <f t="shared" si="12"/>
        <v>595.6833333</v>
      </c>
      <c r="N523" s="19">
        <f t="shared" si="13"/>
        <v>576.9833333</v>
      </c>
    </row>
    <row r="524" ht="24.75" customHeight="1">
      <c r="A524" s="21" t="s">
        <v>487</v>
      </c>
      <c r="B524" s="13">
        <f>IFERROR(__xludf.DUMMYFUNCTION("GOOGLEFINANCE(A524,""PRICE"")"),10065.0)</f>
        <v>10065</v>
      </c>
      <c r="C524" s="14">
        <f>IFERROR(__xludf.DUMMYFUNCTION("GOOGLEFINANCE(A524,""PRICEOPEN"")"),10145.0)</f>
        <v>10145</v>
      </c>
      <c r="D524" s="14">
        <f>IFERROR(__xludf.DUMMYFUNCTION("GOOGLEFINANCE(A524,""HIGH"")"),10225.0)</f>
        <v>10225</v>
      </c>
      <c r="E524" s="14">
        <f>IFERROR(__xludf.DUMMYFUNCTION("GOOGLEFINANCE(A524,""LOW"")"),9976.0)</f>
        <v>9976</v>
      </c>
      <c r="F524" s="15" t="str">
        <f t="shared" si="8"/>
        <v/>
      </c>
      <c r="G524" s="16">
        <f>IFERROR(__xludf.DUMMYFUNCTION("GOOGLEFINANCE(A524,""CLOSEYEST"")"),9995.0)</f>
        <v>9995</v>
      </c>
      <c r="H524" s="17" t="str">
        <f t="shared" si="14"/>
        <v>GAP UP</v>
      </c>
      <c r="I524" s="18">
        <f t="shared" si="9"/>
        <v>10065.33333</v>
      </c>
      <c r="J524" s="19">
        <f t="shared" si="10"/>
        <v>10154.66667</v>
      </c>
      <c r="K524" s="19"/>
      <c r="L524" s="19">
        <f t="shared" si="11"/>
        <v>9905.666667</v>
      </c>
      <c r="M524" s="19">
        <f t="shared" si="12"/>
        <v>10314.33333</v>
      </c>
      <c r="N524" s="19">
        <f t="shared" si="13"/>
        <v>9816.333333</v>
      </c>
    </row>
    <row r="525" ht="24.75" customHeight="1">
      <c r="A525" s="21" t="s">
        <v>488</v>
      </c>
      <c r="B525" s="13">
        <f>IFERROR(__xludf.DUMMYFUNCTION("GOOGLEFINANCE(A525,""PRICE"")"),271.5)</f>
        <v>271.5</v>
      </c>
      <c r="C525" s="14">
        <f>IFERROR(__xludf.DUMMYFUNCTION("GOOGLEFINANCE(A525,""PRICEOPEN"")"),272.0)</f>
        <v>272</v>
      </c>
      <c r="D525" s="14">
        <f>IFERROR(__xludf.DUMMYFUNCTION("GOOGLEFINANCE(A525,""HIGH"")"),274.6)</f>
        <v>274.6</v>
      </c>
      <c r="E525" s="14">
        <f>IFERROR(__xludf.DUMMYFUNCTION("GOOGLEFINANCE(A525,""LOW"")"),267.65)</f>
        <v>267.65</v>
      </c>
      <c r="F525" s="15" t="str">
        <f t="shared" si="8"/>
        <v/>
      </c>
      <c r="G525" s="16">
        <f>IFERROR(__xludf.DUMMYFUNCTION("GOOGLEFINANCE(A525,""CLOSEYEST"")"),269.65)</f>
        <v>269.65</v>
      </c>
      <c r="H525" s="17" t="str">
        <f t="shared" si="14"/>
        <v/>
      </c>
      <c r="I525" s="18">
        <f t="shared" si="9"/>
        <v>270.6333333</v>
      </c>
      <c r="J525" s="19">
        <f t="shared" si="10"/>
        <v>273.6166667</v>
      </c>
      <c r="K525" s="19"/>
      <c r="L525" s="19">
        <f t="shared" si="11"/>
        <v>266.6666667</v>
      </c>
      <c r="M525" s="19">
        <f t="shared" si="12"/>
        <v>277.5833333</v>
      </c>
      <c r="N525" s="19">
        <f t="shared" si="13"/>
        <v>263.6833333</v>
      </c>
    </row>
    <row r="526" ht="24.75" customHeight="1">
      <c r="A526" s="21" t="s">
        <v>489</v>
      </c>
      <c r="B526" s="13">
        <f>IFERROR(__xludf.DUMMYFUNCTION("GOOGLEFINANCE(A526,""PRICE"")"),314.0)</f>
        <v>314</v>
      </c>
      <c r="C526" s="14">
        <f>IFERROR(__xludf.DUMMYFUNCTION("GOOGLEFINANCE(A526,""PRICEOPEN"")"),318.05)</f>
        <v>318.05</v>
      </c>
      <c r="D526" s="14">
        <f>IFERROR(__xludf.DUMMYFUNCTION("GOOGLEFINANCE(A526,""HIGH"")"),323.7)</f>
        <v>323.7</v>
      </c>
      <c r="E526" s="14">
        <f>IFERROR(__xludf.DUMMYFUNCTION("GOOGLEFINANCE(A526,""LOW"")"),312.0)</f>
        <v>312</v>
      </c>
      <c r="F526" s="15" t="str">
        <f t="shared" si="8"/>
        <v/>
      </c>
      <c r="G526" s="16">
        <f>IFERROR(__xludf.DUMMYFUNCTION("GOOGLEFINANCE(A526,""CLOSEYEST"")"),318.1)</f>
        <v>318.1</v>
      </c>
      <c r="H526" s="17" t="str">
        <f t="shared" si="14"/>
        <v/>
      </c>
      <c r="I526" s="18">
        <f t="shared" si="9"/>
        <v>317.9333333</v>
      </c>
      <c r="J526" s="19">
        <f t="shared" si="10"/>
        <v>323.8666667</v>
      </c>
      <c r="K526" s="19"/>
      <c r="L526" s="19">
        <f t="shared" si="11"/>
        <v>312.1666667</v>
      </c>
      <c r="M526" s="19">
        <f t="shared" si="12"/>
        <v>329.6333333</v>
      </c>
      <c r="N526" s="19">
        <f t="shared" si="13"/>
        <v>306.2333333</v>
      </c>
    </row>
    <row r="527" ht="24.75" customHeight="1">
      <c r="A527" s="21" t="s">
        <v>490</v>
      </c>
      <c r="B527" s="13">
        <f>IFERROR(__xludf.DUMMYFUNCTION("GOOGLEFINANCE(A527,""PRICE"")"),4979.0)</f>
        <v>4979</v>
      </c>
      <c r="C527" s="14">
        <f>IFERROR(__xludf.DUMMYFUNCTION("GOOGLEFINANCE(A527,""PRICEOPEN"")"),4964.0)</f>
        <v>4964</v>
      </c>
      <c r="D527" s="14">
        <f>IFERROR(__xludf.DUMMYFUNCTION("GOOGLEFINANCE(A527,""HIGH"")"),4987.5)</f>
        <v>4987.5</v>
      </c>
      <c r="E527" s="14">
        <f>IFERROR(__xludf.DUMMYFUNCTION("GOOGLEFINANCE(A527,""LOW"")"),4926.0)</f>
        <v>4926</v>
      </c>
      <c r="F527" s="15" t="str">
        <f t="shared" si="8"/>
        <v/>
      </c>
      <c r="G527" s="16">
        <f>IFERROR(__xludf.DUMMYFUNCTION("GOOGLEFINANCE(A527,""CLOSEYEST"")"),4946.1)</f>
        <v>4946.1</v>
      </c>
      <c r="H527" s="17" t="str">
        <f t="shared" si="14"/>
        <v/>
      </c>
      <c r="I527" s="18">
        <f t="shared" si="9"/>
        <v>4953.2</v>
      </c>
      <c r="J527" s="19">
        <f t="shared" si="10"/>
        <v>4980.4</v>
      </c>
      <c r="K527" s="19"/>
      <c r="L527" s="19">
        <f t="shared" si="11"/>
        <v>4918.9</v>
      </c>
      <c r="M527" s="19">
        <f t="shared" si="12"/>
        <v>5014.7</v>
      </c>
      <c r="N527" s="19">
        <f t="shared" si="13"/>
        <v>4891.7</v>
      </c>
    </row>
    <row r="528" ht="24.75" customHeight="1">
      <c r="A528" s="21" t="s">
        <v>491</v>
      </c>
      <c r="B528" s="13" t="str">
        <f>IFERROR(__xludf.DUMMYFUNCTION("GOOGLEFINANCE(A528,""PRICE"")"),"#N/A")</f>
        <v>#N/A</v>
      </c>
      <c r="C528" s="14" t="str">
        <f>IFERROR(__xludf.DUMMYFUNCTION("GOOGLEFINANCE(A528,""PRICEOPEN"")"),"#N/A")</f>
        <v>#N/A</v>
      </c>
      <c r="D528" s="14" t="str">
        <f>IFERROR(__xludf.DUMMYFUNCTION("GOOGLEFINANCE(A528,""HIGH"")"),"#N/A")</f>
        <v>#N/A</v>
      </c>
      <c r="E528" s="14" t="str">
        <f>IFERROR(__xludf.DUMMYFUNCTION("GOOGLEFINANCE(A528,""LOW"")"),"#N/A")</f>
        <v>#N/A</v>
      </c>
      <c r="F528" s="15" t="str">
        <f t="shared" si="8"/>
        <v>#N/A</v>
      </c>
      <c r="G528" s="16" t="str">
        <f>IFERROR(__xludf.DUMMYFUNCTION("GOOGLEFINANCE(A528,""CLOSEYEST"")"),"#N/A")</f>
        <v>#N/A</v>
      </c>
      <c r="H528" s="17" t="str">
        <f t="shared" si="14"/>
        <v>#N/A</v>
      </c>
      <c r="I528" s="18" t="str">
        <f t="shared" si="9"/>
        <v>#N/A</v>
      </c>
      <c r="J528" s="19" t="str">
        <f t="shared" si="10"/>
        <v>#N/A</v>
      </c>
      <c r="K528" s="19"/>
      <c r="L528" s="19" t="str">
        <f t="shared" si="11"/>
        <v>#N/A</v>
      </c>
      <c r="M528" s="19" t="str">
        <f t="shared" si="12"/>
        <v>#N/A</v>
      </c>
      <c r="N528" s="19" t="str">
        <f t="shared" si="13"/>
        <v>#N/A</v>
      </c>
    </row>
    <row r="529" ht="24.75" customHeight="1">
      <c r="A529" s="21" t="s">
        <v>492</v>
      </c>
      <c r="B529" s="13">
        <f>IFERROR(__xludf.DUMMYFUNCTION("GOOGLEFINANCE(A529,""PRICE"")"),217.35)</f>
        <v>217.35</v>
      </c>
      <c r="C529" s="14">
        <f>IFERROR(__xludf.DUMMYFUNCTION("GOOGLEFINANCE(A529,""PRICEOPEN"")"),215.4)</f>
        <v>215.4</v>
      </c>
      <c r="D529" s="14">
        <f>IFERROR(__xludf.DUMMYFUNCTION("GOOGLEFINANCE(A529,""HIGH"")"),217.69)</f>
        <v>217.69</v>
      </c>
      <c r="E529" s="14">
        <f>IFERROR(__xludf.DUMMYFUNCTION("GOOGLEFINANCE(A529,""LOW"")"),213.3)</f>
        <v>213.3</v>
      </c>
      <c r="F529" s="15" t="str">
        <f t="shared" si="8"/>
        <v/>
      </c>
      <c r="G529" s="16">
        <f>IFERROR(__xludf.DUMMYFUNCTION("GOOGLEFINANCE(A529,""CLOSEYEST"")"),215.07)</f>
        <v>215.07</v>
      </c>
      <c r="H529" s="17" t="str">
        <f t="shared" si="14"/>
        <v/>
      </c>
      <c r="I529" s="18">
        <f t="shared" si="9"/>
        <v>215.3533333</v>
      </c>
      <c r="J529" s="19">
        <f t="shared" si="10"/>
        <v>217.4066667</v>
      </c>
      <c r="K529" s="19"/>
      <c r="L529" s="19">
        <f t="shared" si="11"/>
        <v>213.0166667</v>
      </c>
      <c r="M529" s="19">
        <f t="shared" si="12"/>
        <v>219.7433333</v>
      </c>
      <c r="N529" s="19">
        <f t="shared" si="13"/>
        <v>210.9633333</v>
      </c>
    </row>
    <row r="530" ht="24.75" customHeight="1">
      <c r="A530" s="21" t="s">
        <v>493</v>
      </c>
      <c r="B530" s="13">
        <f>IFERROR(__xludf.DUMMYFUNCTION("GOOGLEFINANCE(A530,""PRICE"")"),199.1)</f>
        <v>199.1</v>
      </c>
      <c r="C530" s="14">
        <f>IFERROR(__xludf.DUMMYFUNCTION("GOOGLEFINANCE(A530,""PRICEOPEN"")"),196.6)</f>
        <v>196.6</v>
      </c>
      <c r="D530" s="14">
        <f>IFERROR(__xludf.DUMMYFUNCTION("GOOGLEFINANCE(A530,""HIGH"")"),199.99)</f>
        <v>199.99</v>
      </c>
      <c r="E530" s="14">
        <f>IFERROR(__xludf.DUMMYFUNCTION("GOOGLEFINANCE(A530,""LOW"")"),196.6)</f>
        <v>196.6</v>
      </c>
      <c r="F530" s="15" t="str">
        <f t="shared" si="8"/>
        <v>BUY</v>
      </c>
      <c r="G530" s="16">
        <f>IFERROR(__xludf.DUMMYFUNCTION("GOOGLEFINANCE(A530,""CLOSEYEST"")"),196.53)</f>
        <v>196.53</v>
      </c>
      <c r="H530" s="17" t="str">
        <f t="shared" si="14"/>
        <v/>
      </c>
      <c r="I530" s="18">
        <f t="shared" si="9"/>
        <v>197.7066667</v>
      </c>
      <c r="J530" s="19">
        <f t="shared" si="10"/>
        <v>198.8133333</v>
      </c>
      <c r="K530" s="19"/>
      <c r="L530" s="19">
        <f t="shared" si="11"/>
        <v>195.4233333</v>
      </c>
      <c r="M530" s="19">
        <f t="shared" si="12"/>
        <v>201.0966667</v>
      </c>
      <c r="N530" s="19">
        <f t="shared" si="13"/>
        <v>194.3166667</v>
      </c>
    </row>
    <row r="531" ht="24.75" customHeight="1">
      <c r="A531" s="21" t="s">
        <v>494</v>
      </c>
      <c r="B531" s="13">
        <f>IFERROR(__xludf.DUMMYFUNCTION("GOOGLEFINANCE(A531,""PRICE"")"),46.41)</f>
        <v>46.41</v>
      </c>
      <c r="C531" s="14">
        <f>IFERROR(__xludf.DUMMYFUNCTION("GOOGLEFINANCE(A531,""PRICEOPEN"")"),45.88)</f>
        <v>45.88</v>
      </c>
      <c r="D531" s="14">
        <f>IFERROR(__xludf.DUMMYFUNCTION("GOOGLEFINANCE(A531,""HIGH"")"),47.4)</f>
        <v>47.4</v>
      </c>
      <c r="E531" s="14">
        <f>IFERROR(__xludf.DUMMYFUNCTION("GOOGLEFINANCE(A531,""LOW"")"),45.22)</f>
        <v>45.22</v>
      </c>
      <c r="F531" s="15" t="str">
        <f t="shared" si="8"/>
        <v/>
      </c>
      <c r="G531" s="16">
        <f>IFERROR(__xludf.DUMMYFUNCTION("GOOGLEFINANCE(A531,""CLOSEYEST"")"),45.7)</f>
        <v>45.7</v>
      </c>
      <c r="H531" s="17" t="str">
        <f t="shared" si="14"/>
        <v/>
      </c>
      <c r="I531" s="18">
        <f t="shared" si="9"/>
        <v>46.10666667</v>
      </c>
      <c r="J531" s="19">
        <f t="shared" si="10"/>
        <v>46.99333333</v>
      </c>
      <c r="K531" s="19"/>
      <c r="L531" s="19">
        <f t="shared" si="11"/>
        <v>44.81333333</v>
      </c>
      <c r="M531" s="19">
        <f t="shared" si="12"/>
        <v>48.28666667</v>
      </c>
      <c r="N531" s="19">
        <f t="shared" si="13"/>
        <v>43.92666667</v>
      </c>
    </row>
    <row r="532" ht="24.75" customHeight="1">
      <c r="A532" s="21" t="s">
        <v>495</v>
      </c>
      <c r="B532" s="13">
        <f>IFERROR(__xludf.DUMMYFUNCTION("GOOGLEFINANCE(A532,""PRICE"")"),354.0)</f>
        <v>354</v>
      </c>
      <c r="C532" s="14">
        <f>IFERROR(__xludf.DUMMYFUNCTION("GOOGLEFINANCE(A532,""PRICEOPEN"")"),348.0)</f>
        <v>348</v>
      </c>
      <c r="D532" s="14">
        <f>IFERROR(__xludf.DUMMYFUNCTION("GOOGLEFINANCE(A532,""HIGH"")"),354.0)</f>
        <v>354</v>
      </c>
      <c r="E532" s="14">
        <f>IFERROR(__xludf.DUMMYFUNCTION("GOOGLEFINANCE(A532,""LOW"")"),345.0)</f>
        <v>345</v>
      </c>
      <c r="F532" s="15" t="str">
        <f t="shared" si="8"/>
        <v/>
      </c>
      <c r="G532" s="16">
        <f>IFERROR(__xludf.DUMMYFUNCTION("GOOGLEFINANCE(A532,""CLOSEYEST"")"),348.2)</f>
        <v>348.2</v>
      </c>
      <c r="H532" s="17" t="str">
        <f t="shared" si="14"/>
        <v/>
      </c>
      <c r="I532" s="18">
        <f t="shared" si="9"/>
        <v>349.0666667</v>
      </c>
      <c r="J532" s="19">
        <f t="shared" si="10"/>
        <v>353.1333333</v>
      </c>
      <c r="K532" s="19"/>
      <c r="L532" s="19">
        <f t="shared" si="11"/>
        <v>344.1333333</v>
      </c>
      <c r="M532" s="19">
        <f t="shared" si="12"/>
        <v>358.0666667</v>
      </c>
      <c r="N532" s="19">
        <f t="shared" si="13"/>
        <v>340.0666667</v>
      </c>
    </row>
    <row r="533" ht="24.75" customHeight="1">
      <c r="A533" s="21" t="s">
        <v>496</v>
      </c>
      <c r="B533" s="13">
        <f>IFERROR(__xludf.DUMMYFUNCTION("GOOGLEFINANCE(A533,""PRICE"")"),461.0)</f>
        <v>461</v>
      </c>
      <c r="C533" s="14">
        <f>IFERROR(__xludf.DUMMYFUNCTION("GOOGLEFINANCE(A533,""PRICEOPEN"")"),460.0)</f>
        <v>460</v>
      </c>
      <c r="D533" s="14">
        <f>IFERROR(__xludf.DUMMYFUNCTION("GOOGLEFINANCE(A533,""HIGH"")"),463.35)</f>
        <v>463.35</v>
      </c>
      <c r="E533" s="14">
        <f>IFERROR(__xludf.DUMMYFUNCTION("GOOGLEFINANCE(A533,""LOW"")"),453.7)</f>
        <v>453.7</v>
      </c>
      <c r="F533" s="15" t="str">
        <f t="shared" si="8"/>
        <v/>
      </c>
      <c r="G533" s="16">
        <f>IFERROR(__xludf.DUMMYFUNCTION("GOOGLEFINANCE(A533,""CLOSEYEST"")"),457.3)</f>
        <v>457.3</v>
      </c>
      <c r="H533" s="17" t="str">
        <f t="shared" si="14"/>
        <v/>
      </c>
      <c r="I533" s="18">
        <f t="shared" si="9"/>
        <v>458.1166667</v>
      </c>
      <c r="J533" s="19">
        <f t="shared" si="10"/>
        <v>462.5333333</v>
      </c>
      <c r="K533" s="19"/>
      <c r="L533" s="19">
        <f t="shared" si="11"/>
        <v>452.8833333</v>
      </c>
      <c r="M533" s="19">
        <f t="shared" si="12"/>
        <v>467.7666667</v>
      </c>
      <c r="N533" s="19">
        <f t="shared" si="13"/>
        <v>448.4666667</v>
      </c>
    </row>
    <row r="534" ht="24.75" customHeight="1">
      <c r="A534" s="21" t="s">
        <v>497</v>
      </c>
      <c r="B534" s="13">
        <f>IFERROR(__xludf.DUMMYFUNCTION("GOOGLEFINANCE(A534,""PRICE"")"),560.1)</f>
        <v>560.1</v>
      </c>
      <c r="C534" s="14">
        <f>IFERROR(__xludf.DUMMYFUNCTION("GOOGLEFINANCE(A534,""PRICEOPEN"")"),552.7)</f>
        <v>552.7</v>
      </c>
      <c r="D534" s="14">
        <f>IFERROR(__xludf.DUMMYFUNCTION("GOOGLEFINANCE(A534,""HIGH"")"),563.7)</f>
        <v>563.7</v>
      </c>
      <c r="E534" s="14">
        <f>IFERROR(__xludf.DUMMYFUNCTION("GOOGLEFINANCE(A534,""LOW"")"),552.7)</f>
        <v>552.7</v>
      </c>
      <c r="F534" s="15" t="str">
        <f t="shared" si="8"/>
        <v>BUY</v>
      </c>
      <c r="G534" s="16">
        <f>IFERROR(__xludf.DUMMYFUNCTION("GOOGLEFINANCE(A534,""CLOSEYEST"")"),552.7)</f>
        <v>552.7</v>
      </c>
      <c r="H534" s="17" t="str">
        <f t="shared" si="14"/>
        <v/>
      </c>
      <c r="I534" s="18">
        <f t="shared" si="9"/>
        <v>556.3666667</v>
      </c>
      <c r="J534" s="19">
        <f t="shared" si="10"/>
        <v>560.0333333</v>
      </c>
      <c r="K534" s="19"/>
      <c r="L534" s="19">
        <f t="shared" si="11"/>
        <v>549.0333333</v>
      </c>
      <c r="M534" s="19">
        <f t="shared" si="12"/>
        <v>567.3666667</v>
      </c>
      <c r="N534" s="19">
        <f t="shared" si="13"/>
        <v>545.3666667</v>
      </c>
    </row>
    <row r="535" ht="24.75" customHeight="1">
      <c r="A535" s="21" t="s">
        <v>498</v>
      </c>
      <c r="B535" s="13">
        <f>IFERROR(__xludf.DUMMYFUNCTION("GOOGLEFINANCE(A535,""PRICE"")"),386.4)</f>
        <v>386.4</v>
      </c>
      <c r="C535" s="14">
        <f>IFERROR(__xludf.DUMMYFUNCTION("GOOGLEFINANCE(A535,""PRICEOPEN"")"),400.0)</f>
        <v>400</v>
      </c>
      <c r="D535" s="14">
        <f>IFERROR(__xludf.DUMMYFUNCTION("GOOGLEFINANCE(A535,""HIGH"")"),407.7)</f>
        <v>407.7</v>
      </c>
      <c r="E535" s="14">
        <f>IFERROR(__xludf.DUMMYFUNCTION("GOOGLEFINANCE(A535,""LOW"")"),379.8)</f>
        <v>379.8</v>
      </c>
      <c r="F535" s="15" t="str">
        <f t="shared" si="8"/>
        <v/>
      </c>
      <c r="G535" s="16">
        <f>IFERROR(__xludf.DUMMYFUNCTION("GOOGLEFINANCE(A535,""CLOSEYEST"")"),389.4)</f>
        <v>389.4</v>
      </c>
      <c r="H535" s="17" t="str">
        <f t="shared" si="14"/>
        <v>GAP UP</v>
      </c>
      <c r="I535" s="18">
        <f t="shared" si="9"/>
        <v>392.3</v>
      </c>
      <c r="J535" s="19">
        <f t="shared" si="10"/>
        <v>404.8</v>
      </c>
      <c r="K535" s="19"/>
      <c r="L535" s="19">
        <f t="shared" si="11"/>
        <v>376.9</v>
      </c>
      <c r="M535" s="19">
        <f t="shared" si="12"/>
        <v>420.2</v>
      </c>
      <c r="N535" s="19">
        <f t="shared" si="13"/>
        <v>364.4</v>
      </c>
    </row>
    <row r="536" ht="24.75" customHeight="1">
      <c r="A536" s="21" t="s">
        <v>499</v>
      </c>
      <c r="B536" s="13">
        <f>IFERROR(__xludf.DUMMYFUNCTION("GOOGLEFINANCE(A536,""PRICE"")"),6798.5)</f>
        <v>6798.5</v>
      </c>
      <c r="C536" s="14">
        <f>IFERROR(__xludf.DUMMYFUNCTION("GOOGLEFINANCE(A536,""PRICEOPEN"")"),6747.0)</f>
        <v>6747</v>
      </c>
      <c r="D536" s="14">
        <f>IFERROR(__xludf.DUMMYFUNCTION("GOOGLEFINANCE(A536,""HIGH"")"),6800.0)</f>
        <v>6800</v>
      </c>
      <c r="E536" s="14">
        <f>IFERROR(__xludf.DUMMYFUNCTION("GOOGLEFINANCE(A536,""LOW"")"),6669.5)</f>
        <v>6669.5</v>
      </c>
      <c r="F536" s="15" t="str">
        <f t="shared" si="8"/>
        <v/>
      </c>
      <c r="G536" s="16">
        <f>IFERROR(__xludf.DUMMYFUNCTION("GOOGLEFINANCE(A536,""CLOSEYEST"")"),6716.5)</f>
        <v>6716.5</v>
      </c>
      <c r="H536" s="17" t="str">
        <f t="shared" si="14"/>
        <v/>
      </c>
      <c r="I536" s="18">
        <f t="shared" si="9"/>
        <v>6728.666667</v>
      </c>
      <c r="J536" s="19">
        <f t="shared" si="10"/>
        <v>6787.833333</v>
      </c>
      <c r="K536" s="19"/>
      <c r="L536" s="19">
        <f t="shared" si="11"/>
        <v>6657.333333</v>
      </c>
      <c r="M536" s="19">
        <f t="shared" si="12"/>
        <v>6859.166667</v>
      </c>
      <c r="N536" s="19">
        <f t="shared" si="13"/>
        <v>6598.166667</v>
      </c>
    </row>
    <row r="537" ht="24.75" customHeight="1">
      <c r="A537" s="21" t="s">
        <v>500</v>
      </c>
      <c r="B537" s="13">
        <f>IFERROR(__xludf.DUMMYFUNCTION("GOOGLEFINANCE(A537,""PRICE"")"),490.0)</f>
        <v>490</v>
      </c>
      <c r="C537" s="14">
        <f>IFERROR(__xludf.DUMMYFUNCTION("GOOGLEFINANCE(A537,""PRICEOPEN"")"),488.0)</f>
        <v>488</v>
      </c>
      <c r="D537" s="14">
        <f>IFERROR(__xludf.DUMMYFUNCTION("GOOGLEFINANCE(A537,""HIGH"")"),493.7)</f>
        <v>493.7</v>
      </c>
      <c r="E537" s="14">
        <f>IFERROR(__xludf.DUMMYFUNCTION("GOOGLEFINANCE(A537,""LOW"")"),485.25)</f>
        <v>485.25</v>
      </c>
      <c r="F537" s="15" t="str">
        <f t="shared" si="8"/>
        <v/>
      </c>
      <c r="G537" s="16">
        <f>IFERROR(__xludf.DUMMYFUNCTION("GOOGLEFINANCE(A537,""CLOSEYEST"")"),488.05)</f>
        <v>488.05</v>
      </c>
      <c r="H537" s="17" t="str">
        <f t="shared" si="14"/>
        <v/>
      </c>
      <c r="I537" s="18">
        <f t="shared" si="9"/>
        <v>489</v>
      </c>
      <c r="J537" s="19">
        <f t="shared" si="10"/>
        <v>492.75</v>
      </c>
      <c r="K537" s="19"/>
      <c r="L537" s="19">
        <f t="shared" si="11"/>
        <v>484.3</v>
      </c>
      <c r="M537" s="19">
        <f t="shared" si="12"/>
        <v>497.45</v>
      </c>
      <c r="N537" s="19">
        <f t="shared" si="13"/>
        <v>480.55</v>
      </c>
    </row>
    <row r="538" ht="24.75" customHeight="1">
      <c r="A538" s="21" t="s">
        <v>501</v>
      </c>
      <c r="B538" s="13">
        <f>IFERROR(__xludf.DUMMYFUNCTION("GOOGLEFINANCE(A538,""PRICE"")"),263.0)</f>
        <v>263</v>
      </c>
      <c r="C538" s="14">
        <f>IFERROR(__xludf.DUMMYFUNCTION("GOOGLEFINANCE(A538,""PRICEOPEN"")"),261.0)</f>
        <v>261</v>
      </c>
      <c r="D538" s="14">
        <f>IFERROR(__xludf.DUMMYFUNCTION("GOOGLEFINANCE(A538,""HIGH"")"),264.0)</f>
        <v>264</v>
      </c>
      <c r="E538" s="14">
        <f>IFERROR(__xludf.DUMMYFUNCTION("GOOGLEFINANCE(A538,""LOW"")"),259.25)</f>
        <v>259.25</v>
      </c>
      <c r="F538" s="15" t="str">
        <f t="shared" si="8"/>
        <v/>
      </c>
      <c r="G538" s="16">
        <f>IFERROR(__xludf.DUMMYFUNCTION("GOOGLEFINANCE(A538,""CLOSEYEST"")"),260.5)</f>
        <v>260.5</v>
      </c>
      <c r="H538" s="17" t="str">
        <f t="shared" si="14"/>
        <v/>
      </c>
      <c r="I538" s="18">
        <f t="shared" si="9"/>
        <v>261.25</v>
      </c>
      <c r="J538" s="19">
        <f t="shared" si="10"/>
        <v>263.25</v>
      </c>
      <c r="K538" s="19"/>
      <c r="L538" s="19">
        <f t="shared" si="11"/>
        <v>258.5</v>
      </c>
      <c r="M538" s="19">
        <f t="shared" si="12"/>
        <v>266</v>
      </c>
      <c r="N538" s="19">
        <f t="shared" si="13"/>
        <v>256.5</v>
      </c>
    </row>
    <row r="539" ht="24.75" customHeight="1">
      <c r="A539" s="21" t="s">
        <v>502</v>
      </c>
      <c r="B539" s="13">
        <f>IFERROR(__xludf.DUMMYFUNCTION("GOOGLEFINANCE(A539,""PRICE"")"),898.15)</f>
        <v>898.15</v>
      </c>
      <c r="C539" s="14">
        <f>IFERROR(__xludf.DUMMYFUNCTION("GOOGLEFINANCE(A539,""PRICEOPEN"")"),894.9)</f>
        <v>894.9</v>
      </c>
      <c r="D539" s="14">
        <f>IFERROR(__xludf.DUMMYFUNCTION("GOOGLEFINANCE(A539,""HIGH"")"),925.0)</f>
        <v>925</v>
      </c>
      <c r="E539" s="14">
        <f>IFERROR(__xludf.DUMMYFUNCTION("GOOGLEFINANCE(A539,""LOW"")"),890.0)</f>
        <v>890</v>
      </c>
      <c r="F539" s="15" t="str">
        <f t="shared" si="8"/>
        <v/>
      </c>
      <c r="G539" s="16">
        <f>IFERROR(__xludf.DUMMYFUNCTION("GOOGLEFINANCE(A539,""CLOSEYEST"")"),894.25)</f>
        <v>894.25</v>
      </c>
      <c r="H539" s="17" t="str">
        <f t="shared" si="14"/>
        <v/>
      </c>
      <c r="I539" s="18">
        <f t="shared" si="9"/>
        <v>903.0833333</v>
      </c>
      <c r="J539" s="19">
        <f t="shared" si="10"/>
        <v>916.1666667</v>
      </c>
      <c r="K539" s="19"/>
      <c r="L539" s="19">
        <f t="shared" si="11"/>
        <v>881.1666667</v>
      </c>
      <c r="M539" s="19">
        <f t="shared" si="12"/>
        <v>938.0833333</v>
      </c>
      <c r="N539" s="19">
        <f t="shared" si="13"/>
        <v>868.0833333</v>
      </c>
    </row>
    <row r="540" ht="24.75" customHeight="1">
      <c r="A540" s="21" t="s">
        <v>503</v>
      </c>
      <c r="B540" s="13">
        <f>IFERROR(__xludf.DUMMYFUNCTION("GOOGLEFINANCE(A540,""PRICE"")"),967.8)</f>
        <v>967.8</v>
      </c>
      <c r="C540" s="14">
        <f>IFERROR(__xludf.DUMMYFUNCTION("GOOGLEFINANCE(A540,""PRICEOPEN"")"),961.0)</f>
        <v>961</v>
      </c>
      <c r="D540" s="14">
        <f>IFERROR(__xludf.DUMMYFUNCTION("GOOGLEFINANCE(A540,""HIGH"")"),989.45)</f>
        <v>989.45</v>
      </c>
      <c r="E540" s="14">
        <f>IFERROR(__xludf.DUMMYFUNCTION("GOOGLEFINANCE(A540,""LOW"")"),948.35)</f>
        <v>948.35</v>
      </c>
      <c r="F540" s="15" t="str">
        <f t="shared" si="8"/>
        <v/>
      </c>
      <c r="G540" s="16">
        <f>IFERROR(__xludf.DUMMYFUNCTION("GOOGLEFINANCE(A540,""CLOSEYEST"")"),957.8)</f>
        <v>957.8</v>
      </c>
      <c r="H540" s="17" t="str">
        <f t="shared" si="14"/>
        <v/>
      </c>
      <c r="I540" s="18">
        <f t="shared" si="9"/>
        <v>965.2</v>
      </c>
      <c r="J540" s="19">
        <f t="shared" si="10"/>
        <v>982.05</v>
      </c>
      <c r="K540" s="19"/>
      <c r="L540" s="19">
        <f t="shared" si="11"/>
        <v>940.95</v>
      </c>
      <c r="M540" s="19">
        <f t="shared" si="12"/>
        <v>1006.3</v>
      </c>
      <c r="N540" s="19">
        <f t="shared" si="13"/>
        <v>924.1</v>
      </c>
    </row>
    <row r="541" ht="24.75" customHeight="1">
      <c r="A541" s="21" t="s">
        <v>504</v>
      </c>
      <c r="B541" s="13">
        <f>IFERROR(__xludf.DUMMYFUNCTION("GOOGLEFINANCE(A541,""PRICE"")"),189.99)</f>
        <v>189.99</v>
      </c>
      <c r="C541" s="14">
        <f>IFERROR(__xludf.DUMMYFUNCTION("GOOGLEFINANCE(A541,""PRICEOPEN"")"),185.95)</f>
        <v>185.95</v>
      </c>
      <c r="D541" s="14">
        <f>IFERROR(__xludf.DUMMYFUNCTION("GOOGLEFINANCE(A541,""HIGH"")"),190.51)</f>
        <v>190.51</v>
      </c>
      <c r="E541" s="14">
        <f>IFERROR(__xludf.DUMMYFUNCTION("GOOGLEFINANCE(A541,""LOW"")"),184.93)</f>
        <v>184.93</v>
      </c>
      <c r="F541" s="15" t="str">
        <f t="shared" si="8"/>
        <v/>
      </c>
      <c r="G541" s="16">
        <f>IFERROR(__xludf.DUMMYFUNCTION("GOOGLEFINANCE(A541,""CLOSEYEST"")"),185.09)</f>
        <v>185.09</v>
      </c>
      <c r="H541" s="17" t="str">
        <f t="shared" si="14"/>
        <v/>
      </c>
      <c r="I541" s="18">
        <f t="shared" si="9"/>
        <v>186.8433333</v>
      </c>
      <c r="J541" s="19">
        <f t="shared" si="10"/>
        <v>188.7566667</v>
      </c>
      <c r="K541" s="19"/>
      <c r="L541" s="19">
        <f t="shared" si="11"/>
        <v>183.1766667</v>
      </c>
      <c r="M541" s="19">
        <f t="shared" si="12"/>
        <v>192.4233333</v>
      </c>
      <c r="N541" s="19">
        <f t="shared" si="13"/>
        <v>181.2633333</v>
      </c>
    </row>
    <row r="542" ht="24.75" customHeight="1">
      <c r="A542" s="21" t="s">
        <v>505</v>
      </c>
      <c r="B542" s="13">
        <f>IFERROR(__xludf.DUMMYFUNCTION("GOOGLEFINANCE(A542,""PRICE"")"),160.0)</f>
        <v>160</v>
      </c>
      <c r="C542" s="14">
        <f>IFERROR(__xludf.DUMMYFUNCTION("GOOGLEFINANCE(A542,""PRICEOPEN"")"),159.0)</f>
        <v>159</v>
      </c>
      <c r="D542" s="14">
        <f>IFERROR(__xludf.DUMMYFUNCTION("GOOGLEFINANCE(A542,""HIGH"")"),162.68)</f>
        <v>162.68</v>
      </c>
      <c r="E542" s="14">
        <f>IFERROR(__xludf.DUMMYFUNCTION("GOOGLEFINANCE(A542,""LOW"")"),158.99)</f>
        <v>158.99</v>
      </c>
      <c r="F542" s="15" t="str">
        <f t="shared" si="8"/>
        <v/>
      </c>
      <c r="G542" s="16">
        <f>IFERROR(__xludf.DUMMYFUNCTION("GOOGLEFINANCE(A542,""CLOSEYEST"")"),158.62)</f>
        <v>158.62</v>
      </c>
      <c r="H542" s="17" t="str">
        <f t="shared" si="14"/>
        <v/>
      </c>
      <c r="I542" s="18">
        <f t="shared" si="9"/>
        <v>160.0966667</v>
      </c>
      <c r="J542" s="19">
        <f t="shared" si="10"/>
        <v>161.2033333</v>
      </c>
      <c r="K542" s="19"/>
      <c r="L542" s="19">
        <f t="shared" si="11"/>
        <v>157.5133333</v>
      </c>
      <c r="M542" s="19">
        <f t="shared" si="12"/>
        <v>163.7866667</v>
      </c>
      <c r="N542" s="19">
        <f t="shared" si="13"/>
        <v>156.4066667</v>
      </c>
    </row>
    <row r="543" ht="24.75" customHeight="1">
      <c r="A543" s="21" t="s">
        <v>506</v>
      </c>
      <c r="B543" s="13">
        <f>IFERROR(__xludf.DUMMYFUNCTION("GOOGLEFINANCE(A543,""PRICE"")"),864.0)</f>
        <v>864</v>
      </c>
      <c r="C543" s="14">
        <f>IFERROR(__xludf.DUMMYFUNCTION("GOOGLEFINANCE(A543,""PRICEOPEN"")"),852.7)</f>
        <v>852.7</v>
      </c>
      <c r="D543" s="14">
        <f>IFERROR(__xludf.DUMMYFUNCTION("GOOGLEFINANCE(A543,""HIGH"")"),871.55)</f>
        <v>871.55</v>
      </c>
      <c r="E543" s="14">
        <f>IFERROR(__xludf.DUMMYFUNCTION("GOOGLEFINANCE(A543,""LOW"")"),852.7)</f>
        <v>852.7</v>
      </c>
      <c r="F543" s="15" t="str">
        <f t="shared" si="8"/>
        <v>BUY</v>
      </c>
      <c r="G543" s="16">
        <f>IFERROR(__xludf.DUMMYFUNCTION("GOOGLEFINANCE(A543,""CLOSEYEST"")"),855.35)</f>
        <v>855.35</v>
      </c>
      <c r="H543" s="17" t="str">
        <f t="shared" si="14"/>
        <v/>
      </c>
      <c r="I543" s="18">
        <f t="shared" si="9"/>
        <v>859.8666667</v>
      </c>
      <c r="J543" s="19">
        <f t="shared" si="10"/>
        <v>867.0333333</v>
      </c>
      <c r="K543" s="19"/>
      <c r="L543" s="19">
        <f t="shared" si="11"/>
        <v>848.1833333</v>
      </c>
      <c r="M543" s="19">
        <f t="shared" si="12"/>
        <v>878.7166667</v>
      </c>
      <c r="N543" s="19">
        <f t="shared" si="13"/>
        <v>841.0166667</v>
      </c>
    </row>
    <row r="544" ht="24.75" customHeight="1">
      <c r="A544" s="21" t="s">
        <v>507</v>
      </c>
      <c r="B544" s="13">
        <f>IFERROR(__xludf.DUMMYFUNCTION("GOOGLEFINANCE(A544,""PRICE"")"),3501.0)</f>
        <v>3501</v>
      </c>
      <c r="C544" s="14">
        <f>IFERROR(__xludf.DUMMYFUNCTION("GOOGLEFINANCE(A544,""PRICEOPEN"")"),3479.1)</f>
        <v>3479.1</v>
      </c>
      <c r="D544" s="14">
        <f>IFERROR(__xludf.DUMMYFUNCTION("GOOGLEFINANCE(A544,""HIGH"")"),3519.7)</f>
        <v>3519.7</v>
      </c>
      <c r="E544" s="14">
        <f>IFERROR(__xludf.DUMMYFUNCTION("GOOGLEFINANCE(A544,""LOW"")"),3467.3)</f>
        <v>3467.3</v>
      </c>
      <c r="F544" s="15" t="str">
        <f t="shared" si="8"/>
        <v/>
      </c>
      <c r="G544" s="16">
        <f>IFERROR(__xludf.DUMMYFUNCTION("GOOGLEFINANCE(A544,""CLOSEYEST"")"),3488.4)</f>
        <v>3488.4</v>
      </c>
      <c r="H544" s="17" t="str">
        <f t="shared" si="14"/>
        <v/>
      </c>
      <c r="I544" s="18">
        <f t="shared" si="9"/>
        <v>3491.8</v>
      </c>
      <c r="J544" s="19">
        <f t="shared" si="10"/>
        <v>3516.3</v>
      </c>
      <c r="K544" s="19"/>
      <c r="L544" s="19">
        <f t="shared" si="11"/>
        <v>3463.9</v>
      </c>
      <c r="M544" s="19">
        <f t="shared" si="12"/>
        <v>3544.2</v>
      </c>
      <c r="N544" s="19">
        <f t="shared" si="13"/>
        <v>3439.4</v>
      </c>
    </row>
    <row r="545" ht="24.75" customHeight="1">
      <c r="A545" s="21" t="s">
        <v>508</v>
      </c>
      <c r="B545" s="13" t="str">
        <f>IFERROR(__xludf.DUMMYFUNCTION("GOOGLEFINANCE(A545,""PRICE"")"),"#N/A")</f>
        <v>#N/A</v>
      </c>
      <c r="C545" s="14" t="str">
        <f>IFERROR(__xludf.DUMMYFUNCTION("GOOGLEFINANCE(A545,""PRICEOPEN"")"),"#N/A")</f>
        <v>#N/A</v>
      </c>
      <c r="D545" s="14" t="str">
        <f>IFERROR(__xludf.DUMMYFUNCTION("GOOGLEFINANCE(A545,""HIGH"")"),"#N/A")</f>
        <v>#N/A</v>
      </c>
      <c r="E545" s="14" t="str">
        <f>IFERROR(__xludf.DUMMYFUNCTION("GOOGLEFINANCE(A545,""LOW"")"),"#N/A")</f>
        <v>#N/A</v>
      </c>
      <c r="F545" s="15" t="str">
        <f t="shared" si="8"/>
        <v>#N/A</v>
      </c>
      <c r="G545" s="16" t="str">
        <f>IFERROR(__xludf.DUMMYFUNCTION("GOOGLEFINANCE(A545,""CLOSEYEST"")"),"#N/A")</f>
        <v>#N/A</v>
      </c>
      <c r="H545" s="17" t="str">
        <f t="shared" si="14"/>
        <v>#N/A</v>
      </c>
      <c r="I545" s="18" t="str">
        <f t="shared" si="9"/>
        <v>#N/A</v>
      </c>
      <c r="J545" s="19" t="str">
        <f t="shared" si="10"/>
        <v>#N/A</v>
      </c>
      <c r="K545" s="19"/>
      <c r="L545" s="19" t="str">
        <f t="shared" si="11"/>
        <v>#N/A</v>
      </c>
      <c r="M545" s="19" t="str">
        <f t="shared" si="12"/>
        <v>#N/A</v>
      </c>
      <c r="N545" s="19" t="str">
        <f t="shared" si="13"/>
        <v>#N/A</v>
      </c>
    </row>
    <row r="546" ht="24.75" customHeight="1">
      <c r="A546" s="21" t="s">
        <v>509</v>
      </c>
      <c r="B546" s="13">
        <f>IFERROR(__xludf.DUMMYFUNCTION("GOOGLEFINANCE(A546,""PRICE"")"),1747.0)</f>
        <v>1747</v>
      </c>
      <c r="C546" s="14">
        <f>IFERROR(__xludf.DUMMYFUNCTION("GOOGLEFINANCE(A546,""PRICEOPEN"")"),1697.0)</f>
        <v>1697</v>
      </c>
      <c r="D546" s="14">
        <f>IFERROR(__xludf.DUMMYFUNCTION("GOOGLEFINANCE(A546,""HIGH"")"),1747.0)</f>
        <v>1747</v>
      </c>
      <c r="E546" s="14">
        <f>IFERROR(__xludf.DUMMYFUNCTION("GOOGLEFINANCE(A546,""LOW"")"),1689.1)</f>
        <v>1689.1</v>
      </c>
      <c r="F546" s="15" t="str">
        <f t="shared" si="8"/>
        <v/>
      </c>
      <c r="G546" s="16">
        <f>IFERROR(__xludf.DUMMYFUNCTION("GOOGLEFINANCE(A546,""CLOSEYEST"")"),1700.5)</f>
        <v>1700.5</v>
      </c>
      <c r="H546" s="17" t="str">
        <f t="shared" si="14"/>
        <v/>
      </c>
      <c r="I546" s="18">
        <f t="shared" si="9"/>
        <v>1712.2</v>
      </c>
      <c r="J546" s="19">
        <f t="shared" si="10"/>
        <v>1735.3</v>
      </c>
      <c r="K546" s="19"/>
      <c r="L546" s="19">
        <f t="shared" si="11"/>
        <v>1677.4</v>
      </c>
      <c r="M546" s="19">
        <f t="shared" si="12"/>
        <v>1770.1</v>
      </c>
      <c r="N546" s="19">
        <f t="shared" si="13"/>
        <v>1654.3</v>
      </c>
    </row>
    <row r="547" ht="24.75" customHeight="1">
      <c r="A547" s="21" t="s">
        <v>510</v>
      </c>
      <c r="B547" s="13">
        <f>IFERROR(__xludf.DUMMYFUNCTION("GOOGLEFINANCE(A547,""PRICE"")"),1455.0)</f>
        <v>1455</v>
      </c>
      <c r="C547" s="14">
        <f>IFERROR(__xludf.DUMMYFUNCTION("GOOGLEFINANCE(A547,""PRICEOPEN"")"),1506.2)</f>
        <v>1506.2</v>
      </c>
      <c r="D547" s="14">
        <f>IFERROR(__xludf.DUMMYFUNCTION("GOOGLEFINANCE(A547,""HIGH"")"),1508.6)</f>
        <v>1508.6</v>
      </c>
      <c r="E547" s="14">
        <f>IFERROR(__xludf.DUMMYFUNCTION("GOOGLEFINANCE(A547,""LOW"")"),1450.5)</f>
        <v>1450.5</v>
      </c>
      <c r="F547" s="15" t="str">
        <f t="shared" si="8"/>
        <v/>
      </c>
      <c r="G547" s="16">
        <f>IFERROR(__xludf.DUMMYFUNCTION("GOOGLEFINANCE(A547,""CLOSEYEST"")"),1492.8)</f>
        <v>1492.8</v>
      </c>
      <c r="H547" s="17" t="str">
        <f t="shared" si="14"/>
        <v/>
      </c>
      <c r="I547" s="18">
        <f t="shared" si="9"/>
        <v>1483.966667</v>
      </c>
      <c r="J547" s="19">
        <f t="shared" si="10"/>
        <v>1517.433333</v>
      </c>
      <c r="K547" s="19"/>
      <c r="L547" s="19">
        <f t="shared" si="11"/>
        <v>1459.333333</v>
      </c>
      <c r="M547" s="19">
        <f t="shared" si="12"/>
        <v>1542.066667</v>
      </c>
      <c r="N547" s="19">
        <f t="shared" si="13"/>
        <v>1425.866667</v>
      </c>
    </row>
    <row r="548" ht="24.75" customHeight="1">
      <c r="A548" s="21" t="s">
        <v>511</v>
      </c>
      <c r="B548" s="13">
        <f>IFERROR(__xludf.DUMMYFUNCTION("GOOGLEFINANCE(A548,""PRICE"")"),1500.0)</f>
        <v>1500</v>
      </c>
      <c r="C548" s="14">
        <f>IFERROR(__xludf.DUMMYFUNCTION("GOOGLEFINANCE(A548,""PRICEOPEN"")"),1520.0)</f>
        <v>1520</v>
      </c>
      <c r="D548" s="14">
        <f>IFERROR(__xludf.DUMMYFUNCTION("GOOGLEFINANCE(A548,""HIGH"")"),1522.2)</f>
        <v>1522.2</v>
      </c>
      <c r="E548" s="14">
        <f>IFERROR(__xludf.DUMMYFUNCTION("GOOGLEFINANCE(A548,""LOW"")"),1499.3)</f>
        <v>1499.3</v>
      </c>
      <c r="F548" s="15" t="str">
        <f t="shared" si="8"/>
        <v/>
      </c>
      <c r="G548" s="16">
        <f>IFERROR(__xludf.DUMMYFUNCTION("GOOGLEFINANCE(A548,""CLOSEYEST"")"),1511.6)</f>
        <v>1511.6</v>
      </c>
      <c r="H548" s="17" t="str">
        <f t="shared" si="14"/>
        <v/>
      </c>
      <c r="I548" s="18">
        <f t="shared" si="9"/>
        <v>1511.033333</v>
      </c>
      <c r="J548" s="19">
        <f t="shared" si="10"/>
        <v>1522.766667</v>
      </c>
      <c r="K548" s="19"/>
      <c r="L548" s="19">
        <f t="shared" si="11"/>
        <v>1499.866667</v>
      </c>
      <c r="M548" s="19">
        <f t="shared" si="12"/>
        <v>1533.933333</v>
      </c>
      <c r="N548" s="19">
        <f t="shared" si="13"/>
        <v>1488.133333</v>
      </c>
    </row>
    <row r="549" ht="24.75" customHeight="1">
      <c r="A549" s="21" t="s">
        <v>512</v>
      </c>
      <c r="B549" s="13">
        <f>IFERROR(__xludf.DUMMYFUNCTION("GOOGLEFINANCE(A549,""PRICE"")"),15830.0)</f>
        <v>15830</v>
      </c>
      <c r="C549" s="14">
        <f>IFERROR(__xludf.DUMMYFUNCTION("GOOGLEFINANCE(A549,""PRICEOPEN"")"),15494.0)</f>
        <v>15494</v>
      </c>
      <c r="D549" s="14">
        <f>IFERROR(__xludf.DUMMYFUNCTION("GOOGLEFINANCE(A549,""HIGH"")"),16180.0)</f>
        <v>16180</v>
      </c>
      <c r="E549" s="14">
        <f>IFERROR(__xludf.DUMMYFUNCTION("GOOGLEFINANCE(A549,""LOW"")"),15494.0)</f>
        <v>15494</v>
      </c>
      <c r="F549" s="15" t="str">
        <f t="shared" si="8"/>
        <v>BUY</v>
      </c>
      <c r="G549" s="16">
        <f>IFERROR(__xludf.DUMMYFUNCTION("GOOGLEFINANCE(A549,""CLOSEYEST"")"),15494.0)</f>
        <v>15494</v>
      </c>
      <c r="H549" s="17" t="str">
        <f t="shared" si="14"/>
        <v/>
      </c>
      <c r="I549" s="18">
        <f t="shared" si="9"/>
        <v>15722.66667</v>
      </c>
      <c r="J549" s="19">
        <f t="shared" si="10"/>
        <v>15951.33333</v>
      </c>
      <c r="K549" s="19"/>
      <c r="L549" s="19">
        <f t="shared" si="11"/>
        <v>15265.33333</v>
      </c>
      <c r="M549" s="19">
        <f t="shared" si="12"/>
        <v>16408.66667</v>
      </c>
      <c r="N549" s="19">
        <f t="shared" si="13"/>
        <v>15036.66667</v>
      </c>
    </row>
    <row r="550" ht="24.75" customHeight="1">
      <c r="A550" s="21" t="s">
        <v>513</v>
      </c>
      <c r="B550" s="13">
        <f>IFERROR(__xludf.DUMMYFUNCTION("GOOGLEFINANCE(A550,""PRICE"")"),148.0)</f>
        <v>148</v>
      </c>
      <c r="C550" s="14">
        <f>IFERROR(__xludf.DUMMYFUNCTION("GOOGLEFINANCE(A550,""PRICEOPEN"")"),146.0)</f>
        <v>146</v>
      </c>
      <c r="D550" s="14">
        <f>IFERROR(__xludf.DUMMYFUNCTION("GOOGLEFINANCE(A550,""HIGH"")"),149.2)</f>
        <v>149.2</v>
      </c>
      <c r="E550" s="14">
        <f>IFERROR(__xludf.DUMMYFUNCTION("GOOGLEFINANCE(A550,""LOW"")"),146.0)</f>
        <v>146</v>
      </c>
      <c r="F550" s="15" t="str">
        <f t="shared" si="8"/>
        <v>BUY</v>
      </c>
      <c r="G550" s="16">
        <f>IFERROR(__xludf.DUMMYFUNCTION("GOOGLEFINANCE(A550,""CLOSEYEST"")"),147.4)</f>
        <v>147.4</v>
      </c>
      <c r="H550" s="17" t="str">
        <f t="shared" si="14"/>
        <v/>
      </c>
      <c r="I550" s="18">
        <f t="shared" si="9"/>
        <v>147.5333333</v>
      </c>
      <c r="J550" s="19">
        <f t="shared" si="10"/>
        <v>149.0666667</v>
      </c>
      <c r="K550" s="19"/>
      <c r="L550" s="19">
        <f t="shared" si="11"/>
        <v>145.8666667</v>
      </c>
      <c r="M550" s="19">
        <f t="shared" si="12"/>
        <v>150.7333333</v>
      </c>
      <c r="N550" s="19">
        <f t="shared" si="13"/>
        <v>144.3333333</v>
      </c>
    </row>
    <row r="551" ht="24.75" customHeight="1">
      <c r="A551" s="21" t="s">
        <v>514</v>
      </c>
      <c r="B551" s="13">
        <f>IFERROR(__xludf.DUMMYFUNCTION("GOOGLEFINANCE(A551,""PRICE"")"),1055.5)</f>
        <v>1055.5</v>
      </c>
      <c r="C551" s="14">
        <f>IFERROR(__xludf.DUMMYFUNCTION("GOOGLEFINANCE(A551,""PRICEOPEN"")"),1003.4)</f>
        <v>1003.4</v>
      </c>
      <c r="D551" s="14">
        <f>IFERROR(__xludf.DUMMYFUNCTION("GOOGLEFINANCE(A551,""HIGH"")"),1069.95)</f>
        <v>1069.95</v>
      </c>
      <c r="E551" s="14">
        <f>IFERROR(__xludf.DUMMYFUNCTION("GOOGLEFINANCE(A551,""LOW"")"),1000.3)</f>
        <v>1000.3</v>
      </c>
      <c r="F551" s="15" t="str">
        <f t="shared" si="8"/>
        <v/>
      </c>
      <c r="G551" s="16">
        <f>IFERROR(__xludf.DUMMYFUNCTION("GOOGLEFINANCE(A551,""CLOSEYEST"")"),994.6)</f>
        <v>994.6</v>
      </c>
      <c r="H551" s="17" t="str">
        <f t="shared" si="14"/>
        <v/>
      </c>
      <c r="I551" s="18">
        <f t="shared" si="9"/>
        <v>1021.616667</v>
      </c>
      <c r="J551" s="19">
        <f t="shared" si="10"/>
        <v>1042.933333</v>
      </c>
      <c r="K551" s="19"/>
      <c r="L551" s="19">
        <f t="shared" si="11"/>
        <v>973.2833333</v>
      </c>
      <c r="M551" s="19">
        <f t="shared" si="12"/>
        <v>1091.266667</v>
      </c>
      <c r="N551" s="19">
        <f t="shared" si="13"/>
        <v>951.9666667</v>
      </c>
    </row>
    <row r="552" ht="24.75" customHeight="1">
      <c r="A552" s="21" t="s">
        <v>515</v>
      </c>
      <c r="B552" s="13">
        <f>IFERROR(__xludf.DUMMYFUNCTION("GOOGLEFINANCE(A552,""PRICE"")"),16800.0)</f>
        <v>16800</v>
      </c>
      <c r="C552" s="14">
        <f>IFERROR(__xludf.DUMMYFUNCTION("GOOGLEFINANCE(A552,""PRICEOPEN"")"),16900.0)</f>
        <v>16900</v>
      </c>
      <c r="D552" s="14">
        <f>IFERROR(__xludf.DUMMYFUNCTION("GOOGLEFINANCE(A552,""HIGH"")"),17109.0)</f>
        <v>17109</v>
      </c>
      <c r="E552" s="14">
        <f>IFERROR(__xludf.DUMMYFUNCTION("GOOGLEFINANCE(A552,""LOW"")"),16530.0)</f>
        <v>16530</v>
      </c>
      <c r="F552" s="15" t="str">
        <f t="shared" si="8"/>
        <v/>
      </c>
      <c r="G552" s="16">
        <f>IFERROR(__xludf.DUMMYFUNCTION("GOOGLEFINANCE(A552,""CLOSEYEST"")"),16899.0)</f>
        <v>16899</v>
      </c>
      <c r="H552" s="17" t="str">
        <f t="shared" si="14"/>
        <v/>
      </c>
      <c r="I552" s="18">
        <f t="shared" si="9"/>
        <v>16846</v>
      </c>
      <c r="J552" s="19">
        <f t="shared" si="10"/>
        <v>17162</v>
      </c>
      <c r="K552" s="19"/>
      <c r="L552" s="19">
        <f t="shared" si="11"/>
        <v>16583</v>
      </c>
      <c r="M552" s="19">
        <f t="shared" si="12"/>
        <v>17425</v>
      </c>
      <c r="N552" s="19">
        <f t="shared" si="13"/>
        <v>16267</v>
      </c>
    </row>
    <row r="553" ht="24.75" customHeight="1">
      <c r="A553" s="21" t="s">
        <v>516</v>
      </c>
      <c r="B553" s="13">
        <f>IFERROR(__xludf.DUMMYFUNCTION("GOOGLEFINANCE(A553,""PRICE"")"),588.65)</f>
        <v>588.65</v>
      </c>
      <c r="C553" s="14">
        <f>IFERROR(__xludf.DUMMYFUNCTION("GOOGLEFINANCE(A553,""PRICEOPEN"")"),582.0)</f>
        <v>582</v>
      </c>
      <c r="D553" s="14">
        <f>IFERROR(__xludf.DUMMYFUNCTION("GOOGLEFINANCE(A553,""HIGH"")"),594.0)</f>
        <v>594</v>
      </c>
      <c r="E553" s="14">
        <f>IFERROR(__xludf.DUMMYFUNCTION("GOOGLEFINANCE(A553,""LOW"")"),577.25)</f>
        <v>577.25</v>
      </c>
      <c r="F553" s="15" t="str">
        <f t="shared" si="8"/>
        <v/>
      </c>
      <c r="G553" s="16">
        <f>IFERROR(__xludf.DUMMYFUNCTION("GOOGLEFINANCE(A553,""CLOSEYEST"")"),579.8)</f>
        <v>579.8</v>
      </c>
      <c r="H553" s="17" t="str">
        <f t="shared" si="14"/>
        <v/>
      </c>
      <c r="I553" s="18">
        <f t="shared" si="9"/>
        <v>583.6833333</v>
      </c>
      <c r="J553" s="19">
        <f t="shared" si="10"/>
        <v>590.1166667</v>
      </c>
      <c r="K553" s="19"/>
      <c r="L553" s="19">
        <f t="shared" si="11"/>
        <v>573.3666667</v>
      </c>
      <c r="M553" s="19">
        <f t="shared" si="12"/>
        <v>600.4333333</v>
      </c>
      <c r="N553" s="19">
        <f t="shared" si="13"/>
        <v>566.9333333</v>
      </c>
    </row>
    <row r="554" ht="24.75" customHeight="1">
      <c r="A554" s="21" t="s">
        <v>517</v>
      </c>
      <c r="B554" s="13">
        <f>IFERROR(__xludf.DUMMYFUNCTION("GOOGLEFINANCE(A554,""PRICE"")"),572.0)</f>
        <v>572</v>
      </c>
      <c r="C554" s="14">
        <f>IFERROR(__xludf.DUMMYFUNCTION("GOOGLEFINANCE(A554,""PRICEOPEN"")"),559.55)</f>
        <v>559.55</v>
      </c>
      <c r="D554" s="14">
        <f>IFERROR(__xludf.DUMMYFUNCTION("GOOGLEFINANCE(A554,""HIGH"")"),573.2)</f>
        <v>573.2</v>
      </c>
      <c r="E554" s="14">
        <f>IFERROR(__xludf.DUMMYFUNCTION("GOOGLEFINANCE(A554,""LOW"")"),556.75)</f>
        <v>556.75</v>
      </c>
      <c r="F554" s="15" t="str">
        <f t="shared" si="8"/>
        <v/>
      </c>
      <c r="G554" s="16">
        <f>IFERROR(__xludf.DUMMYFUNCTION("GOOGLEFINANCE(A554,""CLOSEYEST"")"),557.1)</f>
        <v>557.1</v>
      </c>
      <c r="H554" s="17" t="str">
        <f t="shared" si="14"/>
        <v/>
      </c>
      <c r="I554" s="18">
        <f t="shared" si="9"/>
        <v>562.35</v>
      </c>
      <c r="J554" s="19">
        <f t="shared" si="10"/>
        <v>567.95</v>
      </c>
      <c r="K554" s="19"/>
      <c r="L554" s="19">
        <f t="shared" si="11"/>
        <v>551.5</v>
      </c>
      <c r="M554" s="19">
        <f t="shared" si="12"/>
        <v>578.8</v>
      </c>
      <c r="N554" s="19">
        <f t="shared" si="13"/>
        <v>545.9</v>
      </c>
    </row>
    <row r="555" ht="24.75" customHeight="1">
      <c r="A555" s="21" t="s">
        <v>518</v>
      </c>
      <c r="B555" s="13">
        <f>IFERROR(__xludf.DUMMYFUNCTION("GOOGLEFINANCE(A555,""PRICE"")"),252.0)</f>
        <v>252</v>
      </c>
      <c r="C555" s="14">
        <f>IFERROR(__xludf.DUMMYFUNCTION("GOOGLEFINANCE(A555,""PRICEOPEN"")"),251.02)</f>
        <v>251.02</v>
      </c>
      <c r="D555" s="14">
        <f>IFERROR(__xludf.DUMMYFUNCTION("GOOGLEFINANCE(A555,""HIGH"")"),259.25)</f>
        <v>259.25</v>
      </c>
      <c r="E555" s="14">
        <f>IFERROR(__xludf.DUMMYFUNCTION("GOOGLEFINANCE(A555,""LOW"")"),248.63)</f>
        <v>248.63</v>
      </c>
      <c r="F555" s="15" t="str">
        <f t="shared" si="8"/>
        <v/>
      </c>
      <c r="G555" s="16">
        <f>IFERROR(__xludf.DUMMYFUNCTION("GOOGLEFINANCE(A555,""CLOSEYEST"")"),251.02)</f>
        <v>251.02</v>
      </c>
      <c r="H555" s="17" t="str">
        <f t="shared" si="14"/>
        <v/>
      </c>
      <c r="I555" s="18">
        <f t="shared" si="9"/>
        <v>252.9666667</v>
      </c>
      <c r="J555" s="19">
        <f t="shared" si="10"/>
        <v>257.3033333</v>
      </c>
      <c r="K555" s="19"/>
      <c r="L555" s="19">
        <f t="shared" si="11"/>
        <v>246.6833333</v>
      </c>
      <c r="M555" s="19">
        <f t="shared" si="12"/>
        <v>263.5866667</v>
      </c>
      <c r="N555" s="19">
        <f t="shared" si="13"/>
        <v>242.3466667</v>
      </c>
    </row>
    <row r="556" ht="24.75" customHeight="1">
      <c r="A556" s="21" t="s">
        <v>519</v>
      </c>
      <c r="B556" s="13">
        <f>IFERROR(__xludf.DUMMYFUNCTION("GOOGLEFINANCE(A556,""PRICE"")"),249.85)</f>
        <v>249.85</v>
      </c>
      <c r="C556" s="14">
        <f>IFERROR(__xludf.DUMMYFUNCTION("GOOGLEFINANCE(A556,""PRICEOPEN"")"),239.95)</f>
        <v>239.95</v>
      </c>
      <c r="D556" s="14">
        <f>IFERROR(__xludf.DUMMYFUNCTION("GOOGLEFINANCE(A556,""HIGH"")"),249.85)</f>
        <v>249.85</v>
      </c>
      <c r="E556" s="14">
        <f>IFERROR(__xludf.DUMMYFUNCTION("GOOGLEFINANCE(A556,""LOW"")"),239.95)</f>
        <v>239.95</v>
      </c>
      <c r="F556" s="15" t="str">
        <f t="shared" si="8"/>
        <v>BUY</v>
      </c>
      <c r="G556" s="16">
        <f>IFERROR(__xludf.DUMMYFUNCTION("GOOGLEFINANCE(A556,""CLOSEYEST"")"),242.36)</f>
        <v>242.36</v>
      </c>
      <c r="H556" s="17" t="str">
        <f t="shared" si="14"/>
        <v/>
      </c>
      <c r="I556" s="18">
        <f t="shared" si="9"/>
        <v>244.0533333</v>
      </c>
      <c r="J556" s="19">
        <f t="shared" si="10"/>
        <v>248.1566667</v>
      </c>
      <c r="K556" s="19"/>
      <c r="L556" s="19">
        <f t="shared" si="11"/>
        <v>238.2566667</v>
      </c>
      <c r="M556" s="19">
        <f t="shared" si="12"/>
        <v>253.9533333</v>
      </c>
      <c r="N556" s="19">
        <f t="shared" si="13"/>
        <v>234.1533333</v>
      </c>
    </row>
    <row r="557" ht="24.75" customHeight="1">
      <c r="A557" s="21" t="s">
        <v>520</v>
      </c>
      <c r="B557" s="13">
        <f>IFERROR(__xludf.DUMMYFUNCTION("GOOGLEFINANCE(A557,""PRICE"")"),150.45)</f>
        <v>150.45</v>
      </c>
      <c r="C557" s="14">
        <f>IFERROR(__xludf.DUMMYFUNCTION("GOOGLEFINANCE(A557,""PRICEOPEN"")"),148.31)</f>
        <v>148.31</v>
      </c>
      <c r="D557" s="14">
        <f>IFERROR(__xludf.DUMMYFUNCTION("GOOGLEFINANCE(A557,""HIGH"")"),150.86)</f>
        <v>150.86</v>
      </c>
      <c r="E557" s="14">
        <f>IFERROR(__xludf.DUMMYFUNCTION("GOOGLEFINANCE(A557,""LOW"")"),147.97)</f>
        <v>147.97</v>
      </c>
      <c r="F557" s="15" t="str">
        <f t="shared" si="8"/>
        <v/>
      </c>
      <c r="G557" s="16">
        <f>IFERROR(__xludf.DUMMYFUNCTION("GOOGLEFINANCE(A557,""CLOSEYEST"")"),148.89)</f>
        <v>148.89</v>
      </c>
      <c r="H557" s="17" t="str">
        <f t="shared" si="14"/>
        <v/>
      </c>
      <c r="I557" s="18">
        <f t="shared" si="9"/>
        <v>149.24</v>
      </c>
      <c r="J557" s="19">
        <f t="shared" si="10"/>
        <v>150.51</v>
      </c>
      <c r="K557" s="19"/>
      <c r="L557" s="19">
        <f t="shared" si="11"/>
        <v>147.62</v>
      </c>
      <c r="M557" s="19">
        <f t="shared" si="12"/>
        <v>152.13</v>
      </c>
      <c r="N557" s="19">
        <f t="shared" si="13"/>
        <v>146.35</v>
      </c>
    </row>
    <row r="558" ht="24.75" customHeight="1">
      <c r="A558" s="21" t="s">
        <v>521</v>
      </c>
      <c r="B558" s="13">
        <f>IFERROR(__xludf.DUMMYFUNCTION("GOOGLEFINANCE(A558,""PRICE"")"),1863.0)</f>
        <v>1863</v>
      </c>
      <c r="C558" s="14">
        <f>IFERROR(__xludf.DUMMYFUNCTION("GOOGLEFINANCE(A558,""PRICEOPEN"")"),1861.6)</f>
        <v>1861.6</v>
      </c>
      <c r="D558" s="14">
        <f>IFERROR(__xludf.DUMMYFUNCTION("GOOGLEFINANCE(A558,""HIGH"")"),1890.0)</f>
        <v>1890</v>
      </c>
      <c r="E558" s="14">
        <f>IFERROR(__xludf.DUMMYFUNCTION("GOOGLEFINANCE(A558,""LOW"")"),1832.0)</f>
        <v>1832</v>
      </c>
      <c r="F558" s="15" t="str">
        <f t="shared" si="8"/>
        <v/>
      </c>
      <c r="G558" s="16">
        <f>IFERROR(__xludf.DUMMYFUNCTION("GOOGLEFINANCE(A558,""CLOSEYEST"")"),1861.6)</f>
        <v>1861.6</v>
      </c>
      <c r="H558" s="17" t="str">
        <f t="shared" si="14"/>
        <v/>
      </c>
      <c r="I558" s="18">
        <f t="shared" si="9"/>
        <v>1861.2</v>
      </c>
      <c r="J558" s="19">
        <f t="shared" si="10"/>
        <v>1890.4</v>
      </c>
      <c r="K558" s="19"/>
      <c r="L558" s="19">
        <f t="shared" si="11"/>
        <v>1832.4</v>
      </c>
      <c r="M558" s="19">
        <f t="shared" si="12"/>
        <v>1919.2</v>
      </c>
      <c r="N558" s="19">
        <f t="shared" si="13"/>
        <v>1803.2</v>
      </c>
    </row>
    <row r="559" ht="24.75" customHeight="1">
      <c r="A559" s="21" t="s">
        <v>522</v>
      </c>
      <c r="B559" s="13" t="str">
        <f>IFERROR(__xludf.DUMMYFUNCTION("GOOGLEFINANCE(A559,""PRICE"")"),"#N/A")</f>
        <v>#N/A</v>
      </c>
      <c r="C559" s="14" t="str">
        <f>IFERROR(__xludf.DUMMYFUNCTION("GOOGLEFINANCE(A559,""PRICEOPEN"")"),"#N/A")</f>
        <v>#N/A</v>
      </c>
      <c r="D559" s="14" t="str">
        <f>IFERROR(__xludf.DUMMYFUNCTION("GOOGLEFINANCE(A559,""HIGH"")"),"#N/A")</f>
        <v>#N/A</v>
      </c>
      <c r="E559" s="14" t="str">
        <f>IFERROR(__xludf.DUMMYFUNCTION("GOOGLEFINANCE(A559,""LOW"")"),"#N/A")</f>
        <v>#N/A</v>
      </c>
      <c r="F559" s="15" t="str">
        <f t="shared" si="8"/>
        <v>#N/A</v>
      </c>
      <c r="G559" s="16" t="str">
        <f>IFERROR(__xludf.DUMMYFUNCTION("GOOGLEFINANCE(A559,""CLOSEYEST"")"),"#N/A")</f>
        <v>#N/A</v>
      </c>
      <c r="H559" s="17" t="str">
        <f t="shared" si="14"/>
        <v>#N/A</v>
      </c>
      <c r="I559" s="18" t="str">
        <f t="shared" si="9"/>
        <v>#N/A</v>
      </c>
      <c r="J559" s="19" t="str">
        <f t="shared" si="10"/>
        <v>#N/A</v>
      </c>
      <c r="K559" s="19"/>
      <c r="L559" s="19" t="str">
        <f t="shared" si="11"/>
        <v>#N/A</v>
      </c>
      <c r="M559" s="19" t="str">
        <f t="shared" si="12"/>
        <v>#N/A</v>
      </c>
      <c r="N559" s="19" t="str">
        <f t="shared" si="13"/>
        <v>#N/A</v>
      </c>
    </row>
    <row r="560" ht="24.75" customHeight="1">
      <c r="A560" s="21" t="s">
        <v>523</v>
      </c>
      <c r="B560" s="13">
        <f>IFERROR(__xludf.DUMMYFUNCTION("GOOGLEFINANCE(A560,""PRICE"")"),63.3)</f>
        <v>63.3</v>
      </c>
      <c r="C560" s="14">
        <f>IFERROR(__xludf.DUMMYFUNCTION("GOOGLEFINANCE(A560,""PRICEOPEN"")"),63.44)</f>
        <v>63.44</v>
      </c>
      <c r="D560" s="14">
        <f>IFERROR(__xludf.DUMMYFUNCTION("GOOGLEFINANCE(A560,""HIGH"")"),63.44)</f>
        <v>63.44</v>
      </c>
      <c r="E560" s="14">
        <f>IFERROR(__xludf.DUMMYFUNCTION("GOOGLEFINANCE(A560,""LOW"")"),63.3)</f>
        <v>63.3</v>
      </c>
      <c r="F560" s="15" t="str">
        <f t="shared" si="8"/>
        <v>SELL</v>
      </c>
      <c r="G560" s="16">
        <f>IFERROR(__xludf.DUMMYFUNCTION("GOOGLEFINANCE(A560,""CLOSEYEST"")"),62.6)</f>
        <v>62.6</v>
      </c>
      <c r="H560" s="17" t="str">
        <f t="shared" si="14"/>
        <v>GAP UP</v>
      </c>
      <c r="I560" s="18">
        <f t="shared" si="9"/>
        <v>63.11333333</v>
      </c>
      <c r="J560" s="19">
        <f t="shared" si="10"/>
        <v>62.92666667</v>
      </c>
      <c r="K560" s="19"/>
      <c r="L560" s="19">
        <f t="shared" si="11"/>
        <v>62.78666667</v>
      </c>
      <c r="M560" s="19">
        <f t="shared" si="12"/>
        <v>63.25333333</v>
      </c>
      <c r="N560" s="19">
        <f t="shared" si="13"/>
        <v>62.97333333</v>
      </c>
    </row>
    <row r="561" ht="24.75" customHeight="1">
      <c r="A561" s="21" t="s">
        <v>524</v>
      </c>
      <c r="B561" s="13">
        <f>IFERROR(__xludf.DUMMYFUNCTION("GOOGLEFINANCE(A561,""PRICE"")"),200.1)</f>
        <v>200.1</v>
      </c>
      <c r="C561" s="14">
        <f>IFERROR(__xludf.DUMMYFUNCTION("GOOGLEFINANCE(A561,""PRICEOPEN"")"),194.9)</f>
        <v>194.9</v>
      </c>
      <c r="D561" s="14">
        <f>IFERROR(__xludf.DUMMYFUNCTION("GOOGLEFINANCE(A561,""HIGH"")"),203.38)</f>
        <v>203.38</v>
      </c>
      <c r="E561" s="14">
        <f>IFERROR(__xludf.DUMMYFUNCTION("GOOGLEFINANCE(A561,""LOW"")"),193.84)</f>
        <v>193.84</v>
      </c>
      <c r="F561" s="15" t="str">
        <f t="shared" si="8"/>
        <v/>
      </c>
      <c r="G561" s="16">
        <f>IFERROR(__xludf.DUMMYFUNCTION("GOOGLEFINANCE(A561,""CLOSEYEST"")"),194.9)</f>
        <v>194.9</v>
      </c>
      <c r="H561" s="17" t="str">
        <f t="shared" si="14"/>
        <v/>
      </c>
      <c r="I561" s="18">
        <f t="shared" si="9"/>
        <v>197.3733333</v>
      </c>
      <c r="J561" s="19">
        <f t="shared" si="10"/>
        <v>200.9066667</v>
      </c>
      <c r="K561" s="19"/>
      <c r="L561" s="19">
        <f t="shared" si="11"/>
        <v>191.3666667</v>
      </c>
      <c r="M561" s="19">
        <f t="shared" si="12"/>
        <v>206.9133333</v>
      </c>
      <c r="N561" s="19">
        <f t="shared" si="13"/>
        <v>187.8333333</v>
      </c>
    </row>
    <row r="562" ht="24.75" customHeight="1">
      <c r="A562" s="21" t="s">
        <v>525</v>
      </c>
      <c r="B562" s="13">
        <f>IFERROR(__xludf.DUMMYFUNCTION("GOOGLEFINANCE(A562,""PRICE"")"),891.0)</f>
        <v>891</v>
      </c>
      <c r="C562" s="14">
        <f>IFERROR(__xludf.DUMMYFUNCTION("GOOGLEFINANCE(A562,""PRICEOPEN"")"),900.8)</f>
        <v>900.8</v>
      </c>
      <c r="D562" s="14">
        <f>IFERROR(__xludf.DUMMYFUNCTION("GOOGLEFINANCE(A562,""HIGH"")"),903.65)</f>
        <v>903.65</v>
      </c>
      <c r="E562" s="14">
        <f>IFERROR(__xludf.DUMMYFUNCTION("GOOGLEFINANCE(A562,""LOW"")"),888.15)</f>
        <v>888.15</v>
      </c>
      <c r="F562" s="15" t="str">
        <f t="shared" si="8"/>
        <v/>
      </c>
      <c r="G562" s="16">
        <f>IFERROR(__xludf.DUMMYFUNCTION("GOOGLEFINANCE(A562,""CLOSEYEST"")"),899.8)</f>
        <v>899.8</v>
      </c>
      <c r="H562" s="17" t="str">
        <f t="shared" si="14"/>
        <v/>
      </c>
      <c r="I562" s="18">
        <f t="shared" si="9"/>
        <v>897.2</v>
      </c>
      <c r="J562" s="19">
        <f t="shared" si="10"/>
        <v>906.25</v>
      </c>
      <c r="K562" s="19"/>
      <c r="L562" s="19">
        <f t="shared" si="11"/>
        <v>890.75</v>
      </c>
      <c r="M562" s="19">
        <f t="shared" si="12"/>
        <v>912.7</v>
      </c>
      <c r="N562" s="19">
        <f t="shared" si="13"/>
        <v>881.7</v>
      </c>
    </row>
    <row r="563" ht="24.75" customHeight="1">
      <c r="A563" s="21" t="s">
        <v>526</v>
      </c>
      <c r="B563" s="13">
        <f>IFERROR(__xludf.DUMMYFUNCTION("GOOGLEFINANCE(A563,""PRICE"")"),384.0)</f>
        <v>384</v>
      </c>
      <c r="C563" s="14">
        <f>IFERROR(__xludf.DUMMYFUNCTION("GOOGLEFINANCE(A563,""PRICEOPEN"")"),391.5)</f>
        <v>391.5</v>
      </c>
      <c r="D563" s="14">
        <f>IFERROR(__xludf.DUMMYFUNCTION("GOOGLEFINANCE(A563,""HIGH"")"),394.65)</f>
        <v>394.65</v>
      </c>
      <c r="E563" s="14">
        <f>IFERROR(__xludf.DUMMYFUNCTION("GOOGLEFINANCE(A563,""LOW"")"),378.45)</f>
        <v>378.45</v>
      </c>
      <c r="F563" s="15" t="str">
        <f t="shared" si="8"/>
        <v/>
      </c>
      <c r="G563" s="16">
        <f>IFERROR(__xludf.DUMMYFUNCTION("GOOGLEFINANCE(A563,""CLOSEYEST"")"),380.6)</f>
        <v>380.6</v>
      </c>
      <c r="H563" s="17" t="str">
        <f t="shared" si="14"/>
        <v>GAP UP</v>
      </c>
      <c r="I563" s="18">
        <f t="shared" si="9"/>
        <v>384.5666667</v>
      </c>
      <c r="J563" s="19">
        <f t="shared" si="10"/>
        <v>390.6833333</v>
      </c>
      <c r="K563" s="19"/>
      <c r="L563" s="19">
        <f t="shared" si="11"/>
        <v>374.4833333</v>
      </c>
      <c r="M563" s="19">
        <f t="shared" si="12"/>
        <v>400.7666667</v>
      </c>
      <c r="N563" s="19">
        <f t="shared" si="13"/>
        <v>368.3666667</v>
      </c>
    </row>
    <row r="564" ht="24.75" customHeight="1">
      <c r="A564" s="21" t="s">
        <v>527</v>
      </c>
      <c r="B564" s="13">
        <f>IFERROR(__xludf.DUMMYFUNCTION("GOOGLEFINANCE(A564,""PRICE"")"),101.7)</f>
        <v>101.7</v>
      </c>
      <c r="C564" s="14">
        <f>IFERROR(__xludf.DUMMYFUNCTION("GOOGLEFINANCE(A564,""PRICEOPEN"")"),100.92)</f>
        <v>100.92</v>
      </c>
      <c r="D564" s="14">
        <f>IFERROR(__xludf.DUMMYFUNCTION("GOOGLEFINANCE(A564,""HIGH"")"),101.9)</f>
        <v>101.9</v>
      </c>
      <c r="E564" s="14">
        <f>IFERROR(__xludf.DUMMYFUNCTION("GOOGLEFINANCE(A564,""LOW"")"),100.61)</f>
        <v>100.61</v>
      </c>
      <c r="F564" s="15" t="str">
        <f t="shared" si="8"/>
        <v/>
      </c>
      <c r="G564" s="16">
        <f>IFERROR(__xludf.DUMMYFUNCTION("GOOGLEFINANCE(A564,""CLOSEYEST"")"),100.92)</f>
        <v>100.92</v>
      </c>
      <c r="H564" s="17" t="str">
        <f t="shared" si="14"/>
        <v/>
      </c>
      <c r="I564" s="18">
        <f t="shared" si="9"/>
        <v>101.1433333</v>
      </c>
      <c r="J564" s="19">
        <f t="shared" si="10"/>
        <v>101.6766667</v>
      </c>
      <c r="K564" s="19"/>
      <c r="L564" s="19">
        <f t="shared" si="11"/>
        <v>100.3866667</v>
      </c>
      <c r="M564" s="19">
        <f t="shared" si="12"/>
        <v>102.4333333</v>
      </c>
      <c r="N564" s="19">
        <f t="shared" si="13"/>
        <v>99.85333333</v>
      </c>
    </row>
    <row r="565" ht="24.75" customHeight="1">
      <c r="A565" s="21" t="s">
        <v>528</v>
      </c>
      <c r="B565" s="13">
        <f>IFERROR(__xludf.DUMMYFUNCTION("GOOGLEFINANCE(A565,""PRICE"")"),940.0)</f>
        <v>940</v>
      </c>
      <c r="C565" s="14">
        <f>IFERROR(__xludf.DUMMYFUNCTION("GOOGLEFINANCE(A565,""PRICEOPEN"")"),925.0)</f>
        <v>925</v>
      </c>
      <c r="D565" s="14">
        <f>IFERROR(__xludf.DUMMYFUNCTION("GOOGLEFINANCE(A565,""HIGH"")"),940.0)</f>
        <v>940</v>
      </c>
      <c r="E565" s="14">
        <f>IFERROR(__xludf.DUMMYFUNCTION("GOOGLEFINANCE(A565,""LOW"")"),920.0)</f>
        <v>920</v>
      </c>
      <c r="F565" s="15" t="str">
        <f t="shared" si="8"/>
        <v/>
      </c>
      <c r="G565" s="16">
        <f>IFERROR(__xludf.DUMMYFUNCTION("GOOGLEFINANCE(A565,""CLOSEYEST"")"),920.0)</f>
        <v>920</v>
      </c>
      <c r="H565" s="17" t="str">
        <f t="shared" si="14"/>
        <v/>
      </c>
      <c r="I565" s="18">
        <f t="shared" si="9"/>
        <v>926.6666667</v>
      </c>
      <c r="J565" s="19">
        <f t="shared" si="10"/>
        <v>933.3333333</v>
      </c>
      <c r="K565" s="19"/>
      <c r="L565" s="19">
        <f t="shared" si="11"/>
        <v>913.3333333</v>
      </c>
      <c r="M565" s="19">
        <f t="shared" si="12"/>
        <v>946.6666667</v>
      </c>
      <c r="N565" s="19">
        <f t="shared" si="13"/>
        <v>906.6666667</v>
      </c>
    </row>
    <row r="566" ht="24.75" customHeight="1">
      <c r="A566" s="21" t="s">
        <v>529</v>
      </c>
      <c r="B566" s="13">
        <f>IFERROR(__xludf.DUMMYFUNCTION("GOOGLEFINANCE(A566,""PRICE"")"),174.3)</f>
        <v>174.3</v>
      </c>
      <c r="C566" s="14">
        <f>IFERROR(__xludf.DUMMYFUNCTION("GOOGLEFINANCE(A566,""PRICEOPEN"")"),173.99)</f>
        <v>173.99</v>
      </c>
      <c r="D566" s="14">
        <f>IFERROR(__xludf.DUMMYFUNCTION("GOOGLEFINANCE(A566,""HIGH"")"),175.44)</f>
        <v>175.44</v>
      </c>
      <c r="E566" s="14">
        <f>IFERROR(__xludf.DUMMYFUNCTION("GOOGLEFINANCE(A566,""LOW"")"),172.15)</f>
        <v>172.15</v>
      </c>
      <c r="F566" s="15" t="str">
        <f t="shared" si="8"/>
        <v/>
      </c>
      <c r="G566" s="16">
        <f>IFERROR(__xludf.DUMMYFUNCTION("GOOGLEFINANCE(A566,""CLOSEYEST"")"),173.62)</f>
        <v>173.62</v>
      </c>
      <c r="H566" s="17" t="str">
        <f t="shared" si="14"/>
        <v/>
      </c>
      <c r="I566" s="18">
        <f t="shared" si="9"/>
        <v>173.7366667</v>
      </c>
      <c r="J566" s="19">
        <f t="shared" si="10"/>
        <v>175.3233333</v>
      </c>
      <c r="K566" s="19"/>
      <c r="L566" s="19">
        <f t="shared" si="11"/>
        <v>172.0333333</v>
      </c>
      <c r="M566" s="19">
        <f t="shared" si="12"/>
        <v>177.0266667</v>
      </c>
      <c r="N566" s="19">
        <f t="shared" si="13"/>
        <v>170.4466667</v>
      </c>
    </row>
    <row r="567" ht="24.75" customHeight="1">
      <c r="A567" s="21" t="s">
        <v>530</v>
      </c>
      <c r="B567" s="13" t="str">
        <f>IFERROR(__xludf.DUMMYFUNCTION("GOOGLEFINANCE(A567,""PRICE"")"),"#N/A")</f>
        <v>#N/A</v>
      </c>
      <c r="C567" s="14" t="str">
        <f>IFERROR(__xludf.DUMMYFUNCTION("GOOGLEFINANCE(A567,""PRICEOPEN"")"),"#N/A")</f>
        <v>#N/A</v>
      </c>
      <c r="D567" s="14" t="str">
        <f>IFERROR(__xludf.DUMMYFUNCTION("GOOGLEFINANCE(A567,""HIGH"")"),"#N/A")</f>
        <v>#N/A</v>
      </c>
      <c r="E567" s="14" t="str">
        <f>IFERROR(__xludf.DUMMYFUNCTION("GOOGLEFINANCE(A567,""LOW"")"),"#N/A")</f>
        <v>#N/A</v>
      </c>
      <c r="F567" s="15" t="str">
        <f t="shared" si="8"/>
        <v>#N/A</v>
      </c>
      <c r="G567" s="16" t="str">
        <f>IFERROR(__xludf.DUMMYFUNCTION("GOOGLEFINANCE(A567,""CLOSEYEST"")"),"#N/A")</f>
        <v>#N/A</v>
      </c>
      <c r="H567" s="17" t="str">
        <f t="shared" si="14"/>
        <v>#N/A</v>
      </c>
      <c r="I567" s="18" t="str">
        <f t="shared" si="9"/>
        <v>#N/A</v>
      </c>
      <c r="J567" s="19" t="str">
        <f t="shared" si="10"/>
        <v>#N/A</v>
      </c>
      <c r="K567" s="19"/>
      <c r="L567" s="19" t="str">
        <f t="shared" si="11"/>
        <v>#N/A</v>
      </c>
      <c r="M567" s="19" t="str">
        <f t="shared" si="12"/>
        <v>#N/A</v>
      </c>
      <c r="N567" s="19" t="str">
        <f t="shared" si="13"/>
        <v>#N/A</v>
      </c>
    </row>
    <row r="568" ht="24.75" customHeight="1">
      <c r="A568" s="21" t="s">
        <v>531</v>
      </c>
      <c r="B568" s="13">
        <f>IFERROR(__xludf.DUMMYFUNCTION("GOOGLEFINANCE(A568,""PRICE"")"),352.5)</f>
        <v>352.5</v>
      </c>
      <c r="C568" s="14">
        <f>IFERROR(__xludf.DUMMYFUNCTION("GOOGLEFINANCE(A568,""PRICEOPEN"")"),349.85)</f>
        <v>349.85</v>
      </c>
      <c r="D568" s="14">
        <f>IFERROR(__xludf.DUMMYFUNCTION("GOOGLEFINANCE(A568,""HIGH"")"),353.85)</f>
        <v>353.85</v>
      </c>
      <c r="E568" s="14">
        <f>IFERROR(__xludf.DUMMYFUNCTION("GOOGLEFINANCE(A568,""LOW"")"),348.0)</f>
        <v>348</v>
      </c>
      <c r="F568" s="15" t="str">
        <f t="shared" si="8"/>
        <v/>
      </c>
      <c r="G568" s="16">
        <f>IFERROR(__xludf.DUMMYFUNCTION("GOOGLEFINANCE(A568,""CLOSEYEST"")"),349.85)</f>
        <v>349.85</v>
      </c>
      <c r="H568" s="17" t="str">
        <f t="shared" si="14"/>
        <v/>
      </c>
      <c r="I568" s="18">
        <f t="shared" si="9"/>
        <v>350.5666667</v>
      </c>
      <c r="J568" s="19">
        <f t="shared" si="10"/>
        <v>353.1333333</v>
      </c>
      <c r="K568" s="19"/>
      <c r="L568" s="19">
        <f t="shared" si="11"/>
        <v>347.2833333</v>
      </c>
      <c r="M568" s="19">
        <f t="shared" si="12"/>
        <v>356.4166667</v>
      </c>
      <c r="N568" s="19">
        <f t="shared" si="13"/>
        <v>344.7166667</v>
      </c>
    </row>
    <row r="569" ht="24.75" customHeight="1">
      <c r="A569" s="21" t="s">
        <v>532</v>
      </c>
      <c r="B569" s="13">
        <f>IFERROR(__xludf.DUMMYFUNCTION("GOOGLEFINANCE(A569,""PRICE"")"),272.5)</f>
        <v>272.5</v>
      </c>
      <c r="C569" s="14">
        <f>IFERROR(__xludf.DUMMYFUNCTION("GOOGLEFINANCE(A569,""PRICEOPEN"")"),274.0)</f>
        <v>274</v>
      </c>
      <c r="D569" s="14">
        <f>IFERROR(__xludf.DUMMYFUNCTION("GOOGLEFINANCE(A569,""HIGH"")"),280.95)</f>
        <v>280.95</v>
      </c>
      <c r="E569" s="14">
        <f>IFERROR(__xludf.DUMMYFUNCTION("GOOGLEFINANCE(A569,""LOW"")"),270.1)</f>
        <v>270.1</v>
      </c>
      <c r="F569" s="15" t="str">
        <f t="shared" si="8"/>
        <v/>
      </c>
      <c r="G569" s="16">
        <f>IFERROR(__xludf.DUMMYFUNCTION("GOOGLEFINANCE(A569,""CLOSEYEST"")"),273.85)</f>
        <v>273.85</v>
      </c>
      <c r="H569" s="17" t="str">
        <f t="shared" si="14"/>
        <v/>
      </c>
      <c r="I569" s="18">
        <f t="shared" si="9"/>
        <v>274.9666667</v>
      </c>
      <c r="J569" s="19">
        <f t="shared" si="10"/>
        <v>279.8333333</v>
      </c>
      <c r="K569" s="19"/>
      <c r="L569" s="19">
        <f t="shared" si="11"/>
        <v>268.9833333</v>
      </c>
      <c r="M569" s="19">
        <f t="shared" si="12"/>
        <v>285.8166667</v>
      </c>
      <c r="N569" s="19">
        <f t="shared" si="13"/>
        <v>264.1166667</v>
      </c>
    </row>
    <row r="570" ht="24.75" customHeight="1">
      <c r="A570" s="21" t="s">
        <v>533</v>
      </c>
      <c r="B570" s="13">
        <f>IFERROR(__xludf.DUMMYFUNCTION("GOOGLEFINANCE(A570,""PRICE"")"),8.18)</f>
        <v>8.18</v>
      </c>
      <c r="C570" s="14">
        <f>IFERROR(__xludf.DUMMYFUNCTION("GOOGLEFINANCE(A570,""PRICEOPEN"")"),8.17)</f>
        <v>8.17</v>
      </c>
      <c r="D570" s="14">
        <f>IFERROR(__xludf.DUMMYFUNCTION("GOOGLEFINANCE(A570,""HIGH"")"),8.22)</f>
        <v>8.22</v>
      </c>
      <c r="E570" s="14">
        <f>IFERROR(__xludf.DUMMYFUNCTION("GOOGLEFINANCE(A570,""LOW"")"),8.05)</f>
        <v>8.05</v>
      </c>
      <c r="F570" s="15" t="str">
        <f t="shared" si="8"/>
        <v/>
      </c>
      <c r="G570" s="16">
        <f>IFERROR(__xludf.DUMMYFUNCTION("GOOGLEFINANCE(A570,""CLOSEYEST"")"),8.13)</f>
        <v>8.13</v>
      </c>
      <c r="H570" s="17" t="str">
        <f t="shared" si="14"/>
        <v/>
      </c>
      <c r="I570" s="18">
        <f t="shared" si="9"/>
        <v>8.133333333</v>
      </c>
      <c r="J570" s="19">
        <f t="shared" si="10"/>
        <v>8.216666667</v>
      </c>
      <c r="K570" s="19"/>
      <c r="L570" s="19">
        <f t="shared" si="11"/>
        <v>8.046666667</v>
      </c>
      <c r="M570" s="19">
        <f t="shared" si="12"/>
        <v>8.303333333</v>
      </c>
      <c r="N570" s="19">
        <f t="shared" si="13"/>
        <v>7.963333333</v>
      </c>
    </row>
    <row r="571" ht="24.75" customHeight="1">
      <c r="A571" s="21" t="s">
        <v>534</v>
      </c>
      <c r="B571" s="13">
        <f>IFERROR(__xludf.DUMMYFUNCTION("GOOGLEFINANCE(A571,""PRICE"")"),539.0)</f>
        <v>539</v>
      </c>
      <c r="C571" s="14">
        <f>IFERROR(__xludf.DUMMYFUNCTION("GOOGLEFINANCE(A571,""PRICEOPEN"")"),536.8)</f>
        <v>536.8</v>
      </c>
      <c r="D571" s="14">
        <f>IFERROR(__xludf.DUMMYFUNCTION("GOOGLEFINANCE(A571,""HIGH"")"),539.0)</f>
        <v>539</v>
      </c>
      <c r="E571" s="14">
        <f>IFERROR(__xludf.DUMMYFUNCTION("GOOGLEFINANCE(A571,""LOW"")"),528.0)</f>
        <v>528</v>
      </c>
      <c r="F571" s="15" t="str">
        <f t="shared" si="8"/>
        <v/>
      </c>
      <c r="G571" s="16">
        <f>IFERROR(__xludf.DUMMYFUNCTION("GOOGLEFINANCE(A571,""CLOSEYEST"")"),536.8)</f>
        <v>536.8</v>
      </c>
      <c r="H571" s="17" t="str">
        <f t="shared" si="14"/>
        <v/>
      </c>
      <c r="I571" s="18">
        <f t="shared" si="9"/>
        <v>534.6</v>
      </c>
      <c r="J571" s="19">
        <f t="shared" si="10"/>
        <v>541.2</v>
      </c>
      <c r="K571" s="19"/>
      <c r="L571" s="19">
        <f t="shared" si="11"/>
        <v>530.2</v>
      </c>
      <c r="M571" s="19">
        <f t="shared" si="12"/>
        <v>545.6</v>
      </c>
      <c r="N571" s="19">
        <f t="shared" si="13"/>
        <v>523.6</v>
      </c>
    </row>
    <row r="572" ht="24.75" customHeight="1">
      <c r="A572" s="21" t="s">
        <v>535</v>
      </c>
      <c r="B572" s="13">
        <f>IFERROR(__xludf.DUMMYFUNCTION("GOOGLEFINANCE(A572,""PRICE"")"),11.7)</f>
        <v>11.7</v>
      </c>
      <c r="C572" s="14">
        <f>IFERROR(__xludf.DUMMYFUNCTION("GOOGLEFINANCE(A572,""PRICEOPEN"")"),11.55)</f>
        <v>11.55</v>
      </c>
      <c r="D572" s="14">
        <f>IFERROR(__xludf.DUMMYFUNCTION("GOOGLEFINANCE(A572,""HIGH"")"),11.7)</f>
        <v>11.7</v>
      </c>
      <c r="E572" s="14">
        <f>IFERROR(__xludf.DUMMYFUNCTION("GOOGLEFINANCE(A572,""LOW"")"),11.47)</f>
        <v>11.47</v>
      </c>
      <c r="F572" s="15" t="str">
        <f t="shared" si="8"/>
        <v/>
      </c>
      <c r="G572" s="16">
        <f>IFERROR(__xludf.DUMMYFUNCTION("GOOGLEFINANCE(A572,""CLOSEYEST"")"),11.53)</f>
        <v>11.53</v>
      </c>
      <c r="H572" s="17" t="str">
        <f t="shared" si="14"/>
        <v/>
      </c>
      <c r="I572" s="18">
        <f t="shared" si="9"/>
        <v>11.56666667</v>
      </c>
      <c r="J572" s="19">
        <f t="shared" si="10"/>
        <v>11.66333333</v>
      </c>
      <c r="K572" s="19"/>
      <c r="L572" s="19">
        <f t="shared" si="11"/>
        <v>11.43333333</v>
      </c>
      <c r="M572" s="19">
        <f t="shared" si="12"/>
        <v>11.79666667</v>
      </c>
      <c r="N572" s="19">
        <f t="shared" si="13"/>
        <v>11.33666667</v>
      </c>
    </row>
    <row r="573" ht="24.75" customHeight="1">
      <c r="A573" s="21" t="s">
        <v>536</v>
      </c>
      <c r="B573" s="13">
        <f>IFERROR(__xludf.DUMMYFUNCTION("GOOGLEFINANCE(A573,""PRICE"")"),1070.0)</f>
        <v>1070</v>
      </c>
      <c r="C573" s="14">
        <f>IFERROR(__xludf.DUMMYFUNCTION("GOOGLEFINANCE(A573,""PRICEOPEN"")"),1063.0)</f>
        <v>1063</v>
      </c>
      <c r="D573" s="14">
        <f>IFERROR(__xludf.DUMMYFUNCTION("GOOGLEFINANCE(A573,""HIGH"")"),1071.8)</f>
        <v>1071.8</v>
      </c>
      <c r="E573" s="14">
        <f>IFERROR(__xludf.DUMMYFUNCTION("GOOGLEFINANCE(A573,""LOW"")"),1056.2)</f>
        <v>1056.2</v>
      </c>
      <c r="F573" s="15" t="str">
        <f t="shared" si="8"/>
        <v/>
      </c>
      <c r="G573" s="16">
        <f>IFERROR(__xludf.DUMMYFUNCTION("GOOGLEFINANCE(A573,""CLOSEYEST"")"),1063.7)</f>
        <v>1063.7</v>
      </c>
      <c r="H573" s="17" t="str">
        <f t="shared" si="14"/>
        <v/>
      </c>
      <c r="I573" s="18">
        <f t="shared" si="9"/>
        <v>1063.9</v>
      </c>
      <c r="J573" s="19">
        <f t="shared" si="10"/>
        <v>1071.6</v>
      </c>
      <c r="K573" s="19"/>
      <c r="L573" s="19">
        <f t="shared" si="11"/>
        <v>1056</v>
      </c>
      <c r="M573" s="19">
        <f t="shared" si="12"/>
        <v>1079.5</v>
      </c>
      <c r="N573" s="19">
        <f t="shared" si="13"/>
        <v>1048.3</v>
      </c>
    </row>
    <row r="574" ht="24.75" customHeight="1">
      <c r="A574" s="21" t="s">
        <v>537</v>
      </c>
      <c r="B574" s="13">
        <f>IFERROR(__xludf.DUMMYFUNCTION("GOOGLEFINANCE(A574,""PRICE"")"),251.8)</f>
        <v>251.8</v>
      </c>
      <c r="C574" s="14">
        <f>IFERROR(__xludf.DUMMYFUNCTION("GOOGLEFINANCE(A574,""PRICEOPEN"")"),250.45)</f>
        <v>250.45</v>
      </c>
      <c r="D574" s="14">
        <f>IFERROR(__xludf.DUMMYFUNCTION("GOOGLEFINANCE(A574,""HIGH"")"),252.9)</f>
        <v>252.9</v>
      </c>
      <c r="E574" s="14">
        <f>IFERROR(__xludf.DUMMYFUNCTION("GOOGLEFINANCE(A574,""LOW"")"),248.75)</f>
        <v>248.75</v>
      </c>
      <c r="F574" s="15" t="str">
        <f t="shared" si="8"/>
        <v/>
      </c>
      <c r="G574" s="16">
        <f>IFERROR(__xludf.DUMMYFUNCTION("GOOGLEFINANCE(A574,""CLOSEYEST"")"),250.45)</f>
        <v>250.45</v>
      </c>
      <c r="H574" s="17" t="str">
        <f t="shared" si="14"/>
        <v/>
      </c>
      <c r="I574" s="18">
        <f t="shared" si="9"/>
        <v>250.7</v>
      </c>
      <c r="J574" s="19">
        <f t="shared" si="10"/>
        <v>252.65</v>
      </c>
      <c r="K574" s="19"/>
      <c r="L574" s="19">
        <f t="shared" si="11"/>
        <v>248.5</v>
      </c>
      <c r="M574" s="19">
        <f t="shared" si="12"/>
        <v>254.85</v>
      </c>
      <c r="N574" s="19">
        <f t="shared" si="13"/>
        <v>246.55</v>
      </c>
    </row>
    <row r="575" ht="24.75" customHeight="1">
      <c r="A575" s="21" t="s">
        <v>538</v>
      </c>
      <c r="B575" s="13">
        <f>IFERROR(__xludf.DUMMYFUNCTION("GOOGLEFINANCE(A575,""PRICE"")"),586.8)</f>
        <v>586.8</v>
      </c>
      <c r="C575" s="14">
        <f>IFERROR(__xludf.DUMMYFUNCTION("GOOGLEFINANCE(A575,""PRICEOPEN"")"),594.0)</f>
        <v>594</v>
      </c>
      <c r="D575" s="14">
        <f>IFERROR(__xludf.DUMMYFUNCTION("GOOGLEFINANCE(A575,""HIGH"")"),595.0)</f>
        <v>595</v>
      </c>
      <c r="E575" s="14">
        <f>IFERROR(__xludf.DUMMYFUNCTION("GOOGLEFINANCE(A575,""LOW"")"),579.5)</f>
        <v>579.5</v>
      </c>
      <c r="F575" s="15" t="str">
        <f t="shared" si="8"/>
        <v/>
      </c>
      <c r="G575" s="16">
        <f>IFERROR(__xludf.DUMMYFUNCTION("GOOGLEFINANCE(A575,""CLOSEYEST"")"),582.55)</f>
        <v>582.55</v>
      </c>
      <c r="H575" s="17" t="str">
        <f t="shared" si="14"/>
        <v>GAP UP</v>
      </c>
      <c r="I575" s="18">
        <f t="shared" si="9"/>
        <v>585.6833333</v>
      </c>
      <c r="J575" s="19">
        <f t="shared" si="10"/>
        <v>591.8666667</v>
      </c>
      <c r="K575" s="19"/>
      <c r="L575" s="19">
        <f t="shared" si="11"/>
        <v>576.3666667</v>
      </c>
      <c r="M575" s="19">
        <f t="shared" si="12"/>
        <v>601.1833333</v>
      </c>
      <c r="N575" s="19">
        <f t="shared" si="13"/>
        <v>570.1833333</v>
      </c>
    </row>
    <row r="576" ht="24.75" customHeight="1">
      <c r="A576" s="21" t="s">
        <v>539</v>
      </c>
      <c r="B576" s="13">
        <f>IFERROR(__xludf.DUMMYFUNCTION("GOOGLEFINANCE(A576,""PRICE"")"),180.5)</f>
        <v>180.5</v>
      </c>
      <c r="C576" s="14">
        <f>IFERROR(__xludf.DUMMYFUNCTION("GOOGLEFINANCE(A576,""PRICEOPEN"")"),174.0)</f>
        <v>174</v>
      </c>
      <c r="D576" s="14">
        <f>IFERROR(__xludf.DUMMYFUNCTION("GOOGLEFINANCE(A576,""HIGH"")"),181.39)</f>
        <v>181.39</v>
      </c>
      <c r="E576" s="14">
        <f>IFERROR(__xludf.DUMMYFUNCTION("GOOGLEFINANCE(A576,""LOW"")"),174.0)</f>
        <v>174</v>
      </c>
      <c r="F576" s="15" t="str">
        <f t="shared" si="8"/>
        <v>BUY</v>
      </c>
      <c r="G576" s="16">
        <f>IFERROR(__xludf.DUMMYFUNCTION("GOOGLEFINANCE(A576,""CLOSEYEST"")"),173.97)</f>
        <v>173.97</v>
      </c>
      <c r="H576" s="17" t="str">
        <f t="shared" si="14"/>
        <v/>
      </c>
      <c r="I576" s="18">
        <f t="shared" si="9"/>
        <v>176.4533333</v>
      </c>
      <c r="J576" s="19">
        <f t="shared" si="10"/>
        <v>178.9066667</v>
      </c>
      <c r="K576" s="19"/>
      <c r="L576" s="19">
        <f t="shared" si="11"/>
        <v>171.5166667</v>
      </c>
      <c r="M576" s="19">
        <f t="shared" si="12"/>
        <v>183.8433333</v>
      </c>
      <c r="N576" s="19">
        <f t="shared" si="13"/>
        <v>169.0633333</v>
      </c>
    </row>
    <row r="577" ht="24.75" customHeight="1">
      <c r="A577" s="21" t="s">
        <v>540</v>
      </c>
      <c r="B577" s="13" t="str">
        <f>IFERROR(__xludf.DUMMYFUNCTION("GOOGLEFINANCE(A577,""PRICE"")"),"#N/A")</f>
        <v>#N/A</v>
      </c>
      <c r="C577" s="14" t="str">
        <f>IFERROR(__xludf.DUMMYFUNCTION("GOOGLEFINANCE(A577,""PRICEOPEN"")"),"#N/A")</f>
        <v>#N/A</v>
      </c>
      <c r="D577" s="14" t="str">
        <f>IFERROR(__xludf.DUMMYFUNCTION("GOOGLEFINANCE(A577,""HIGH"")"),"#N/A")</f>
        <v>#N/A</v>
      </c>
      <c r="E577" s="14" t="str">
        <f>IFERROR(__xludf.DUMMYFUNCTION("GOOGLEFINANCE(A577,""LOW"")"),"#N/A")</f>
        <v>#N/A</v>
      </c>
      <c r="F577" s="15" t="str">
        <f t="shared" si="8"/>
        <v>#N/A</v>
      </c>
      <c r="G577" s="16" t="str">
        <f>IFERROR(__xludf.DUMMYFUNCTION("GOOGLEFINANCE(A577,""CLOSEYEST"")"),"#N/A")</f>
        <v>#N/A</v>
      </c>
      <c r="H577" s="17" t="str">
        <f t="shared" si="14"/>
        <v>#N/A</v>
      </c>
      <c r="I577" s="18" t="str">
        <f t="shared" si="9"/>
        <v>#N/A</v>
      </c>
      <c r="J577" s="19" t="str">
        <f t="shared" si="10"/>
        <v>#N/A</v>
      </c>
      <c r="K577" s="19"/>
      <c r="L577" s="19" t="str">
        <f t="shared" si="11"/>
        <v>#N/A</v>
      </c>
      <c r="M577" s="19" t="str">
        <f t="shared" si="12"/>
        <v>#N/A</v>
      </c>
      <c r="N577" s="19" t="str">
        <f t="shared" si="13"/>
        <v>#N/A</v>
      </c>
    </row>
    <row r="578" ht="24.75" customHeight="1">
      <c r="A578" s="21" t="s">
        <v>541</v>
      </c>
      <c r="B578" s="13" t="str">
        <f>IFERROR(__xludf.DUMMYFUNCTION("GOOGLEFINANCE(A578,""PRICE"")"),"#N/A")</f>
        <v>#N/A</v>
      </c>
      <c r="C578" s="14" t="str">
        <f>IFERROR(__xludf.DUMMYFUNCTION("GOOGLEFINANCE(A578,""PRICEOPEN"")"),"#N/A")</f>
        <v>#N/A</v>
      </c>
      <c r="D578" s="14" t="str">
        <f>IFERROR(__xludf.DUMMYFUNCTION("GOOGLEFINANCE(A578,""HIGH"")"),"#N/A")</f>
        <v>#N/A</v>
      </c>
      <c r="E578" s="14" t="str">
        <f>IFERROR(__xludf.DUMMYFUNCTION("GOOGLEFINANCE(A578,""LOW"")"),"#N/A")</f>
        <v>#N/A</v>
      </c>
      <c r="F578" s="15" t="str">
        <f t="shared" si="8"/>
        <v>#N/A</v>
      </c>
      <c r="G578" s="16" t="str">
        <f>IFERROR(__xludf.DUMMYFUNCTION("GOOGLEFINANCE(A578,""CLOSEYEST"")"),"#N/A")</f>
        <v>#N/A</v>
      </c>
      <c r="H578" s="17" t="str">
        <f t="shared" si="14"/>
        <v>#N/A</v>
      </c>
      <c r="I578" s="18" t="str">
        <f t="shared" si="9"/>
        <v>#N/A</v>
      </c>
      <c r="J578" s="19" t="str">
        <f t="shared" si="10"/>
        <v>#N/A</v>
      </c>
      <c r="K578" s="19"/>
      <c r="L578" s="19" t="str">
        <f t="shared" si="11"/>
        <v>#N/A</v>
      </c>
      <c r="M578" s="19" t="str">
        <f t="shared" si="12"/>
        <v>#N/A</v>
      </c>
      <c r="N578" s="19" t="str">
        <f t="shared" si="13"/>
        <v>#N/A</v>
      </c>
    </row>
    <row r="579" ht="24.75" customHeight="1">
      <c r="A579" s="21" t="s">
        <v>542</v>
      </c>
      <c r="B579" s="13" t="str">
        <f>IFERROR(__xludf.DUMMYFUNCTION("GOOGLEFINANCE(A579,""PRICE"")"),"#N/A")</f>
        <v>#N/A</v>
      </c>
      <c r="C579" s="14" t="str">
        <f>IFERROR(__xludf.DUMMYFUNCTION("GOOGLEFINANCE(A579,""PRICEOPEN"")"),"#N/A")</f>
        <v>#N/A</v>
      </c>
      <c r="D579" s="14" t="str">
        <f>IFERROR(__xludf.DUMMYFUNCTION("GOOGLEFINANCE(A579,""HIGH"")"),"#N/A")</f>
        <v>#N/A</v>
      </c>
      <c r="E579" s="14" t="str">
        <f>IFERROR(__xludf.DUMMYFUNCTION("GOOGLEFINANCE(A579,""LOW"")"),"#N/A")</f>
        <v>#N/A</v>
      </c>
      <c r="F579" s="15" t="str">
        <f t="shared" si="8"/>
        <v>#N/A</v>
      </c>
      <c r="G579" s="16" t="str">
        <f>IFERROR(__xludf.DUMMYFUNCTION("GOOGLEFINANCE(A579,""CLOSEYEST"")"),"#N/A")</f>
        <v>#N/A</v>
      </c>
      <c r="H579" s="17" t="str">
        <f t="shared" si="14"/>
        <v>#N/A</v>
      </c>
      <c r="I579" s="18" t="str">
        <f t="shared" si="9"/>
        <v>#N/A</v>
      </c>
      <c r="J579" s="19" t="str">
        <f t="shared" si="10"/>
        <v>#N/A</v>
      </c>
      <c r="K579" s="19"/>
      <c r="L579" s="19" t="str">
        <f t="shared" si="11"/>
        <v>#N/A</v>
      </c>
      <c r="M579" s="19" t="str">
        <f t="shared" si="12"/>
        <v>#N/A</v>
      </c>
      <c r="N579" s="19" t="str">
        <f t="shared" si="13"/>
        <v>#N/A</v>
      </c>
    </row>
    <row r="580" ht="24.75" customHeight="1">
      <c r="A580" s="21" t="s">
        <v>543</v>
      </c>
      <c r="B580" s="13">
        <f>IFERROR(__xludf.DUMMYFUNCTION("GOOGLEFINANCE(A580,""PRICE"")"),381.9)</f>
        <v>381.9</v>
      </c>
      <c r="C580" s="14">
        <f>IFERROR(__xludf.DUMMYFUNCTION("GOOGLEFINANCE(A580,""PRICEOPEN"")"),375.45)</f>
        <v>375.45</v>
      </c>
      <c r="D580" s="14">
        <f>IFERROR(__xludf.DUMMYFUNCTION("GOOGLEFINANCE(A580,""HIGH"")"),385.75)</f>
        <v>385.75</v>
      </c>
      <c r="E580" s="14">
        <f>IFERROR(__xludf.DUMMYFUNCTION("GOOGLEFINANCE(A580,""LOW"")"),373.0)</f>
        <v>373</v>
      </c>
      <c r="F580" s="15" t="str">
        <f t="shared" si="8"/>
        <v/>
      </c>
      <c r="G580" s="16">
        <f>IFERROR(__xludf.DUMMYFUNCTION("GOOGLEFINANCE(A580,""CLOSEYEST"")"),372.15)</f>
        <v>372.15</v>
      </c>
      <c r="H580" s="17" t="str">
        <f t="shared" si="14"/>
        <v/>
      </c>
      <c r="I580" s="18">
        <f t="shared" si="9"/>
        <v>376.9666667</v>
      </c>
      <c r="J580" s="19">
        <f t="shared" si="10"/>
        <v>380.9333333</v>
      </c>
      <c r="K580" s="19"/>
      <c r="L580" s="19">
        <f t="shared" si="11"/>
        <v>368.1833333</v>
      </c>
      <c r="M580" s="19">
        <f t="shared" si="12"/>
        <v>389.7166667</v>
      </c>
      <c r="N580" s="19">
        <f t="shared" si="13"/>
        <v>364.2166667</v>
      </c>
    </row>
    <row r="581" ht="24.75" customHeight="1">
      <c r="A581" s="21" t="s">
        <v>544</v>
      </c>
      <c r="B581" s="13" t="str">
        <f>IFERROR(__xludf.DUMMYFUNCTION("GOOGLEFINANCE(A581,""PRICE"")"),"#N/A")</f>
        <v>#N/A</v>
      </c>
      <c r="C581" s="14" t="str">
        <f>IFERROR(__xludf.DUMMYFUNCTION("GOOGLEFINANCE(A581,""PRICEOPEN"")"),"#N/A")</f>
        <v>#N/A</v>
      </c>
      <c r="D581" s="14" t="str">
        <f>IFERROR(__xludf.DUMMYFUNCTION("GOOGLEFINANCE(A581,""HIGH"")"),"#N/A")</f>
        <v>#N/A</v>
      </c>
      <c r="E581" s="14" t="str">
        <f>IFERROR(__xludf.DUMMYFUNCTION("GOOGLEFINANCE(A581,""LOW"")"),"#N/A")</f>
        <v>#N/A</v>
      </c>
      <c r="F581" s="15" t="str">
        <f t="shared" si="8"/>
        <v>#N/A</v>
      </c>
      <c r="G581" s="16" t="str">
        <f>IFERROR(__xludf.DUMMYFUNCTION("GOOGLEFINANCE(A581,""CLOSEYEST"")"),"#N/A")</f>
        <v>#N/A</v>
      </c>
      <c r="H581" s="17" t="str">
        <f t="shared" si="14"/>
        <v>#N/A</v>
      </c>
      <c r="I581" s="18" t="str">
        <f t="shared" si="9"/>
        <v>#N/A</v>
      </c>
      <c r="J581" s="19" t="str">
        <f t="shared" si="10"/>
        <v>#N/A</v>
      </c>
      <c r="K581" s="19"/>
      <c r="L581" s="19" t="str">
        <f t="shared" si="11"/>
        <v>#N/A</v>
      </c>
      <c r="M581" s="19" t="str">
        <f t="shared" si="12"/>
        <v>#N/A</v>
      </c>
      <c r="N581" s="19" t="str">
        <f t="shared" si="13"/>
        <v>#N/A</v>
      </c>
    </row>
    <row r="582" ht="24.75" customHeight="1">
      <c r="A582" s="21" t="s">
        <v>545</v>
      </c>
      <c r="B582" s="13">
        <f>IFERROR(__xludf.DUMMYFUNCTION("GOOGLEFINANCE(A582,""PRICE"")"),368.0)</f>
        <v>368</v>
      </c>
      <c r="C582" s="14">
        <f>IFERROR(__xludf.DUMMYFUNCTION("GOOGLEFINANCE(A582,""PRICEOPEN"")"),363.8)</f>
        <v>363.8</v>
      </c>
      <c r="D582" s="14">
        <f>IFERROR(__xludf.DUMMYFUNCTION("GOOGLEFINANCE(A582,""HIGH"")"),375.0)</f>
        <v>375</v>
      </c>
      <c r="E582" s="14">
        <f>IFERROR(__xludf.DUMMYFUNCTION("GOOGLEFINANCE(A582,""LOW"")"),360.7)</f>
        <v>360.7</v>
      </c>
      <c r="F582" s="15" t="str">
        <f t="shared" si="8"/>
        <v/>
      </c>
      <c r="G582" s="16">
        <f>IFERROR(__xludf.DUMMYFUNCTION("GOOGLEFINANCE(A582,""CLOSEYEST"")"),361.1)</f>
        <v>361.1</v>
      </c>
      <c r="H582" s="17" t="str">
        <f t="shared" si="14"/>
        <v/>
      </c>
      <c r="I582" s="18">
        <f t="shared" si="9"/>
        <v>365.6</v>
      </c>
      <c r="J582" s="19">
        <f t="shared" si="10"/>
        <v>370.5</v>
      </c>
      <c r="K582" s="19"/>
      <c r="L582" s="19">
        <f t="shared" si="11"/>
        <v>356.2</v>
      </c>
      <c r="M582" s="19">
        <f t="shared" si="12"/>
        <v>379.9</v>
      </c>
      <c r="N582" s="19">
        <f t="shared" si="13"/>
        <v>351.3</v>
      </c>
    </row>
    <row r="583" ht="24.75" customHeight="1">
      <c r="A583" s="21" t="s">
        <v>546</v>
      </c>
      <c r="B583" s="13" t="str">
        <f>IFERROR(__xludf.DUMMYFUNCTION("GOOGLEFINANCE(A583,""PRICE"")"),"#N/A")</f>
        <v>#N/A</v>
      </c>
      <c r="C583" s="14" t="str">
        <f>IFERROR(__xludf.DUMMYFUNCTION("GOOGLEFINANCE(A583,""PRICEOPEN"")"),"#N/A")</f>
        <v>#N/A</v>
      </c>
      <c r="D583" s="14" t="str">
        <f>IFERROR(__xludf.DUMMYFUNCTION("GOOGLEFINANCE(A583,""HIGH"")"),"#N/A")</f>
        <v>#N/A</v>
      </c>
      <c r="E583" s="14" t="str">
        <f>IFERROR(__xludf.DUMMYFUNCTION("GOOGLEFINANCE(A583,""LOW"")"),"#N/A")</f>
        <v>#N/A</v>
      </c>
      <c r="F583" s="15" t="str">
        <f t="shared" si="8"/>
        <v>#N/A</v>
      </c>
      <c r="G583" s="16" t="str">
        <f>IFERROR(__xludf.DUMMYFUNCTION("GOOGLEFINANCE(A583,""CLOSEYEST"")"),"#N/A")</f>
        <v>#N/A</v>
      </c>
      <c r="H583" s="17" t="str">
        <f t="shared" si="14"/>
        <v>#N/A</v>
      </c>
      <c r="I583" s="18" t="str">
        <f t="shared" si="9"/>
        <v>#N/A</v>
      </c>
      <c r="J583" s="19" t="str">
        <f t="shared" si="10"/>
        <v>#N/A</v>
      </c>
      <c r="K583" s="19"/>
      <c r="L583" s="19" t="str">
        <f t="shared" si="11"/>
        <v>#N/A</v>
      </c>
      <c r="M583" s="19" t="str">
        <f t="shared" si="12"/>
        <v>#N/A</v>
      </c>
      <c r="N583" s="19" t="str">
        <f t="shared" si="13"/>
        <v>#N/A</v>
      </c>
    </row>
    <row r="584" ht="24.75" customHeight="1">
      <c r="A584" s="21" t="s">
        <v>547</v>
      </c>
      <c r="B584" s="13">
        <f>IFERROR(__xludf.DUMMYFUNCTION("GOOGLEFINANCE(A584,""PRICE"")"),389.5)</f>
        <v>389.5</v>
      </c>
      <c r="C584" s="14">
        <f>IFERROR(__xludf.DUMMYFUNCTION("GOOGLEFINANCE(A584,""PRICEOPEN"")"),368.45)</f>
        <v>368.45</v>
      </c>
      <c r="D584" s="14">
        <f>IFERROR(__xludf.DUMMYFUNCTION("GOOGLEFINANCE(A584,""HIGH"")"),395.7)</f>
        <v>395.7</v>
      </c>
      <c r="E584" s="14">
        <f>IFERROR(__xludf.DUMMYFUNCTION("GOOGLEFINANCE(A584,""LOW"")"),365.8)</f>
        <v>365.8</v>
      </c>
      <c r="F584" s="15" t="str">
        <f t="shared" si="8"/>
        <v/>
      </c>
      <c r="G584" s="16">
        <f>IFERROR(__xludf.DUMMYFUNCTION("GOOGLEFINANCE(A584,""CLOSEYEST"")"),368.4)</f>
        <v>368.4</v>
      </c>
      <c r="H584" s="17" t="str">
        <f t="shared" si="14"/>
        <v/>
      </c>
      <c r="I584" s="18">
        <f t="shared" si="9"/>
        <v>376.6333333</v>
      </c>
      <c r="J584" s="19">
        <f t="shared" si="10"/>
        <v>387.4666667</v>
      </c>
      <c r="K584" s="19"/>
      <c r="L584" s="19">
        <f t="shared" si="11"/>
        <v>357.5666667</v>
      </c>
      <c r="M584" s="19">
        <f t="shared" si="12"/>
        <v>406.5333333</v>
      </c>
      <c r="N584" s="19">
        <f t="shared" si="13"/>
        <v>346.7333333</v>
      </c>
    </row>
    <row r="585" ht="24.75" customHeight="1">
      <c r="A585" s="21" t="s">
        <v>548</v>
      </c>
      <c r="B585" s="13" t="str">
        <f>IFERROR(__xludf.DUMMYFUNCTION("GOOGLEFINANCE(A585,""PRICE"")"),"#N/A")</f>
        <v>#N/A</v>
      </c>
      <c r="C585" s="14" t="str">
        <f>IFERROR(__xludf.DUMMYFUNCTION("GOOGLEFINANCE(A585,""PRICEOPEN"")"),"#N/A")</f>
        <v>#N/A</v>
      </c>
      <c r="D585" s="14" t="str">
        <f>IFERROR(__xludf.DUMMYFUNCTION("GOOGLEFINANCE(A585,""HIGH"")"),"#N/A")</f>
        <v>#N/A</v>
      </c>
      <c r="E585" s="14" t="str">
        <f>IFERROR(__xludf.DUMMYFUNCTION("GOOGLEFINANCE(A585,""LOW"")"),"#N/A")</f>
        <v>#N/A</v>
      </c>
      <c r="F585" s="15" t="str">
        <f t="shared" si="8"/>
        <v>#N/A</v>
      </c>
      <c r="G585" s="16" t="str">
        <f>IFERROR(__xludf.DUMMYFUNCTION("GOOGLEFINANCE(A585,""CLOSEYEST"")"),"#N/A")</f>
        <v>#N/A</v>
      </c>
      <c r="H585" s="17" t="str">
        <f t="shared" si="14"/>
        <v>#N/A</v>
      </c>
      <c r="I585" s="18" t="str">
        <f t="shared" si="9"/>
        <v>#N/A</v>
      </c>
      <c r="J585" s="19" t="str">
        <f t="shared" si="10"/>
        <v>#N/A</v>
      </c>
      <c r="K585" s="19"/>
      <c r="L585" s="19" t="str">
        <f t="shared" si="11"/>
        <v>#N/A</v>
      </c>
      <c r="M585" s="19" t="str">
        <f t="shared" si="12"/>
        <v>#N/A</v>
      </c>
      <c r="N585" s="19" t="str">
        <f t="shared" si="13"/>
        <v>#N/A</v>
      </c>
    </row>
    <row r="586" ht="24.75" customHeight="1">
      <c r="A586" s="21" t="s">
        <v>549</v>
      </c>
      <c r="B586" s="13">
        <f>IFERROR(__xludf.DUMMYFUNCTION("GOOGLEFINANCE(A586,""PRICE"")"),1300.7)</f>
        <v>1300.7</v>
      </c>
      <c r="C586" s="14">
        <f>IFERROR(__xludf.DUMMYFUNCTION("GOOGLEFINANCE(A586,""PRICEOPEN"")"),1324.9)</f>
        <v>1324.9</v>
      </c>
      <c r="D586" s="14">
        <f>IFERROR(__xludf.DUMMYFUNCTION("GOOGLEFINANCE(A586,""HIGH"")"),1324.9)</f>
        <v>1324.9</v>
      </c>
      <c r="E586" s="14">
        <f>IFERROR(__xludf.DUMMYFUNCTION("GOOGLEFINANCE(A586,""LOW"")"),1283.0)</f>
        <v>1283</v>
      </c>
      <c r="F586" s="15" t="str">
        <f t="shared" si="8"/>
        <v>SELL</v>
      </c>
      <c r="G586" s="16">
        <f>IFERROR(__xludf.DUMMYFUNCTION("GOOGLEFINANCE(A586,""CLOSEYEST"")"),1314.4)</f>
        <v>1314.4</v>
      </c>
      <c r="H586" s="17" t="str">
        <f t="shared" si="14"/>
        <v/>
      </c>
      <c r="I586" s="18">
        <f t="shared" si="9"/>
        <v>1307.433333</v>
      </c>
      <c r="J586" s="19">
        <f t="shared" si="10"/>
        <v>1331.866667</v>
      </c>
      <c r="K586" s="19"/>
      <c r="L586" s="19">
        <f t="shared" si="11"/>
        <v>1289.966667</v>
      </c>
      <c r="M586" s="19">
        <f t="shared" si="12"/>
        <v>1349.333333</v>
      </c>
      <c r="N586" s="19">
        <f t="shared" si="13"/>
        <v>1265.533333</v>
      </c>
    </row>
    <row r="587" ht="24.75" customHeight="1">
      <c r="A587" s="21" t="s">
        <v>550</v>
      </c>
      <c r="B587" s="13">
        <f>IFERROR(__xludf.DUMMYFUNCTION("GOOGLEFINANCE(A587,""PRICE"")"),252.4)</f>
        <v>252.4</v>
      </c>
      <c r="C587" s="14">
        <f>IFERROR(__xludf.DUMMYFUNCTION("GOOGLEFINANCE(A587,""PRICEOPEN"")"),252.2)</f>
        <v>252.2</v>
      </c>
      <c r="D587" s="14">
        <f>IFERROR(__xludf.DUMMYFUNCTION("GOOGLEFINANCE(A587,""HIGH"")"),255.65)</f>
        <v>255.65</v>
      </c>
      <c r="E587" s="14">
        <f>IFERROR(__xludf.DUMMYFUNCTION("GOOGLEFINANCE(A587,""LOW"")"),250.05)</f>
        <v>250.05</v>
      </c>
      <c r="F587" s="15" t="str">
        <f t="shared" si="8"/>
        <v/>
      </c>
      <c r="G587" s="16">
        <f>IFERROR(__xludf.DUMMYFUNCTION("GOOGLEFINANCE(A587,""CLOSEYEST"")"),252.8)</f>
        <v>252.8</v>
      </c>
      <c r="H587" s="17" t="str">
        <f t="shared" si="14"/>
        <v/>
      </c>
      <c r="I587" s="18">
        <f t="shared" si="9"/>
        <v>252.8333333</v>
      </c>
      <c r="J587" s="19">
        <f t="shared" si="10"/>
        <v>255.6166667</v>
      </c>
      <c r="K587" s="19"/>
      <c r="L587" s="19">
        <f t="shared" si="11"/>
        <v>250.0166667</v>
      </c>
      <c r="M587" s="19">
        <f t="shared" si="12"/>
        <v>258.4333333</v>
      </c>
      <c r="N587" s="19">
        <f t="shared" si="13"/>
        <v>247.2333333</v>
      </c>
    </row>
    <row r="588" ht="24.75" customHeight="1">
      <c r="A588" s="21" t="s">
        <v>551</v>
      </c>
      <c r="B588" s="13">
        <f>IFERROR(__xludf.DUMMYFUNCTION("GOOGLEFINANCE(A588,""PRICE"")"),0.2)</f>
        <v>0.2</v>
      </c>
      <c r="C588" s="14" t="str">
        <f>IFERROR(__xludf.DUMMYFUNCTION("GOOGLEFINANCE(A588,""PRICEOPEN"")"),"#N/A")</f>
        <v>#N/A</v>
      </c>
      <c r="D588" s="14" t="str">
        <f>IFERROR(__xludf.DUMMYFUNCTION("GOOGLEFINANCE(A588,""HIGH"")"),"#N/A")</f>
        <v>#N/A</v>
      </c>
      <c r="E588" s="14" t="str">
        <f>IFERROR(__xludf.DUMMYFUNCTION("GOOGLEFINANCE(A588,""LOW"")"),"#N/A")</f>
        <v>#N/A</v>
      </c>
      <c r="F588" s="15" t="str">
        <f t="shared" si="8"/>
        <v>#N/A</v>
      </c>
      <c r="G588" s="16">
        <f>IFERROR(__xludf.DUMMYFUNCTION("GOOGLEFINANCE(A588,""CLOSEYEST"")"),0.2)</f>
        <v>0.2</v>
      </c>
      <c r="H588" s="17" t="str">
        <f t="shared" si="14"/>
        <v>#N/A</v>
      </c>
      <c r="I588" s="18" t="str">
        <f t="shared" si="9"/>
        <v>#N/A</v>
      </c>
      <c r="J588" s="19" t="str">
        <f t="shared" si="10"/>
        <v>#N/A</v>
      </c>
      <c r="K588" s="19"/>
      <c r="L588" s="19" t="str">
        <f t="shared" si="11"/>
        <v>#N/A</v>
      </c>
      <c r="M588" s="19" t="str">
        <f t="shared" si="12"/>
        <v>#N/A</v>
      </c>
      <c r="N588" s="19" t="str">
        <f t="shared" si="13"/>
        <v>#N/A</v>
      </c>
    </row>
    <row r="589" ht="24.75" customHeight="1">
      <c r="A589" s="21" t="s">
        <v>552</v>
      </c>
      <c r="B589" s="13">
        <f>IFERROR(__xludf.DUMMYFUNCTION("GOOGLEFINANCE(A589,""PRICE"")"),4160.0)</f>
        <v>4160</v>
      </c>
      <c r="C589" s="14">
        <f>IFERROR(__xludf.DUMMYFUNCTION("GOOGLEFINANCE(A589,""PRICEOPEN"")"),4127.4)</f>
        <v>4127.4</v>
      </c>
      <c r="D589" s="14">
        <f>IFERROR(__xludf.DUMMYFUNCTION("GOOGLEFINANCE(A589,""HIGH"")"),4162.4)</f>
        <v>4162.4</v>
      </c>
      <c r="E589" s="14">
        <f>IFERROR(__xludf.DUMMYFUNCTION("GOOGLEFINANCE(A589,""LOW"")"),4063.6)</f>
        <v>4063.6</v>
      </c>
      <c r="F589" s="15" t="str">
        <f t="shared" si="8"/>
        <v/>
      </c>
      <c r="G589" s="16">
        <f>IFERROR(__xludf.DUMMYFUNCTION("GOOGLEFINANCE(A589,""CLOSEYEST"")"),4127.4)</f>
        <v>4127.4</v>
      </c>
      <c r="H589" s="17" t="str">
        <f t="shared" si="14"/>
        <v/>
      </c>
      <c r="I589" s="18">
        <f t="shared" si="9"/>
        <v>4117.8</v>
      </c>
      <c r="J589" s="19">
        <f t="shared" si="10"/>
        <v>4172</v>
      </c>
      <c r="K589" s="19"/>
      <c r="L589" s="19">
        <f t="shared" si="11"/>
        <v>4073.2</v>
      </c>
      <c r="M589" s="19">
        <f t="shared" si="12"/>
        <v>4216.6</v>
      </c>
      <c r="N589" s="19">
        <f t="shared" si="13"/>
        <v>4019</v>
      </c>
    </row>
    <row r="590" ht="24.75" customHeight="1">
      <c r="A590" s="21" t="s">
        <v>553</v>
      </c>
      <c r="B590" s="13">
        <f>IFERROR(__xludf.DUMMYFUNCTION("GOOGLEFINANCE(A590,""PRICE"")"),353.0)</f>
        <v>353</v>
      </c>
      <c r="C590" s="14">
        <f>IFERROR(__xludf.DUMMYFUNCTION("GOOGLEFINANCE(A590,""PRICEOPEN"")"),349.1)</f>
        <v>349.1</v>
      </c>
      <c r="D590" s="14">
        <f>IFERROR(__xludf.DUMMYFUNCTION("GOOGLEFINANCE(A590,""HIGH"")"),353.7)</f>
        <v>353.7</v>
      </c>
      <c r="E590" s="14">
        <f>IFERROR(__xludf.DUMMYFUNCTION("GOOGLEFINANCE(A590,""LOW"")"),346.75)</f>
        <v>346.75</v>
      </c>
      <c r="F590" s="15" t="str">
        <f t="shared" si="8"/>
        <v/>
      </c>
      <c r="G590" s="16">
        <f>IFERROR(__xludf.DUMMYFUNCTION("GOOGLEFINANCE(A590,""CLOSEYEST"")"),348.35)</f>
        <v>348.35</v>
      </c>
      <c r="H590" s="17" t="str">
        <f t="shared" si="14"/>
        <v/>
      </c>
      <c r="I590" s="18">
        <f t="shared" si="9"/>
        <v>349.6</v>
      </c>
      <c r="J590" s="19">
        <f t="shared" si="10"/>
        <v>352.45</v>
      </c>
      <c r="K590" s="19"/>
      <c r="L590" s="19">
        <f t="shared" si="11"/>
        <v>345.5</v>
      </c>
      <c r="M590" s="19">
        <f t="shared" si="12"/>
        <v>356.55</v>
      </c>
      <c r="N590" s="19">
        <f t="shared" si="13"/>
        <v>342.65</v>
      </c>
    </row>
    <row r="591" ht="24.75" customHeight="1">
      <c r="A591" s="21" t="s">
        <v>554</v>
      </c>
      <c r="B591" s="13">
        <f>IFERROR(__xludf.DUMMYFUNCTION("GOOGLEFINANCE(A591,""PRICE"")"),14.25)</f>
        <v>14.25</v>
      </c>
      <c r="C591" s="14">
        <f>IFERROR(__xludf.DUMMYFUNCTION("GOOGLEFINANCE(A591,""PRICEOPEN"")"),14.04)</f>
        <v>14.04</v>
      </c>
      <c r="D591" s="14">
        <f>IFERROR(__xludf.DUMMYFUNCTION("GOOGLEFINANCE(A591,""HIGH"")"),14.3)</f>
        <v>14.3</v>
      </c>
      <c r="E591" s="14">
        <f>IFERROR(__xludf.DUMMYFUNCTION("GOOGLEFINANCE(A591,""LOW"")"),14.02)</f>
        <v>14.02</v>
      </c>
      <c r="F591" s="15" t="str">
        <f t="shared" si="8"/>
        <v/>
      </c>
      <c r="G591" s="16">
        <f>IFERROR(__xludf.DUMMYFUNCTION("GOOGLEFINANCE(A591,""CLOSEYEST"")"),14.03)</f>
        <v>14.03</v>
      </c>
      <c r="H591" s="17" t="str">
        <f t="shared" si="14"/>
        <v/>
      </c>
      <c r="I591" s="18">
        <f t="shared" si="9"/>
        <v>14.11666667</v>
      </c>
      <c r="J591" s="19">
        <f t="shared" si="10"/>
        <v>14.21333333</v>
      </c>
      <c r="K591" s="19"/>
      <c r="L591" s="19">
        <f t="shared" si="11"/>
        <v>13.93333333</v>
      </c>
      <c r="M591" s="19">
        <f t="shared" si="12"/>
        <v>14.39666667</v>
      </c>
      <c r="N591" s="19">
        <f t="shared" si="13"/>
        <v>13.83666667</v>
      </c>
    </row>
    <row r="592" ht="24.75" customHeight="1">
      <c r="A592" s="21" t="s">
        <v>555</v>
      </c>
      <c r="B592" s="13">
        <f>IFERROR(__xludf.DUMMYFUNCTION("GOOGLEFINANCE(A592,""PRICE"")"),1335.0)</f>
        <v>1335</v>
      </c>
      <c r="C592" s="14">
        <f>IFERROR(__xludf.DUMMYFUNCTION("GOOGLEFINANCE(A592,""PRICEOPEN"")"),1347.0)</f>
        <v>1347</v>
      </c>
      <c r="D592" s="14">
        <f>IFERROR(__xludf.DUMMYFUNCTION("GOOGLEFINANCE(A592,""HIGH"")"),1356.6)</f>
        <v>1356.6</v>
      </c>
      <c r="E592" s="14">
        <f>IFERROR(__xludf.DUMMYFUNCTION("GOOGLEFINANCE(A592,""LOW"")"),1322.0)</f>
        <v>1322</v>
      </c>
      <c r="F592" s="15" t="str">
        <f t="shared" si="8"/>
        <v/>
      </c>
      <c r="G592" s="16">
        <f>IFERROR(__xludf.DUMMYFUNCTION("GOOGLEFINANCE(A592,""CLOSEYEST"")"),1345.9)</f>
        <v>1345.9</v>
      </c>
      <c r="H592" s="17" t="str">
        <f t="shared" si="14"/>
        <v/>
      </c>
      <c r="I592" s="18">
        <f t="shared" si="9"/>
        <v>1341.5</v>
      </c>
      <c r="J592" s="19">
        <f t="shared" si="10"/>
        <v>1361</v>
      </c>
      <c r="K592" s="19"/>
      <c r="L592" s="19">
        <f t="shared" si="11"/>
        <v>1326.4</v>
      </c>
      <c r="M592" s="19">
        <f t="shared" si="12"/>
        <v>1376.1</v>
      </c>
      <c r="N592" s="19">
        <f t="shared" si="13"/>
        <v>1306.9</v>
      </c>
    </row>
    <row r="593" ht="24.75" customHeight="1">
      <c r="A593" s="21" t="s">
        <v>556</v>
      </c>
      <c r="B593" s="13">
        <f>IFERROR(__xludf.DUMMYFUNCTION("GOOGLEFINANCE(A593,""PRICE"")"),201.1)</f>
        <v>201.1</v>
      </c>
      <c r="C593" s="14">
        <f>IFERROR(__xludf.DUMMYFUNCTION("GOOGLEFINANCE(A593,""PRICEOPEN"")"),201.66)</f>
        <v>201.66</v>
      </c>
      <c r="D593" s="14">
        <f>IFERROR(__xludf.DUMMYFUNCTION("GOOGLEFINANCE(A593,""HIGH"")"),202.79)</f>
        <v>202.79</v>
      </c>
      <c r="E593" s="14">
        <f>IFERROR(__xludf.DUMMYFUNCTION("GOOGLEFINANCE(A593,""LOW"")"),199.01)</f>
        <v>199.01</v>
      </c>
      <c r="F593" s="15" t="str">
        <f t="shared" si="8"/>
        <v/>
      </c>
      <c r="G593" s="16">
        <f>IFERROR(__xludf.DUMMYFUNCTION("GOOGLEFINANCE(A593,""CLOSEYEST"")"),201.66)</f>
        <v>201.66</v>
      </c>
      <c r="H593" s="17" t="str">
        <f t="shared" si="14"/>
        <v/>
      </c>
      <c r="I593" s="18">
        <f t="shared" si="9"/>
        <v>201.1533333</v>
      </c>
      <c r="J593" s="19">
        <f t="shared" si="10"/>
        <v>203.2966667</v>
      </c>
      <c r="K593" s="19"/>
      <c r="L593" s="19">
        <f t="shared" si="11"/>
        <v>199.5166667</v>
      </c>
      <c r="M593" s="19">
        <f t="shared" si="12"/>
        <v>204.9333333</v>
      </c>
      <c r="N593" s="19">
        <f t="shared" si="13"/>
        <v>197.3733333</v>
      </c>
    </row>
    <row r="594" ht="24.75" customHeight="1">
      <c r="A594" s="21" t="s">
        <v>557</v>
      </c>
      <c r="B594" s="13">
        <f>IFERROR(__xludf.DUMMYFUNCTION("GOOGLEFINANCE(A594,""PRICE"")"),107.0)</f>
        <v>107</v>
      </c>
      <c r="C594" s="14">
        <f>IFERROR(__xludf.DUMMYFUNCTION("GOOGLEFINANCE(A594,""PRICEOPEN"")"),106.62)</f>
        <v>106.62</v>
      </c>
      <c r="D594" s="14">
        <f>IFERROR(__xludf.DUMMYFUNCTION("GOOGLEFINANCE(A594,""HIGH"")"),107.12)</f>
        <v>107.12</v>
      </c>
      <c r="E594" s="14">
        <f>IFERROR(__xludf.DUMMYFUNCTION("GOOGLEFINANCE(A594,""LOW"")"),105.35)</f>
        <v>105.35</v>
      </c>
      <c r="F594" s="15" t="str">
        <f t="shared" si="8"/>
        <v/>
      </c>
      <c r="G594" s="16">
        <f>IFERROR(__xludf.DUMMYFUNCTION("GOOGLEFINANCE(A594,""CLOSEYEST"")"),106.63)</f>
        <v>106.63</v>
      </c>
      <c r="H594" s="17" t="str">
        <f t="shared" si="14"/>
        <v/>
      </c>
      <c r="I594" s="18">
        <f t="shared" si="9"/>
        <v>106.3666667</v>
      </c>
      <c r="J594" s="19">
        <f t="shared" si="10"/>
        <v>107.3833333</v>
      </c>
      <c r="K594" s="19"/>
      <c r="L594" s="19">
        <f t="shared" si="11"/>
        <v>105.6133333</v>
      </c>
      <c r="M594" s="19">
        <f t="shared" si="12"/>
        <v>108.1366667</v>
      </c>
      <c r="N594" s="19">
        <f t="shared" si="13"/>
        <v>104.5966667</v>
      </c>
    </row>
    <row r="595" ht="24.75" customHeight="1">
      <c r="A595" s="21" t="s">
        <v>558</v>
      </c>
      <c r="B595" s="13">
        <f>IFERROR(__xludf.DUMMYFUNCTION("GOOGLEFINANCE(A595,""PRICE"")"),207.1)</f>
        <v>207.1</v>
      </c>
      <c r="C595" s="14">
        <f>IFERROR(__xludf.DUMMYFUNCTION("GOOGLEFINANCE(A595,""PRICEOPEN"")"),205.34)</f>
        <v>205.34</v>
      </c>
      <c r="D595" s="14">
        <f>IFERROR(__xludf.DUMMYFUNCTION("GOOGLEFINANCE(A595,""HIGH"")"),209.9)</f>
        <v>209.9</v>
      </c>
      <c r="E595" s="14">
        <f>IFERROR(__xludf.DUMMYFUNCTION("GOOGLEFINANCE(A595,""LOW"")"),203.51)</f>
        <v>203.51</v>
      </c>
      <c r="F595" s="15" t="str">
        <f t="shared" si="8"/>
        <v/>
      </c>
      <c r="G595" s="16">
        <f>IFERROR(__xludf.DUMMYFUNCTION("GOOGLEFINANCE(A595,""CLOSEYEST"")"),205.34)</f>
        <v>205.34</v>
      </c>
      <c r="H595" s="17" t="str">
        <f t="shared" si="14"/>
        <v/>
      </c>
      <c r="I595" s="18">
        <f t="shared" si="9"/>
        <v>206.25</v>
      </c>
      <c r="J595" s="19">
        <f t="shared" si="10"/>
        <v>208.99</v>
      </c>
      <c r="K595" s="19"/>
      <c r="L595" s="19">
        <f t="shared" si="11"/>
        <v>202.6</v>
      </c>
      <c r="M595" s="19">
        <f t="shared" si="12"/>
        <v>212.64</v>
      </c>
      <c r="N595" s="19">
        <f t="shared" si="13"/>
        <v>199.86</v>
      </c>
    </row>
    <row r="596" ht="24.75" customHeight="1">
      <c r="A596" s="21" t="s">
        <v>559</v>
      </c>
      <c r="B596" s="13">
        <f>IFERROR(__xludf.DUMMYFUNCTION("GOOGLEFINANCE(A596,""PRICE"")"),1400.1)</f>
        <v>1400.1</v>
      </c>
      <c r="C596" s="14">
        <f>IFERROR(__xludf.DUMMYFUNCTION("GOOGLEFINANCE(A596,""PRICEOPEN"")"),1408.9)</f>
        <v>1408.9</v>
      </c>
      <c r="D596" s="14">
        <f>IFERROR(__xludf.DUMMYFUNCTION("GOOGLEFINANCE(A596,""HIGH"")"),1409.3)</f>
        <v>1409.3</v>
      </c>
      <c r="E596" s="14">
        <f>IFERROR(__xludf.DUMMYFUNCTION("GOOGLEFINANCE(A596,""LOW"")"),1391.9)</f>
        <v>1391.9</v>
      </c>
      <c r="F596" s="15" t="str">
        <f t="shared" si="8"/>
        <v/>
      </c>
      <c r="G596" s="16">
        <f>IFERROR(__xludf.DUMMYFUNCTION("GOOGLEFINANCE(A596,""CLOSEYEST"")"),1402.3)</f>
        <v>1402.3</v>
      </c>
      <c r="H596" s="17" t="str">
        <f t="shared" si="14"/>
        <v/>
      </c>
      <c r="I596" s="18">
        <f t="shared" si="9"/>
        <v>1401.166667</v>
      </c>
      <c r="J596" s="19">
        <f t="shared" si="10"/>
        <v>1410.433333</v>
      </c>
      <c r="K596" s="19"/>
      <c r="L596" s="19">
        <f t="shared" si="11"/>
        <v>1393.033333</v>
      </c>
      <c r="M596" s="19">
        <f t="shared" si="12"/>
        <v>1418.566667</v>
      </c>
      <c r="N596" s="19">
        <f t="shared" si="13"/>
        <v>1383.766667</v>
      </c>
    </row>
    <row r="597" ht="24.75" customHeight="1">
      <c r="A597" s="21" t="s">
        <v>560</v>
      </c>
      <c r="B597" s="13">
        <f>IFERROR(__xludf.DUMMYFUNCTION("GOOGLEFINANCE(A597,""PRICE"")"),2830.0)</f>
        <v>2830</v>
      </c>
      <c r="C597" s="14">
        <f>IFERROR(__xludf.DUMMYFUNCTION("GOOGLEFINANCE(A597,""PRICEOPEN"")"),2644.1)</f>
        <v>2644.1</v>
      </c>
      <c r="D597" s="14">
        <f>IFERROR(__xludf.DUMMYFUNCTION("GOOGLEFINANCE(A597,""HIGH"")"),2873.9)</f>
        <v>2873.9</v>
      </c>
      <c r="E597" s="14">
        <f>IFERROR(__xludf.DUMMYFUNCTION("GOOGLEFINANCE(A597,""LOW"")"),2632.0)</f>
        <v>2632</v>
      </c>
      <c r="F597" s="15" t="str">
        <f t="shared" si="8"/>
        <v/>
      </c>
      <c r="G597" s="16">
        <f>IFERROR(__xludf.DUMMYFUNCTION("GOOGLEFINANCE(A597,""CLOSEYEST"")"),2630.9)</f>
        <v>2630.9</v>
      </c>
      <c r="H597" s="17" t="str">
        <f t="shared" si="14"/>
        <v/>
      </c>
      <c r="I597" s="18">
        <f t="shared" si="9"/>
        <v>2712.266667</v>
      </c>
      <c r="J597" s="19">
        <f t="shared" si="10"/>
        <v>2792.533333</v>
      </c>
      <c r="K597" s="19"/>
      <c r="L597" s="19">
        <f t="shared" si="11"/>
        <v>2550.633333</v>
      </c>
      <c r="M597" s="19">
        <f t="shared" si="12"/>
        <v>2954.166667</v>
      </c>
      <c r="N597" s="19">
        <f t="shared" si="13"/>
        <v>2470.366667</v>
      </c>
    </row>
    <row r="598" ht="24.75" customHeight="1">
      <c r="A598" s="21" t="s">
        <v>561</v>
      </c>
      <c r="B598" s="13">
        <f>IFERROR(__xludf.DUMMYFUNCTION("GOOGLEFINANCE(A598,""PRICE"")"),291.15)</f>
        <v>291.15</v>
      </c>
      <c r="C598" s="14">
        <f>IFERROR(__xludf.DUMMYFUNCTION("GOOGLEFINANCE(A598,""PRICEOPEN"")"),291.6)</f>
        <v>291.6</v>
      </c>
      <c r="D598" s="14">
        <f>IFERROR(__xludf.DUMMYFUNCTION("GOOGLEFINANCE(A598,""HIGH"")"),292.35)</f>
        <v>292.35</v>
      </c>
      <c r="E598" s="14">
        <f>IFERROR(__xludf.DUMMYFUNCTION("GOOGLEFINANCE(A598,""LOW"")"),289.05)</f>
        <v>289.05</v>
      </c>
      <c r="F598" s="15" t="str">
        <f t="shared" si="8"/>
        <v/>
      </c>
      <c r="G598" s="16">
        <f>IFERROR(__xludf.DUMMYFUNCTION("GOOGLEFINANCE(A598,""CLOSEYEST"")"),290.15)</f>
        <v>290.15</v>
      </c>
      <c r="H598" s="17" t="str">
        <f t="shared" si="14"/>
        <v/>
      </c>
      <c r="I598" s="18">
        <f t="shared" si="9"/>
        <v>290.5166667</v>
      </c>
      <c r="J598" s="19">
        <f t="shared" si="10"/>
        <v>291.9833333</v>
      </c>
      <c r="K598" s="19"/>
      <c r="L598" s="19">
        <f t="shared" si="11"/>
        <v>288.6833333</v>
      </c>
      <c r="M598" s="19">
        <f t="shared" si="12"/>
        <v>293.8166667</v>
      </c>
      <c r="N598" s="19">
        <f t="shared" si="13"/>
        <v>287.2166667</v>
      </c>
    </row>
    <row r="599" ht="24.75" customHeight="1">
      <c r="A599" s="21" t="s">
        <v>562</v>
      </c>
      <c r="B599" s="13">
        <f>IFERROR(__xludf.DUMMYFUNCTION("GOOGLEFINANCE(A599,""PRICE"")"),173.4)</f>
        <v>173.4</v>
      </c>
      <c r="C599" s="14">
        <f>IFERROR(__xludf.DUMMYFUNCTION("GOOGLEFINANCE(A599,""PRICEOPEN"")"),168.4)</f>
        <v>168.4</v>
      </c>
      <c r="D599" s="14">
        <f>IFERROR(__xludf.DUMMYFUNCTION("GOOGLEFINANCE(A599,""HIGH"")"),173.68)</f>
        <v>173.68</v>
      </c>
      <c r="E599" s="14">
        <f>IFERROR(__xludf.DUMMYFUNCTION("GOOGLEFINANCE(A599,""LOW"")"),167.0)</f>
        <v>167</v>
      </c>
      <c r="F599" s="15" t="str">
        <f t="shared" si="8"/>
        <v/>
      </c>
      <c r="G599" s="16">
        <f>IFERROR(__xludf.DUMMYFUNCTION("GOOGLEFINANCE(A599,""CLOSEYEST"")"),166.28)</f>
        <v>166.28</v>
      </c>
      <c r="H599" s="17" t="str">
        <f t="shared" si="14"/>
        <v>GAP UP</v>
      </c>
      <c r="I599" s="18">
        <f t="shared" si="9"/>
        <v>168.9866667</v>
      </c>
      <c r="J599" s="19">
        <f t="shared" si="10"/>
        <v>170.9733333</v>
      </c>
      <c r="K599" s="19"/>
      <c r="L599" s="19">
        <f t="shared" si="11"/>
        <v>164.2933333</v>
      </c>
      <c r="M599" s="19">
        <f t="shared" si="12"/>
        <v>175.6666667</v>
      </c>
      <c r="N599" s="19">
        <f t="shared" si="13"/>
        <v>162.3066667</v>
      </c>
    </row>
    <row r="600" ht="24.75" customHeight="1">
      <c r="A600" s="21" t="s">
        <v>563</v>
      </c>
      <c r="B600" s="13">
        <f>IFERROR(__xludf.DUMMYFUNCTION("GOOGLEFINANCE(A600,""PRICE"")"),537.05)</f>
        <v>537.05</v>
      </c>
      <c r="C600" s="14">
        <f>IFERROR(__xludf.DUMMYFUNCTION("GOOGLEFINANCE(A600,""PRICEOPEN"")"),532.5)</f>
        <v>532.5</v>
      </c>
      <c r="D600" s="14">
        <f>IFERROR(__xludf.DUMMYFUNCTION("GOOGLEFINANCE(A600,""HIGH"")"),543.6)</f>
        <v>543.6</v>
      </c>
      <c r="E600" s="14">
        <f>IFERROR(__xludf.DUMMYFUNCTION("GOOGLEFINANCE(A600,""LOW"")"),524.1)</f>
        <v>524.1</v>
      </c>
      <c r="F600" s="15" t="str">
        <f t="shared" si="8"/>
        <v/>
      </c>
      <c r="G600" s="16">
        <f>IFERROR(__xludf.DUMMYFUNCTION("GOOGLEFINANCE(A600,""CLOSEYEST"")"),530.4)</f>
        <v>530.4</v>
      </c>
      <c r="H600" s="17" t="str">
        <f t="shared" si="14"/>
        <v/>
      </c>
      <c r="I600" s="18">
        <f t="shared" si="9"/>
        <v>532.7</v>
      </c>
      <c r="J600" s="19">
        <f t="shared" si="10"/>
        <v>541.3</v>
      </c>
      <c r="K600" s="19"/>
      <c r="L600" s="19">
        <f t="shared" si="11"/>
        <v>521.8</v>
      </c>
      <c r="M600" s="19">
        <f t="shared" si="12"/>
        <v>552.2</v>
      </c>
      <c r="N600" s="19">
        <f t="shared" si="13"/>
        <v>513.2</v>
      </c>
    </row>
    <row r="601" ht="24.75" customHeight="1">
      <c r="A601" s="21" t="s">
        <v>564</v>
      </c>
      <c r="B601" s="13">
        <f>IFERROR(__xludf.DUMMYFUNCTION("GOOGLEFINANCE(A601,""PRICE"")"),184.2)</f>
        <v>184.2</v>
      </c>
      <c r="C601" s="14">
        <f>IFERROR(__xludf.DUMMYFUNCTION("GOOGLEFINANCE(A601,""PRICEOPEN"")"),184.25)</f>
        <v>184.25</v>
      </c>
      <c r="D601" s="14">
        <f>IFERROR(__xludf.DUMMYFUNCTION("GOOGLEFINANCE(A601,""HIGH"")"),190.69)</f>
        <v>190.69</v>
      </c>
      <c r="E601" s="14">
        <f>IFERROR(__xludf.DUMMYFUNCTION("GOOGLEFINANCE(A601,""LOW"")"),180.1)</f>
        <v>180.1</v>
      </c>
      <c r="F601" s="15" t="str">
        <f t="shared" si="8"/>
        <v/>
      </c>
      <c r="G601" s="16">
        <f>IFERROR(__xludf.DUMMYFUNCTION("GOOGLEFINANCE(A601,""CLOSEYEST"")"),182.86)</f>
        <v>182.86</v>
      </c>
      <c r="H601" s="17" t="str">
        <f t="shared" si="14"/>
        <v/>
      </c>
      <c r="I601" s="18">
        <f t="shared" si="9"/>
        <v>184.55</v>
      </c>
      <c r="J601" s="19">
        <f t="shared" si="10"/>
        <v>189</v>
      </c>
      <c r="K601" s="19"/>
      <c r="L601" s="19">
        <f t="shared" si="11"/>
        <v>178.41</v>
      </c>
      <c r="M601" s="19">
        <f t="shared" si="12"/>
        <v>195.14</v>
      </c>
      <c r="N601" s="19">
        <f t="shared" si="13"/>
        <v>173.96</v>
      </c>
    </row>
    <row r="602" ht="24.75" customHeight="1">
      <c r="A602" s="21" t="s">
        <v>565</v>
      </c>
      <c r="B602" s="13">
        <f>IFERROR(__xludf.DUMMYFUNCTION("GOOGLEFINANCE(A602,""PRICE"")"),464.9)</f>
        <v>464.9</v>
      </c>
      <c r="C602" s="14">
        <f>IFERROR(__xludf.DUMMYFUNCTION("GOOGLEFINANCE(A602,""PRICEOPEN"")"),460.0)</f>
        <v>460</v>
      </c>
      <c r="D602" s="14">
        <f>IFERROR(__xludf.DUMMYFUNCTION("GOOGLEFINANCE(A602,""HIGH"")"),464.9)</f>
        <v>464.9</v>
      </c>
      <c r="E602" s="14">
        <f>IFERROR(__xludf.DUMMYFUNCTION("GOOGLEFINANCE(A602,""LOW"")"),454.55)</f>
        <v>454.55</v>
      </c>
      <c r="F602" s="15" t="str">
        <f t="shared" si="8"/>
        <v/>
      </c>
      <c r="G602" s="16">
        <f>IFERROR(__xludf.DUMMYFUNCTION("GOOGLEFINANCE(A602,""CLOSEYEST"")"),457.95)</f>
        <v>457.95</v>
      </c>
      <c r="H602" s="17" t="str">
        <f t="shared" si="14"/>
        <v/>
      </c>
      <c r="I602" s="18">
        <f t="shared" si="9"/>
        <v>459.1333333</v>
      </c>
      <c r="J602" s="19">
        <f t="shared" si="10"/>
        <v>463.7166667</v>
      </c>
      <c r="K602" s="19"/>
      <c r="L602" s="19">
        <f t="shared" si="11"/>
        <v>453.3666667</v>
      </c>
      <c r="M602" s="19">
        <f t="shared" si="12"/>
        <v>469.4833333</v>
      </c>
      <c r="N602" s="19">
        <f t="shared" si="13"/>
        <v>448.7833333</v>
      </c>
    </row>
    <row r="603" ht="24.75" customHeight="1">
      <c r="A603" s="21" t="s">
        <v>566</v>
      </c>
      <c r="B603" s="13">
        <f>IFERROR(__xludf.DUMMYFUNCTION("GOOGLEFINANCE(A603,""PRICE"")"),105.3)</f>
        <v>105.3</v>
      </c>
      <c r="C603" s="14">
        <f>IFERROR(__xludf.DUMMYFUNCTION("GOOGLEFINANCE(A603,""PRICEOPEN"")"),104.31)</f>
        <v>104.31</v>
      </c>
      <c r="D603" s="14">
        <f>IFERROR(__xludf.DUMMYFUNCTION("GOOGLEFINANCE(A603,""HIGH"")"),105.64)</f>
        <v>105.64</v>
      </c>
      <c r="E603" s="14">
        <f>IFERROR(__xludf.DUMMYFUNCTION("GOOGLEFINANCE(A603,""LOW"")"),103.75)</f>
        <v>103.75</v>
      </c>
      <c r="F603" s="15" t="str">
        <f t="shared" si="8"/>
        <v/>
      </c>
      <c r="G603" s="16">
        <f>IFERROR(__xludf.DUMMYFUNCTION("GOOGLEFINANCE(A603,""CLOSEYEST"")"),104.15)</f>
        <v>104.15</v>
      </c>
      <c r="H603" s="17" t="str">
        <f t="shared" si="14"/>
        <v/>
      </c>
      <c r="I603" s="18">
        <f t="shared" si="9"/>
        <v>104.5133333</v>
      </c>
      <c r="J603" s="19">
        <f t="shared" si="10"/>
        <v>105.2766667</v>
      </c>
      <c r="K603" s="19"/>
      <c r="L603" s="19">
        <f t="shared" si="11"/>
        <v>103.3866667</v>
      </c>
      <c r="M603" s="19">
        <f t="shared" si="12"/>
        <v>106.4033333</v>
      </c>
      <c r="N603" s="19">
        <f t="shared" si="13"/>
        <v>102.6233333</v>
      </c>
    </row>
    <row r="604" ht="24.75" customHeight="1">
      <c r="A604" s="21" t="s">
        <v>567</v>
      </c>
      <c r="B604" s="13">
        <f>IFERROR(__xludf.DUMMYFUNCTION("GOOGLEFINANCE(A604,""PRICE"")"),387.7)</f>
        <v>387.7</v>
      </c>
      <c r="C604" s="14">
        <f>IFERROR(__xludf.DUMMYFUNCTION("GOOGLEFINANCE(A604,""PRICEOPEN"")"),385.0)</f>
        <v>385</v>
      </c>
      <c r="D604" s="14">
        <f>IFERROR(__xludf.DUMMYFUNCTION("GOOGLEFINANCE(A604,""HIGH"")"),392.0)</f>
        <v>392</v>
      </c>
      <c r="E604" s="14">
        <f>IFERROR(__xludf.DUMMYFUNCTION("GOOGLEFINANCE(A604,""LOW"")"),381.85)</f>
        <v>381.85</v>
      </c>
      <c r="F604" s="15" t="str">
        <f t="shared" si="8"/>
        <v/>
      </c>
      <c r="G604" s="16">
        <f>IFERROR(__xludf.DUMMYFUNCTION("GOOGLEFINANCE(A604,""CLOSEYEST"")"),383.75)</f>
        <v>383.75</v>
      </c>
      <c r="H604" s="17" t="str">
        <f t="shared" si="14"/>
        <v/>
      </c>
      <c r="I604" s="18">
        <f t="shared" si="9"/>
        <v>385.8666667</v>
      </c>
      <c r="J604" s="19">
        <f t="shared" si="10"/>
        <v>389.8833333</v>
      </c>
      <c r="K604" s="19"/>
      <c r="L604" s="19">
        <f t="shared" si="11"/>
        <v>379.7333333</v>
      </c>
      <c r="M604" s="19">
        <f t="shared" si="12"/>
        <v>396.0166667</v>
      </c>
      <c r="N604" s="19">
        <f t="shared" si="13"/>
        <v>375.7166667</v>
      </c>
    </row>
    <row r="605" ht="24.75" customHeight="1">
      <c r="A605" s="21" t="s">
        <v>568</v>
      </c>
      <c r="B605" s="13">
        <f>IFERROR(__xludf.DUMMYFUNCTION("GOOGLEFINANCE(A605,""PRICE"")"),955.0)</f>
        <v>955</v>
      </c>
      <c r="C605" s="14">
        <f>IFERROR(__xludf.DUMMYFUNCTION("GOOGLEFINANCE(A605,""PRICEOPEN"")"),964.9)</f>
        <v>964.9</v>
      </c>
      <c r="D605" s="14">
        <f>IFERROR(__xludf.DUMMYFUNCTION("GOOGLEFINANCE(A605,""HIGH"")"),976.45)</f>
        <v>976.45</v>
      </c>
      <c r="E605" s="14">
        <f>IFERROR(__xludf.DUMMYFUNCTION("GOOGLEFINANCE(A605,""LOW"")"),952.55)</f>
        <v>952.55</v>
      </c>
      <c r="F605" s="15" t="str">
        <f t="shared" si="8"/>
        <v/>
      </c>
      <c r="G605" s="16">
        <f>IFERROR(__xludf.DUMMYFUNCTION("GOOGLEFINANCE(A605,""CLOSEYEST"")"),960.85)</f>
        <v>960.85</v>
      </c>
      <c r="H605" s="17" t="str">
        <f t="shared" si="14"/>
        <v/>
      </c>
      <c r="I605" s="18">
        <f t="shared" si="9"/>
        <v>963.2833333</v>
      </c>
      <c r="J605" s="19">
        <f t="shared" si="10"/>
        <v>974.0166667</v>
      </c>
      <c r="K605" s="19"/>
      <c r="L605" s="19">
        <f t="shared" si="11"/>
        <v>950.1166667</v>
      </c>
      <c r="M605" s="19">
        <f t="shared" si="12"/>
        <v>987.1833333</v>
      </c>
      <c r="N605" s="19">
        <f t="shared" si="13"/>
        <v>939.3833333</v>
      </c>
    </row>
    <row r="606" ht="24.75" customHeight="1">
      <c r="A606" s="21" t="s">
        <v>569</v>
      </c>
      <c r="B606" s="13" t="str">
        <f>IFERROR(__xludf.DUMMYFUNCTION("GOOGLEFINANCE(A606,""PRICE"")"),"#N/A")</f>
        <v>#N/A</v>
      </c>
      <c r="C606" s="14" t="str">
        <f>IFERROR(__xludf.DUMMYFUNCTION("GOOGLEFINANCE(A606,""PRICEOPEN"")"),"#N/A")</f>
        <v>#N/A</v>
      </c>
      <c r="D606" s="14" t="str">
        <f>IFERROR(__xludf.DUMMYFUNCTION("GOOGLEFINANCE(A606,""HIGH"")"),"#N/A")</f>
        <v>#N/A</v>
      </c>
      <c r="E606" s="14" t="str">
        <f>IFERROR(__xludf.DUMMYFUNCTION("GOOGLEFINANCE(A606,""LOW"")"),"#N/A")</f>
        <v>#N/A</v>
      </c>
      <c r="F606" s="15" t="str">
        <f t="shared" si="8"/>
        <v>#N/A</v>
      </c>
      <c r="G606" s="16" t="str">
        <f>IFERROR(__xludf.DUMMYFUNCTION("GOOGLEFINANCE(A606,""CLOSEYEST"")"),"#N/A")</f>
        <v>#N/A</v>
      </c>
      <c r="H606" s="17" t="str">
        <f t="shared" si="14"/>
        <v>#N/A</v>
      </c>
      <c r="I606" s="18" t="str">
        <f t="shared" si="9"/>
        <v>#N/A</v>
      </c>
      <c r="J606" s="19" t="str">
        <f t="shared" si="10"/>
        <v>#N/A</v>
      </c>
      <c r="K606" s="19"/>
      <c r="L606" s="19" t="str">
        <f t="shared" si="11"/>
        <v>#N/A</v>
      </c>
      <c r="M606" s="19" t="str">
        <f t="shared" si="12"/>
        <v>#N/A</v>
      </c>
      <c r="N606" s="19" t="str">
        <f t="shared" si="13"/>
        <v>#N/A</v>
      </c>
    </row>
    <row r="607" ht="24.75" customHeight="1">
      <c r="A607" s="21" t="s">
        <v>570</v>
      </c>
      <c r="B607" s="13">
        <f>IFERROR(__xludf.DUMMYFUNCTION("GOOGLEFINANCE(A607,""PRICE"")"),209.4)</f>
        <v>209.4</v>
      </c>
      <c r="C607" s="14">
        <f>IFERROR(__xludf.DUMMYFUNCTION("GOOGLEFINANCE(A607,""PRICEOPEN"")"),211.5)</f>
        <v>211.5</v>
      </c>
      <c r="D607" s="14">
        <f>IFERROR(__xludf.DUMMYFUNCTION("GOOGLEFINANCE(A607,""HIGH"")"),212.66)</f>
        <v>212.66</v>
      </c>
      <c r="E607" s="14">
        <f>IFERROR(__xludf.DUMMYFUNCTION("GOOGLEFINANCE(A607,""LOW"")"),208.5)</f>
        <v>208.5</v>
      </c>
      <c r="F607" s="15" t="str">
        <f t="shared" si="8"/>
        <v/>
      </c>
      <c r="G607" s="16">
        <f>IFERROR(__xludf.DUMMYFUNCTION("GOOGLEFINANCE(A607,""CLOSEYEST"")"),210.61)</f>
        <v>210.61</v>
      </c>
      <c r="H607" s="17" t="str">
        <f t="shared" si="14"/>
        <v/>
      </c>
      <c r="I607" s="18">
        <f t="shared" si="9"/>
        <v>210.59</v>
      </c>
      <c r="J607" s="19">
        <f t="shared" si="10"/>
        <v>212.68</v>
      </c>
      <c r="K607" s="19"/>
      <c r="L607" s="19">
        <f t="shared" si="11"/>
        <v>208.52</v>
      </c>
      <c r="M607" s="19">
        <f t="shared" si="12"/>
        <v>214.75</v>
      </c>
      <c r="N607" s="19">
        <f t="shared" si="13"/>
        <v>206.43</v>
      </c>
    </row>
    <row r="608" ht="24.75" customHeight="1">
      <c r="A608" s="21" t="s">
        <v>571</v>
      </c>
      <c r="B608" s="13">
        <f>IFERROR(__xludf.DUMMYFUNCTION("GOOGLEFINANCE(A608,""PRICE"")"),413.85)</f>
        <v>413.85</v>
      </c>
      <c r="C608" s="14">
        <f>IFERROR(__xludf.DUMMYFUNCTION("GOOGLEFINANCE(A608,""PRICEOPEN"")"),410.9)</f>
        <v>410.9</v>
      </c>
      <c r="D608" s="14">
        <f>IFERROR(__xludf.DUMMYFUNCTION("GOOGLEFINANCE(A608,""HIGH"")"),419.15)</f>
        <v>419.15</v>
      </c>
      <c r="E608" s="14">
        <f>IFERROR(__xludf.DUMMYFUNCTION("GOOGLEFINANCE(A608,""LOW"")"),409.25)</f>
        <v>409.25</v>
      </c>
      <c r="F608" s="15" t="str">
        <f t="shared" si="8"/>
        <v/>
      </c>
      <c r="G608" s="16">
        <f>IFERROR(__xludf.DUMMYFUNCTION("GOOGLEFINANCE(A608,""CLOSEYEST"")"),410.9)</f>
        <v>410.9</v>
      </c>
      <c r="H608" s="17" t="str">
        <f t="shared" si="14"/>
        <v/>
      </c>
      <c r="I608" s="18">
        <f t="shared" si="9"/>
        <v>413.1</v>
      </c>
      <c r="J608" s="19">
        <f t="shared" si="10"/>
        <v>416.95</v>
      </c>
      <c r="K608" s="19"/>
      <c r="L608" s="19">
        <f t="shared" si="11"/>
        <v>407.05</v>
      </c>
      <c r="M608" s="19">
        <f t="shared" si="12"/>
        <v>423</v>
      </c>
      <c r="N608" s="19">
        <f t="shared" si="13"/>
        <v>403.2</v>
      </c>
    </row>
    <row r="609" ht="24.75" customHeight="1">
      <c r="A609" s="21" t="s">
        <v>572</v>
      </c>
      <c r="B609" s="13">
        <f>IFERROR(__xludf.DUMMYFUNCTION("GOOGLEFINANCE(A609,""PRICE"")"),1578.5)</f>
        <v>1578.5</v>
      </c>
      <c r="C609" s="14">
        <f>IFERROR(__xludf.DUMMYFUNCTION("GOOGLEFINANCE(A609,""PRICEOPEN"")"),1568.0)</f>
        <v>1568</v>
      </c>
      <c r="D609" s="14">
        <f>IFERROR(__xludf.DUMMYFUNCTION("GOOGLEFINANCE(A609,""HIGH"")"),1580.0)</f>
        <v>1580</v>
      </c>
      <c r="E609" s="14">
        <f>IFERROR(__xludf.DUMMYFUNCTION("GOOGLEFINANCE(A609,""LOW"")"),1565.3)</f>
        <v>1565.3</v>
      </c>
      <c r="F609" s="15" t="str">
        <f t="shared" si="8"/>
        <v/>
      </c>
      <c r="G609" s="16">
        <f>IFERROR(__xludf.DUMMYFUNCTION("GOOGLEFINANCE(A609,""CLOSEYEST"")"),1559.6)</f>
        <v>1559.6</v>
      </c>
      <c r="H609" s="17" t="str">
        <f t="shared" si="14"/>
        <v/>
      </c>
      <c r="I609" s="18">
        <f t="shared" si="9"/>
        <v>1568.3</v>
      </c>
      <c r="J609" s="19">
        <f t="shared" si="10"/>
        <v>1571.3</v>
      </c>
      <c r="K609" s="19"/>
      <c r="L609" s="19">
        <f t="shared" si="11"/>
        <v>1556.6</v>
      </c>
      <c r="M609" s="19">
        <f t="shared" si="12"/>
        <v>1583</v>
      </c>
      <c r="N609" s="19">
        <f t="shared" si="13"/>
        <v>1553.6</v>
      </c>
    </row>
    <row r="610" ht="24.75" customHeight="1">
      <c r="A610" s="21" t="s">
        <v>573</v>
      </c>
      <c r="B610" s="13">
        <f>IFERROR(__xludf.DUMMYFUNCTION("GOOGLEFINANCE(A610,""PRICE"")"),602.1)</f>
        <v>602.1</v>
      </c>
      <c r="C610" s="14">
        <f>IFERROR(__xludf.DUMMYFUNCTION("GOOGLEFINANCE(A610,""PRICEOPEN"")"),607.15)</f>
        <v>607.15</v>
      </c>
      <c r="D610" s="14">
        <f>IFERROR(__xludf.DUMMYFUNCTION("GOOGLEFINANCE(A610,""HIGH"")"),625.0)</f>
        <v>625</v>
      </c>
      <c r="E610" s="14">
        <f>IFERROR(__xludf.DUMMYFUNCTION("GOOGLEFINANCE(A610,""LOW"")"),599.8)</f>
        <v>599.8</v>
      </c>
      <c r="F610" s="15" t="str">
        <f t="shared" si="8"/>
        <v/>
      </c>
      <c r="G610" s="16">
        <f>IFERROR(__xludf.DUMMYFUNCTION("GOOGLEFINANCE(A610,""CLOSEYEST"")"),607.15)</f>
        <v>607.15</v>
      </c>
      <c r="H610" s="17" t="str">
        <f t="shared" si="14"/>
        <v/>
      </c>
      <c r="I610" s="18">
        <f t="shared" si="9"/>
        <v>610.65</v>
      </c>
      <c r="J610" s="19">
        <f t="shared" si="10"/>
        <v>621.5</v>
      </c>
      <c r="K610" s="19"/>
      <c r="L610" s="19">
        <f t="shared" si="11"/>
        <v>596.3</v>
      </c>
      <c r="M610" s="19">
        <f t="shared" si="12"/>
        <v>635.85</v>
      </c>
      <c r="N610" s="19">
        <f t="shared" si="13"/>
        <v>585.45</v>
      </c>
    </row>
    <row r="611" ht="24.75" customHeight="1">
      <c r="A611" s="21" t="s">
        <v>574</v>
      </c>
      <c r="B611" s="13">
        <f>IFERROR(__xludf.DUMMYFUNCTION("GOOGLEFINANCE(A611,""PRICE"")"),2489.0)</f>
        <v>2489</v>
      </c>
      <c r="C611" s="14">
        <f>IFERROR(__xludf.DUMMYFUNCTION("GOOGLEFINANCE(A611,""PRICEOPEN"")"),2450.0)</f>
        <v>2450</v>
      </c>
      <c r="D611" s="14">
        <f>IFERROR(__xludf.DUMMYFUNCTION("GOOGLEFINANCE(A611,""HIGH"")"),2509.0)</f>
        <v>2509</v>
      </c>
      <c r="E611" s="14">
        <f>IFERROR(__xludf.DUMMYFUNCTION("GOOGLEFINANCE(A611,""LOW"")"),2432.1)</f>
        <v>2432.1</v>
      </c>
      <c r="F611" s="15" t="str">
        <f t="shared" si="8"/>
        <v/>
      </c>
      <c r="G611" s="16">
        <f>IFERROR(__xludf.DUMMYFUNCTION("GOOGLEFINANCE(A611,""CLOSEYEST"")"),2443.8)</f>
        <v>2443.8</v>
      </c>
      <c r="H611" s="17" t="str">
        <f t="shared" si="14"/>
        <v/>
      </c>
      <c r="I611" s="18">
        <f t="shared" si="9"/>
        <v>2461.633333</v>
      </c>
      <c r="J611" s="19">
        <f t="shared" si="10"/>
        <v>2491.166667</v>
      </c>
      <c r="K611" s="19"/>
      <c r="L611" s="19">
        <f t="shared" si="11"/>
        <v>2414.266667</v>
      </c>
      <c r="M611" s="19">
        <f t="shared" si="12"/>
        <v>2538.533333</v>
      </c>
      <c r="N611" s="19">
        <f t="shared" si="13"/>
        <v>2384.733333</v>
      </c>
    </row>
    <row r="612" ht="24.75" customHeight="1">
      <c r="A612" s="21" t="s">
        <v>575</v>
      </c>
      <c r="B612" s="13" t="str">
        <f>IFERROR(__xludf.DUMMYFUNCTION("GOOGLEFINANCE(A612,""PRICE"")"),"#N/A")</f>
        <v>#N/A</v>
      </c>
      <c r="C612" s="14" t="str">
        <f>IFERROR(__xludf.DUMMYFUNCTION("GOOGLEFINANCE(A612,""PRICEOPEN"")"),"#N/A")</f>
        <v>#N/A</v>
      </c>
      <c r="D612" s="14" t="str">
        <f>IFERROR(__xludf.DUMMYFUNCTION("GOOGLEFINANCE(A612,""HIGH"")"),"#N/A")</f>
        <v>#N/A</v>
      </c>
      <c r="E612" s="14" t="str">
        <f>IFERROR(__xludf.DUMMYFUNCTION("GOOGLEFINANCE(A612,""LOW"")"),"#N/A")</f>
        <v>#N/A</v>
      </c>
      <c r="F612" s="15" t="str">
        <f t="shared" si="8"/>
        <v>#N/A</v>
      </c>
      <c r="G612" s="16" t="str">
        <f>IFERROR(__xludf.DUMMYFUNCTION("GOOGLEFINANCE(A612,""CLOSEYEST"")"),"#N/A")</f>
        <v>#N/A</v>
      </c>
      <c r="H612" s="17" t="str">
        <f t="shared" si="14"/>
        <v>#N/A</v>
      </c>
      <c r="I612" s="18" t="str">
        <f t="shared" si="9"/>
        <v>#N/A</v>
      </c>
      <c r="J612" s="19" t="str">
        <f t="shared" si="10"/>
        <v>#N/A</v>
      </c>
      <c r="K612" s="19"/>
      <c r="L612" s="19" t="str">
        <f t="shared" si="11"/>
        <v>#N/A</v>
      </c>
      <c r="M612" s="19" t="str">
        <f t="shared" si="12"/>
        <v>#N/A</v>
      </c>
      <c r="N612" s="19" t="str">
        <f t="shared" si="13"/>
        <v>#N/A</v>
      </c>
    </row>
    <row r="613" ht="24.75" customHeight="1">
      <c r="A613" s="21" t="s">
        <v>576</v>
      </c>
      <c r="B613" s="13">
        <f>IFERROR(__xludf.DUMMYFUNCTION("GOOGLEFINANCE(A613,""PRICE"")"),618.0)</f>
        <v>618</v>
      </c>
      <c r="C613" s="14">
        <f>IFERROR(__xludf.DUMMYFUNCTION("GOOGLEFINANCE(A613,""PRICEOPEN"")"),605.1)</f>
        <v>605.1</v>
      </c>
      <c r="D613" s="14">
        <f>IFERROR(__xludf.DUMMYFUNCTION("GOOGLEFINANCE(A613,""HIGH"")"),621.0)</f>
        <v>621</v>
      </c>
      <c r="E613" s="14">
        <f>IFERROR(__xludf.DUMMYFUNCTION("GOOGLEFINANCE(A613,""LOW"")"),604.0)</f>
        <v>604</v>
      </c>
      <c r="F613" s="15" t="str">
        <f t="shared" si="8"/>
        <v/>
      </c>
      <c r="G613" s="16">
        <f>IFERROR(__xludf.DUMMYFUNCTION("GOOGLEFINANCE(A613,""CLOSEYEST"")"),605.35)</f>
        <v>605.35</v>
      </c>
      <c r="H613" s="17" t="str">
        <f t="shared" si="14"/>
        <v/>
      </c>
      <c r="I613" s="18">
        <f t="shared" si="9"/>
        <v>610.1166667</v>
      </c>
      <c r="J613" s="19">
        <f t="shared" si="10"/>
        <v>616.2333333</v>
      </c>
      <c r="K613" s="19"/>
      <c r="L613" s="19">
        <f t="shared" si="11"/>
        <v>599.2333333</v>
      </c>
      <c r="M613" s="19">
        <f t="shared" si="12"/>
        <v>627.1166667</v>
      </c>
      <c r="N613" s="19">
        <f t="shared" si="13"/>
        <v>593.1166667</v>
      </c>
    </row>
    <row r="614" ht="24.75" customHeight="1">
      <c r="A614" s="21" t="s">
        <v>577</v>
      </c>
      <c r="B614" s="13">
        <f>IFERROR(__xludf.DUMMYFUNCTION("GOOGLEFINANCE(A614,""PRICE"")"),599.9)</f>
        <v>599.9</v>
      </c>
      <c r="C614" s="14">
        <f>IFERROR(__xludf.DUMMYFUNCTION("GOOGLEFINANCE(A614,""PRICEOPEN"")"),597.9)</f>
        <v>597.9</v>
      </c>
      <c r="D614" s="14">
        <f>IFERROR(__xludf.DUMMYFUNCTION("GOOGLEFINANCE(A614,""HIGH"")"),610.55)</f>
        <v>610.55</v>
      </c>
      <c r="E614" s="14">
        <f>IFERROR(__xludf.DUMMYFUNCTION("GOOGLEFINANCE(A614,""LOW"")"),595.7)</f>
        <v>595.7</v>
      </c>
      <c r="F614" s="15" t="str">
        <f t="shared" si="8"/>
        <v/>
      </c>
      <c r="G614" s="16">
        <f>IFERROR(__xludf.DUMMYFUNCTION("GOOGLEFINANCE(A614,""CLOSEYEST"")"),593.2)</f>
        <v>593.2</v>
      </c>
      <c r="H614" s="17" t="str">
        <f t="shared" si="14"/>
        <v/>
      </c>
      <c r="I614" s="18">
        <f t="shared" si="9"/>
        <v>599.8166667</v>
      </c>
      <c r="J614" s="19">
        <f t="shared" si="10"/>
        <v>603.9333333</v>
      </c>
      <c r="K614" s="19"/>
      <c r="L614" s="19">
        <f t="shared" si="11"/>
        <v>589.0833333</v>
      </c>
      <c r="M614" s="19">
        <f t="shared" si="12"/>
        <v>614.6666667</v>
      </c>
      <c r="N614" s="19">
        <f t="shared" si="13"/>
        <v>584.9666667</v>
      </c>
    </row>
    <row r="615" ht="24.75" customHeight="1">
      <c r="A615" s="21" t="s">
        <v>578</v>
      </c>
      <c r="B615" s="13">
        <f>IFERROR(__xludf.DUMMYFUNCTION("GOOGLEFINANCE(A615,""PRICE"")"),1505.0)</f>
        <v>1505</v>
      </c>
      <c r="C615" s="14">
        <f>IFERROR(__xludf.DUMMYFUNCTION("GOOGLEFINANCE(A615,""PRICEOPEN"")"),1494.9)</f>
        <v>1494.9</v>
      </c>
      <c r="D615" s="14">
        <f>IFERROR(__xludf.DUMMYFUNCTION("GOOGLEFINANCE(A615,""HIGH"")"),1505.0)</f>
        <v>1505</v>
      </c>
      <c r="E615" s="14">
        <f>IFERROR(__xludf.DUMMYFUNCTION("GOOGLEFINANCE(A615,""LOW"")"),1490.0)</f>
        <v>1490</v>
      </c>
      <c r="F615" s="15" t="str">
        <f t="shared" si="8"/>
        <v/>
      </c>
      <c r="G615" s="16">
        <f>IFERROR(__xludf.DUMMYFUNCTION("GOOGLEFINANCE(A615,""CLOSEYEST"")"),1495.6)</f>
        <v>1495.6</v>
      </c>
      <c r="H615" s="17" t="str">
        <f t="shared" si="14"/>
        <v/>
      </c>
      <c r="I615" s="18">
        <f t="shared" si="9"/>
        <v>1496.866667</v>
      </c>
      <c r="J615" s="19">
        <f t="shared" si="10"/>
        <v>1503.733333</v>
      </c>
      <c r="K615" s="19"/>
      <c r="L615" s="19">
        <f t="shared" si="11"/>
        <v>1488.733333</v>
      </c>
      <c r="M615" s="19">
        <f t="shared" si="12"/>
        <v>1511.866667</v>
      </c>
      <c r="N615" s="19">
        <f t="shared" si="13"/>
        <v>1481.866667</v>
      </c>
    </row>
    <row r="616" ht="24.75" customHeight="1">
      <c r="A616" s="21" t="s">
        <v>579</v>
      </c>
      <c r="B616" s="13">
        <f>IFERROR(__xludf.DUMMYFUNCTION("GOOGLEFINANCE(A616,""PRICE"")"),554.0)</f>
        <v>554</v>
      </c>
      <c r="C616" s="14">
        <f>IFERROR(__xludf.DUMMYFUNCTION("GOOGLEFINANCE(A616,""PRICEOPEN"")"),554.9)</f>
        <v>554.9</v>
      </c>
      <c r="D616" s="14">
        <f>IFERROR(__xludf.DUMMYFUNCTION("GOOGLEFINANCE(A616,""HIGH"")"),558.8)</f>
        <v>558.8</v>
      </c>
      <c r="E616" s="14">
        <f>IFERROR(__xludf.DUMMYFUNCTION("GOOGLEFINANCE(A616,""LOW"")"),551.5)</f>
        <v>551.5</v>
      </c>
      <c r="F616" s="15" t="str">
        <f t="shared" si="8"/>
        <v/>
      </c>
      <c r="G616" s="16">
        <f>IFERROR(__xludf.DUMMYFUNCTION("GOOGLEFINANCE(A616,""CLOSEYEST"")"),550.6)</f>
        <v>550.6</v>
      </c>
      <c r="H616" s="17" t="str">
        <f t="shared" si="14"/>
        <v/>
      </c>
      <c r="I616" s="18">
        <f t="shared" si="9"/>
        <v>553.6333333</v>
      </c>
      <c r="J616" s="19">
        <f t="shared" si="10"/>
        <v>555.7666667</v>
      </c>
      <c r="K616" s="19"/>
      <c r="L616" s="19">
        <f t="shared" si="11"/>
        <v>548.4666667</v>
      </c>
      <c r="M616" s="19">
        <f t="shared" si="12"/>
        <v>560.9333333</v>
      </c>
      <c r="N616" s="19">
        <f t="shared" si="13"/>
        <v>546.3333333</v>
      </c>
    </row>
    <row r="617" ht="24.75" customHeight="1">
      <c r="A617" s="21" t="s">
        <v>580</v>
      </c>
      <c r="B617" s="13">
        <f>IFERROR(__xludf.DUMMYFUNCTION("GOOGLEFINANCE(A617,""PRICE"")"),212.2)</f>
        <v>212.2</v>
      </c>
      <c r="C617" s="14">
        <f>IFERROR(__xludf.DUMMYFUNCTION("GOOGLEFINANCE(A617,""PRICEOPEN"")"),213.0)</f>
        <v>213</v>
      </c>
      <c r="D617" s="14">
        <f>IFERROR(__xludf.DUMMYFUNCTION("GOOGLEFINANCE(A617,""HIGH"")"),213.96)</f>
        <v>213.96</v>
      </c>
      <c r="E617" s="14">
        <f>IFERROR(__xludf.DUMMYFUNCTION("GOOGLEFINANCE(A617,""LOW"")"),209.9)</f>
        <v>209.9</v>
      </c>
      <c r="F617" s="15" t="str">
        <f t="shared" si="8"/>
        <v/>
      </c>
      <c r="G617" s="16">
        <f>IFERROR(__xludf.DUMMYFUNCTION("GOOGLEFINANCE(A617,""CLOSEYEST"")"),210.18)</f>
        <v>210.18</v>
      </c>
      <c r="H617" s="17" t="str">
        <f t="shared" si="14"/>
        <v>GAP UP</v>
      </c>
      <c r="I617" s="18">
        <f t="shared" si="9"/>
        <v>211.3466667</v>
      </c>
      <c r="J617" s="19">
        <f t="shared" si="10"/>
        <v>212.7933333</v>
      </c>
      <c r="K617" s="19"/>
      <c r="L617" s="19">
        <f t="shared" si="11"/>
        <v>208.7333333</v>
      </c>
      <c r="M617" s="19">
        <f t="shared" si="12"/>
        <v>215.4066667</v>
      </c>
      <c r="N617" s="19">
        <f t="shared" si="13"/>
        <v>207.2866667</v>
      </c>
    </row>
    <row r="618" ht="24.75" customHeight="1">
      <c r="A618" s="21" t="s">
        <v>581</v>
      </c>
      <c r="B618" s="13">
        <f>IFERROR(__xludf.DUMMYFUNCTION("GOOGLEFINANCE(A618,""PRICE"")"),259.99)</f>
        <v>259.99</v>
      </c>
      <c r="C618" s="14">
        <f>IFERROR(__xludf.DUMMYFUNCTION("GOOGLEFINANCE(A618,""PRICEOPEN"")"),254.42)</f>
        <v>254.42</v>
      </c>
      <c r="D618" s="14">
        <f>IFERROR(__xludf.DUMMYFUNCTION("GOOGLEFINANCE(A618,""HIGH"")"),264.96)</f>
        <v>264.96</v>
      </c>
      <c r="E618" s="14">
        <f>IFERROR(__xludf.DUMMYFUNCTION("GOOGLEFINANCE(A618,""LOW"")"),248.0)</f>
        <v>248</v>
      </c>
      <c r="F618" s="15" t="str">
        <f t="shared" si="8"/>
        <v/>
      </c>
      <c r="G618" s="16">
        <f>IFERROR(__xludf.DUMMYFUNCTION("GOOGLEFINANCE(A618,""CLOSEYEST"")"),253.29)</f>
        <v>253.29</v>
      </c>
      <c r="H618" s="17" t="str">
        <f t="shared" si="14"/>
        <v/>
      </c>
      <c r="I618" s="18">
        <f t="shared" si="9"/>
        <v>255.4166667</v>
      </c>
      <c r="J618" s="19">
        <f t="shared" si="10"/>
        <v>262.8333333</v>
      </c>
      <c r="K618" s="19"/>
      <c r="L618" s="19">
        <f t="shared" si="11"/>
        <v>245.8733333</v>
      </c>
      <c r="M618" s="19">
        <f t="shared" si="12"/>
        <v>272.3766667</v>
      </c>
      <c r="N618" s="19">
        <f t="shared" si="13"/>
        <v>238.4566667</v>
      </c>
    </row>
    <row r="619" ht="24.75" customHeight="1">
      <c r="A619" s="21" t="s">
        <v>582</v>
      </c>
      <c r="B619" s="13">
        <f>IFERROR(__xludf.DUMMYFUNCTION("GOOGLEFINANCE(A619,""PRICE"")"),330.25)</f>
        <v>330.25</v>
      </c>
      <c r="C619" s="14">
        <f>IFERROR(__xludf.DUMMYFUNCTION("GOOGLEFINANCE(A619,""PRICEOPEN"")"),328.6)</f>
        <v>328.6</v>
      </c>
      <c r="D619" s="14">
        <f>IFERROR(__xludf.DUMMYFUNCTION("GOOGLEFINANCE(A619,""HIGH"")"),334.45)</f>
        <v>334.45</v>
      </c>
      <c r="E619" s="14">
        <f>IFERROR(__xludf.DUMMYFUNCTION("GOOGLEFINANCE(A619,""LOW"")"),326.65)</f>
        <v>326.65</v>
      </c>
      <c r="F619" s="15" t="str">
        <f t="shared" si="8"/>
        <v/>
      </c>
      <c r="G619" s="16">
        <f>IFERROR(__xludf.DUMMYFUNCTION("GOOGLEFINANCE(A619,""CLOSEYEST"")"),331.6)</f>
        <v>331.6</v>
      </c>
      <c r="H619" s="17" t="str">
        <f t="shared" si="14"/>
        <v/>
      </c>
      <c r="I619" s="18">
        <f t="shared" si="9"/>
        <v>330.9</v>
      </c>
      <c r="J619" s="19">
        <f t="shared" si="10"/>
        <v>335.15</v>
      </c>
      <c r="K619" s="19"/>
      <c r="L619" s="19">
        <f t="shared" si="11"/>
        <v>327.35</v>
      </c>
      <c r="M619" s="19">
        <f t="shared" si="12"/>
        <v>338.7</v>
      </c>
      <c r="N619" s="19">
        <f t="shared" si="13"/>
        <v>323.1</v>
      </c>
    </row>
    <row r="620" ht="24.75" customHeight="1">
      <c r="A620" s="21" t="s">
        <v>583</v>
      </c>
      <c r="B620" s="13">
        <f>IFERROR(__xludf.DUMMYFUNCTION("GOOGLEFINANCE(A620,""PRICE"")"),247.99)</f>
        <v>247.99</v>
      </c>
      <c r="C620" s="14">
        <f>IFERROR(__xludf.DUMMYFUNCTION("GOOGLEFINANCE(A620,""PRICEOPEN"")"),249.99)</f>
        <v>249.99</v>
      </c>
      <c r="D620" s="14">
        <f>IFERROR(__xludf.DUMMYFUNCTION("GOOGLEFINANCE(A620,""HIGH"")"),251.7)</f>
        <v>251.7</v>
      </c>
      <c r="E620" s="14">
        <f>IFERROR(__xludf.DUMMYFUNCTION("GOOGLEFINANCE(A620,""LOW"")"),245.52)</f>
        <v>245.52</v>
      </c>
      <c r="F620" s="15" t="str">
        <f t="shared" si="8"/>
        <v/>
      </c>
      <c r="G620" s="16">
        <f>IFERROR(__xludf.DUMMYFUNCTION("GOOGLEFINANCE(A620,""CLOSEYEST"")"),246.64)</f>
        <v>246.64</v>
      </c>
      <c r="H620" s="17" t="str">
        <f t="shared" si="14"/>
        <v>GAP UP</v>
      </c>
      <c r="I620" s="18">
        <f t="shared" si="9"/>
        <v>247.9533333</v>
      </c>
      <c r="J620" s="19">
        <f t="shared" si="10"/>
        <v>250.3866667</v>
      </c>
      <c r="K620" s="19"/>
      <c r="L620" s="19">
        <f t="shared" si="11"/>
        <v>244.2066667</v>
      </c>
      <c r="M620" s="19">
        <f t="shared" si="12"/>
        <v>254.1333333</v>
      </c>
      <c r="N620" s="19">
        <f t="shared" si="13"/>
        <v>241.7733333</v>
      </c>
    </row>
    <row r="621" ht="24.75" customHeight="1">
      <c r="A621" s="21" t="s">
        <v>584</v>
      </c>
      <c r="B621" s="13">
        <f>IFERROR(__xludf.DUMMYFUNCTION("GOOGLEFINANCE(A621,""PRICE"")"),520.0)</f>
        <v>520</v>
      </c>
      <c r="C621" s="14">
        <f>IFERROR(__xludf.DUMMYFUNCTION("GOOGLEFINANCE(A621,""PRICEOPEN"")"),520.7)</f>
        <v>520.7</v>
      </c>
      <c r="D621" s="14">
        <f>IFERROR(__xludf.DUMMYFUNCTION("GOOGLEFINANCE(A621,""HIGH"")"),525.85)</f>
        <v>525.85</v>
      </c>
      <c r="E621" s="14">
        <f>IFERROR(__xludf.DUMMYFUNCTION("GOOGLEFINANCE(A621,""LOW"")"),514.8)</f>
        <v>514.8</v>
      </c>
      <c r="F621" s="15" t="str">
        <f t="shared" si="8"/>
        <v/>
      </c>
      <c r="G621" s="16">
        <f>IFERROR(__xludf.DUMMYFUNCTION("GOOGLEFINANCE(A621,""CLOSEYEST"")"),520.7)</f>
        <v>520.7</v>
      </c>
      <c r="H621" s="17" t="str">
        <f t="shared" si="14"/>
        <v/>
      </c>
      <c r="I621" s="18">
        <f t="shared" si="9"/>
        <v>520.45</v>
      </c>
      <c r="J621" s="19">
        <f t="shared" si="10"/>
        <v>526.1</v>
      </c>
      <c r="K621" s="19"/>
      <c r="L621" s="19">
        <f t="shared" si="11"/>
        <v>515.05</v>
      </c>
      <c r="M621" s="19">
        <f t="shared" si="12"/>
        <v>531.5</v>
      </c>
      <c r="N621" s="19">
        <f t="shared" si="13"/>
        <v>509.4</v>
      </c>
    </row>
    <row r="622" ht="24.75" customHeight="1">
      <c r="A622" s="21" t="s">
        <v>585</v>
      </c>
      <c r="B622" s="13">
        <f>IFERROR(__xludf.DUMMYFUNCTION("GOOGLEFINANCE(A622,""PRICE"")"),139.4)</f>
        <v>139.4</v>
      </c>
      <c r="C622" s="14">
        <f>IFERROR(__xludf.DUMMYFUNCTION("GOOGLEFINANCE(A622,""PRICEOPEN"")"),135.49)</f>
        <v>135.49</v>
      </c>
      <c r="D622" s="14">
        <f>IFERROR(__xludf.DUMMYFUNCTION("GOOGLEFINANCE(A622,""HIGH"")"),139.86)</f>
        <v>139.86</v>
      </c>
      <c r="E622" s="14">
        <f>IFERROR(__xludf.DUMMYFUNCTION("GOOGLEFINANCE(A622,""LOW"")"),134.0)</f>
        <v>134</v>
      </c>
      <c r="F622" s="15" t="str">
        <f t="shared" si="8"/>
        <v/>
      </c>
      <c r="G622" s="16">
        <f>IFERROR(__xludf.DUMMYFUNCTION("GOOGLEFINANCE(A622,""CLOSEYEST"")"),134.75)</f>
        <v>134.75</v>
      </c>
      <c r="H622" s="17" t="str">
        <f t="shared" si="14"/>
        <v/>
      </c>
      <c r="I622" s="18">
        <f t="shared" si="9"/>
        <v>136.2033333</v>
      </c>
      <c r="J622" s="19">
        <f t="shared" si="10"/>
        <v>138.4066667</v>
      </c>
      <c r="K622" s="19"/>
      <c r="L622" s="19">
        <f t="shared" si="11"/>
        <v>132.5466667</v>
      </c>
      <c r="M622" s="19">
        <f t="shared" si="12"/>
        <v>142.0633333</v>
      </c>
      <c r="N622" s="19">
        <f t="shared" si="13"/>
        <v>130.3433333</v>
      </c>
    </row>
    <row r="623" ht="24.75" customHeight="1">
      <c r="A623" s="21" t="s">
        <v>586</v>
      </c>
      <c r="B623" s="13">
        <f>IFERROR(__xludf.DUMMYFUNCTION("GOOGLEFINANCE(A623,""PRICE"")"),8885.0)</f>
        <v>8885</v>
      </c>
      <c r="C623" s="14">
        <f>IFERROR(__xludf.DUMMYFUNCTION("GOOGLEFINANCE(A623,""PRICEOPEN"")"),9049.5)</f>
        <v>9049.5</v>
      </c>
      <c r="D623" s="14">
        <f>IFERROR(__xludf.DUMMYFUNCTION("GOOGLEFINANCE(A623,""HIGH"")"),9049.5)</f>
        <v>9049.5</v>
      </c>
      <c r="E623" s="14">
        <f>IFERROR(__xludf.DUMMYFUNCTION("GOOGLEFINANCE(A623,""LOW"")"),8790.0)</f>
        <v>8790</v>
      </c>
      <c r="F623" s="15" t="str">
        <f t="shared" si="8"/>
        <v>SELL</v>
      </c>
      <c r="G623" s="16">
        <f>IFERROR(__xludf.DUMMYFUNCTION("GOOGLEFINANCE(A623,""CLOSEYEST"")"),8905.0)</f>
        <v>8905</v>
      </c>
      <c r="H623" s="17" t="str">
        <f t="shared" si="14"/>
        <v>GAP UP</v>
      </c>
      <c r="I623" s="18">
        <f t="shared" si="9"/>
        <v>8914.833333</v>
      </c>
      <c r="J623" s="19">
        <f t="shared" si="10"/>
        <v>9039.666667</v>
      </c>
      <c r="K623" s="19"/>
      <c r="L623" s="19">
        <f t="shared" si="11"/>
        <v>8780.166667</v>
      </c>
      <c r="M623" s="19">
        <f t="shared" si="12"/>
        <v>9174.333333</v>
      </c>
      <c r="N623" s="19">
        <f t="shared" si="13"/>
        <v>8655.333333</v>
      </c>
    </row>
    <row r="624" ht="24.75" customHeight="1">
      <c r="A624" s="21" t="s">
        <v>587</v>
      </c>
      <c r="B624" s="13">
        <f>IFERROR(__xludf.DUMMYFUNCTION("GOOGLEFINANCE(A624,""PRICE"")"),224.9)</f>
        <v>224.9</v>
      </c>
      <c r="C624" s="14">
        <f>IFERROR(__xludf.DUMMYFUNCTION("GOOGLEFINANCE(A624,""PRICEOPEN"")"),223.03)</f>
        <v>223.03</v>
      </c>
      <c r="D624" s="14">
        <f>IFERROR(__xludf.DUMMYFUNCTION("GOOGLEFINANCE(A624,""HIGH"")"),225.53)</f>
        <v>225.53</v>
      </c>
      <c r="E624" s="14">
        <f>IFERROR(__xludf.DUMMYFUNCTION("GOOGLEFINANCE(A624,""LOW"")"),222.21)</f>
        <v>222.21</v>
      </c>
      <c r="F624" s="15" t="str">
        <f t="shared" si="8"/>
        <v/>
      </c>
      <c r="G624" s="16">
        <f>IFERROR(__xludf.DUMMYFUNCTION("GOOGLEFINANCE(A624,""CLOSEYEST"")"),223.03)</f>
        <v>223.03</v>
      </c>
      <c r="H624" s="17" t="str">
        <f t="shared" si="14"/>
        <v/>
      </c>
      <c r="I624" s="18">
        <f t="shared" si="9"/>
        <v>223.59</v>
      </c>
      <c r="J624" s="19">
        <f t="shared" si="10"/>
        <v>224.97</v>
      </c>
      <c r="K624" s="19"/>
      <c r="L624" s="19">
        <f t="shared" si="11"/>
        <v>221.65</v>
      </c>
      <c r="M624" s="19">
        <f t="shared" si="12"/>
        <v>226.91</v>
      </c>
      <c r="N624" s="19">
        <f t="shared" si="13"/>
        <v>220.27</v>
      </c>
    </row>
    <row r="625" ht="24.75" customHeight="1">
      <c r="A625" s="21" t="s">
        <v>588</v>
      </c>
      <c r="B625" s="13">
        <f>IFERROR(__xludf.DUMMYFUNCTION("GOOGLEFINANCE(A625,""PRICE"")"),48.25)</f>
        <v>48.25</v>
      </c>
      <c r="C625" s="14">
        <f>IFERROR(__xludf.DUMMYFUNCTION("GOOGLEFINANCE(A625,""PRICEOPEN"")"),48.23)</f>
        <v>48.23</v>
      </c>
      <c r="D625" s="14">
        <f>IFERROR(__xludf.DUMMYFUNCTION("GOOGLEFINANCE(A625,""HIGH"")"),48.6)</f>
        <v>48.6</v>
      </c>
      <c r="E625" s="14">
        <f>IFERROR(__xludf.DUMMYFUNCTION("GOOGLEFINANCE(A625,""LOW"")"),47.83)</f>
        <v>47.83</v>
      </c>
      <c r="F625" s="15" t="str">
        <f t="shared" si="8"/>
        <v/>
      </c>
      <c r="G625" s="16">
        <f>IFERROR(__xludf.DUMMYFUNCTION("GOOGLEFINANCE(A625,""CLOSEYEST"")"),48.23)</f>
        <v>48.23</v>
      </c>
      <c r="H625" s="17" t="str">
        <f t="shared" si="14"/>
        <v/>
      </c>
      <c r="I625" s="18">
        <f t="shared" si="9"/>
        <v>48.22</v>
      </c>
      <c r="J625" s="19">
        <f t="shared" si="10"/>
        <v>48.61</v>
      </c>
      <c r="K625" s="19"/>
      <c r="L625" s="19">
        <f t="shared" si="11"/>
        <v>47.84</v>
      </c>
      <c r="M625" s="19">
        <f t="shared" si="12"/>
        <v>48.99</v>
      </c>
      <c r="N625" s="19">
        <f t="shared" si="13"/>
        <v>47.45</v>
      </c>
    </row>
    <row r="626" ht="24.75" customHeight="1">
      <c r="A626" s="21" t="s">
        <v>589</v>
      </c>
      <c r="B626" s="13">
        <f>IFERROR(__xludf.DUMMYFUNCTION("GOOGLEFINANCE(A626,""PRICE"")"),3502.0)</f>
        <v>3502</v>
      </c>
      <c r="C626" s="14">
        <f>IFERROR(__xludf.DUMMYFUNCTION("GOOGLEFINANCE(A626,""PRICEOPEN"")"),3700.0)</f>
        <v>3700</v>
      </c>
      <c r="D626" s="14">
        <f>IFERROR(__xludf.DUMMYFUNCTION("GOOGLEFINANCE(A626,""HIGH"")"),3700.0)</f>
        <v>3700</v>
      </c>
      <c r="E626" s="14">
        <f>IFERROR(__xludf.DUMMYFUNCTION("GOOGLEFINANCE(A626,""LOW"")"),3501.0)</f>
        <v>3501</v>
      </c>
      <c r="F626" s="15" t="str">
        <f t="shared" si="8"/>
        <v>SELL</v>
      </c>
      <c r="G626" s="16">
        <f>IFERROR(__xludf.DUMMYFUNCTION("GOOGLEFINANCE(A626,""CLOSEYEST"")"),3653.5)</f>
        <v>3653.5</v>
      </c>
      <c r="H626" s="17" t="str">
        <f t="shared" si="14"/>
        <v>GAP UP</v>
      </c>
      <c r="I626" s="18">
        <f t="shared" si="9"/>
        <v>3618.166667</v>
      </c>
      <c r="J626" s="19">
        <f t="shared" si="10"/>
        <v>3735.333333</v>
      </c>
      <c r="K626" s="19"/>
      <c r="L626" s="19">
        <f t="shared" si="11"/>
        <v>3536.333333</v>
      </c>
      <c r="M626" s="19">
        <f t="shared" si="12"/>
        <v>3817.166667</v>
      </c>
      <c r="N626" s="19">
        <f t="shared" si="13"/>
        <v>3419.166667</v>
      </c>
    </row>
    <row r="627" ht="24.75" customHeight="1">
      <c r="A627" s="21" t="s">
        <v>590</v>
      </c>
      <c r="B627" s="13">
        <f>IFERROR(__xludf.DUMMYFUNCTION("GOOGLEFINANCE(A627,""PRICE"")"),8.55)</f>
        <v>8.55</v>
      </c>
      <c r="C627" s="14">
        <f>IFERROR(__xludf.DUMMYFUNCTION("GOOGLEFINANCE(A627,""PRICEOPEN"")"),8.51)</f>
        <v>8.51</v>
      </c>
      <c r="D627" s="14">
        <f>IFERROR(__xludf.DUMMYFUNCTION("GOOGLEFINANCE(A627,""HIGH"")"),8.55)</f>
        <v>8.55</v>
      </c>
      <c r="E627" s="14">
        <f>IFERROR(__xludf.DUMMYFUNCTION("GOOGLEFINANCE(A627,""LOW"")"),8.51)</f>
        <v>8.51</v>
      </c>
      <c r="F627" s="15" t="str">
        <f t="shared" si="8"/>
        <v>BUY</v>
      </c>
      <c r="G627" s="16">
        <f>IFERROR(__xludf.DUMMYFUNCTION("GOOGLEFINANCE(A627,""CLOSEYEST"")"),8.55)</f>
        <v>8.55</v>
      </c>
      <c r="H627" s="17" t="str">
        <f t="shared" si="14"/>
        <v/>
      </c>
      <c r="I627" s="18">
        <f t="shared" si="9"/>
        <v>8.536666667</v>
      </c>
      <c r="J627" s="19">
        <f t="shared" si="10"/>
        <v>8.563333333</v>
      </c>
      <c r="K627" s="19"/>
      <c r="L627" s="19">
        <f t="shared" si="11"/>
        <v>8.523333333</v>
      </c>
      <c r="M627" s="19">
        <f t="shared" si="12"/>
        <v>8.576666667</v>
      </c>
      <c r="N627" s="19">
        <f t="shared" si="13"/>
        <v>8.496666667</v>
      </c>
    </row>
    <row r="628" ht="24.75" customHeight="1">
      <c r="A628" s="21" t="s">
        <v>591</v>
      </c>
      <c r="B628" s="13">
        <f>IFERROR(__xludf.DUMMYFUNCTION("GOOGLEFINANCE(A628,""PRICE"")"),300.0)</f>
        <v>300</v>
      </c>
      <c r="C628" s="14">
        <f>IFERROR(__xludf.DUMMYFUNCTION("GOOGLEFINANCE(A628,""PRICEOPEN"")"),297.15)</f>
        <v>297.15</v>
      </c>
      <c r="D628" s="14">
        <f>IFERROR(__xludf.DUMMYFUNCTION("GOOGLEFINANCE(A628,""HIGH"")"),301.3)</f>
        <v>301.3</v>
      </c>
      <c r="E628" s="14">
        <f>IFERROR(__xludf.DUMMYFUNCTION("GOOGLEFINANCE(A628,""LOW"")"),297.15)</f>
        <v>297.15</v>
      </c>
      <c r="F628" s="15" t="str">
        <f t="shared" si="8"/>
        <v>BUY</v>
      </c>
      <c r="G628" s="16">
        <f>IFERROR(__xludf.DUMMYFUNCTION("GOOGLEFINANCE(A628,""CLOSEYEST"")"),297.9)</f>
        <v>297.9</v>
      </c>
      <c r="H628" s="17" t="str">
        <f t="shared" si="14"/>
        <v/>
      </c>
      <c r="I628" s="18">
        <f t="shared" si="9"/>
        <v>298.7833333</v>
      </c>
      <c r="J628" s="19">
        <f t="shared" si="10"/>
        <v>300.4166667</v>
      </c>
      <c r="K628" s="19"/>
      <c r="L628" s="19">
        <f t="shared" si="11"/>
        <v>296.2666667</v>
      </c>
      <c r="M628" s="19">
        <f t="shared" si="12"/>
        <v>302.9333333</v>
      </c>
      <c r="N628" s="19">
        <f t="shared" si="13"/>
        <v>294.6333333</v>
      </c>
    </row>
    <row r="629" ht="24.75" customHeight="1">
      <c r="A629" s="21" t="s">
        <v>592</v>
      </c>
      <c r="B629" s="13">
        <f>IFERROR(__xludf.DUMMYFUNCTION("GOOGLEFINANCE(A629,""PRICE"")"),1300.0)</f>
        <v>1300</v>
      </c>
      <c r="C629" s="14">
        <f>IFERROR(__xludf.DUMMYFUNCTION("GOOGLEFINANCE(A629,""PRICEOPEN"")"),1310.0)</f>
        <v>1310</v>
      </c>
      <c r="D629" s="14">
        <f>IFERROR(__xludf.DUMMYFUNCTION("GOOGLEFINANCE(A629,""HIGH"")"),1310.0)</f>
        <v>1310</v>
      </c>
      <c r="E629" s="14">
        <f>IFERROR(__xludf.DUMMYFUNCTION("GOOGLEFINANCE(A629,""LOW"")"),1294.0)</f>
        <v>1294</v>
      </c>
      <c r="F629" s="15" t="str">
        <f t="shared" si="8"/>
        <v>SELL</v>
      </c>
      <c r="G629" s="16">
        <f>IFERROR(__xludf.DUMMYFUNCTION("GOOGLEFINANCE(A629,""CLOSEYEST"")"),1298.8)</f>
        <v>1298.8</v>
      </c>
      <c r="H629" s="17" t="str">
        <f t="shared" si="14"/>
        <v/>
      </c>
      <c r="I629" s="18">
        <f t="shared" si="9"/>
        <v>1300.933333</v>
      </c>
      <c r="J629" s="19">
        <f t="shared" si="10"/>
        <v>1307.866667</v>
      </c>
      <c r="K629" s="19"/>
      <c r="L629" s="19">
        <f t="shared" si="11"/>
        <v>1291.866667</v>
      </c>
      <c r="M629" s="19">
        <f t="shared" si="12"/>
        <v>1316.933333</v>
      </c>
      <c r="N629" s="19">
        <f t="shared" si="13"/>
        <v>1284.933333</v>
      </c>
    </row>
    <row r="630" ht="24.75" customHeight="1">
      <c r="A630" s="21" t="s">
        <v>593</v>
      </c>
      <c r="B630" s="13">
        <f>IFERROR(__xludf.DUMMYFUNCTION("GOOGLEFINANCE(A630,""PRICE"")"),425.5)</f>
        <v>425.5</v>
      </c>
      <c r="C630" s="14">
        <f>IFERROR(__xludf.DUMMYFUNCTION("GOOGLEFINANCE(A630,""PRICEOPEN"")"),394.8)</f>
        <v>394.8</v>
      </c>
      <c r="D630" s="14">
        <f>IFERROR(__xludf.DUMMYFUNCTION("GOOGLEFINANCE(A630,""HIGH"")"),444.8)</f>
        <v>444.8</v>
      </c>
      <c r="E630" s="14">
        <f>IFERROR(__xludf.DUMMYFUNCTION("GOOGLEFINANCE(A630,""LOW"")"),391.85)</f>
        <v>391.85</v>
      </c>
      <c r="F630" s="15" t="str">
        <f t="shared" si="8"/>
        <v/>
      </c>
      <c r="G630" s="16">
        <f>IFERROR(__xludf.DUMMYFUNCTION("GOOGLEFINANCE(A630,""CLOSEYEST"")"),392.9)</f>
        <v>392.9</v>
      </c>
      <c r="H630" s="17" t="str">
        <f t="shared" si="14"/>
        <v/>
      </c>
      <c r="I630" s="18">
        <f t="shared" si="9"/>
        <v>409.85</v>
      </c>
      <c r="J630" s="19">
        <f t="shared" si="10"/>
        <v>427.85</v>
      </c>
      <c r="K630" s="19"/>
      <c r="L630" s="19">
        <f t="shared" si="11"/>
        <v>374.9</v>
      </c>
      <c r="M630" s="19">
        <f t="shared" si="12"/>
        <v>462.8</v>
      </c>
      <c r="N630" s="19">
        <f t="shared" si="13"/>
        <v>356.9</v>
      </c>
    </row>
    <row r="631" ht="24.75" customHeight="1">
      <c r="A631" s="21" t="s">
        <v>594</v>
      </c>
      <c r="B631" s="13">
        <f>IFERROR(__xludf.DUMMYFUNCTION("GOOGLEFINANCE(A631,""PRICE"")"),0.0)</f>
        <v>0</v>
      </c>
      <c r="C631" s="14">
        <f>IFERROR(__xludf.DUMMYFUNCTION("GOOGLEFINANCE(A631,""PRICEOPEN"")"),0.0)</f>
        <v>0</v>
      </c>
      <c r="D631" s="14">
        <f>IFERROR(__xludf.DUMMYFUNCTION("GOOGLEFINANCE(A631,""HIGH"")"),0.0)</f>
        <v>0</v>
      </c>
      <c r="E631" s="14">
        <f>IFERROR(__xludf.DUMMYFUNCTION("GOOGLEFINANCE(A631,""LOW"")"),0.0)</f>
        <v>0</v>
      </c>
      <c r="F631" s="15" t="str">
        <f t="shared" si="8"/>
        <v>SELL</v>
      </c>
      <c r="G631" s="16">
        <f>IFERROR(__xludf.DUMMYFUNCTION("GOOGLEFINANCE(A631,""CLOSEYEST"")"),0.0)</f>
        <v>0</v>
      </c>
      <c r="H631" s="17" t="str">
        <f t="shared" si="14"/>
        <v>GAP UP</v>
      </c>
      <c r="I631" s="18">
        <f t="shared" si="9"/>
        <v>0</v>
      </c>
      <c r="J631" s="19">
        <f t="shared" si="10"/>
        <v>0</v>
      </c>
      <c r="K631" s="19"/>
      <c r="L631" s="19">
        <f t="shared" si="11"/>
        <v>0</v>
      </c>
      <c r="M631" s="19">
        <f t="shared" si="12"/>
        <v>0</v>
      </c>
      <c r="N631" s="19">
        <f t="shared" si="13"/>
        <v>0</v>
      </c>
    </row>
    <row r="632" ht="24.75" customHeight="1">
      <c r="A632" s="21" t="s">
        <v>595</v>
      </c>
      <c r="B632" s="13">
        <f>IFERROR(__xludf.DUMMYFUNCTION("GOOGLEFINANCE(A632,""PRICE"")"),58.41)</f>
        <v>58.41</v>
      </c>
      <c r="C632" s="14">
        <f>IFERROR(__xludf.DUMMYFUNCTION("GOOGLEFINANCE(A632,""PRICEOPEN"")"),55.2)</f>
        <v>55.2</v>
      </c>
      <c r="D632" s="14">
        <f>IFERROR(__xludf.DUMMYFUNCTION("GOOGLEFINANCE(A632,""HIGH"")"),58.61)</f>
        <v>58.61</v>
      </c>
      <c r="E632" s="14">
        <f>IFERROR(__xludf.DUMMYFUNCTION("GOOGLEFINANCE(A632,""LOW"")"),55.05)</f>
        <v>55.05</v>
      </c>
      <c r="F632" s="15" t="str">
        <f t="shared" si="8"/>
        <v/>
      </c>
      <c r="G632" s="16">
        <f>IFERROR(__xludf.DUMMYFUNCTION("GOOGLEFINANCE(A632,""CLOSEYEST"")"),55.34)</f>
        <v>55.34</v>
      </c>
      <c r="H632" s="17" t="str">
        <f t="shared" si="14"/>
        <v/>
      </c>
      <c r="I632" s="18">
        <f t="shared" si="9"/>
        <v>56.33333333</v>
      </c>
      <c r="J632" s="19">
        <f t="shared" si="10"/>
        <v>57.61666667</v>
      </c>
      <c r="K632" s="19"/>
      <c r="L632" s="19">
        <f t="shared" si="11"/>
        <v>54.05666667</v>
      </c>
      <c r="M632" s="19">
        <f t="shared" si="12"/>
        <v>59.89333333</v>
      </c>
      <c r="N632" s="19">
        <f t="shared" si="13"/>
        <v>52.77333333</v>
      </c>
    </row>
    <row r="633" ht="24.75" customHeight="1">
      <c r="A633" s="21" t="s">
        <v>596</v>
      </c>
      <c r="B633" s="13">
        <f>IFERROR(__xludf.DUMMYFUNCTION("GOOGLEFINANCE(A633,""PRICE"")"),366.0)</f>
        <v>366</v>
      </c>
      <c r="C633" s="14">
        <f>IFERROR(__xludf.DUMMYFUNCTION("GOOGLEFINANCE(A633,""PRICEOPEN"")"),356.5)</f>
        <v>356.5</v>
      </c>
      <c r="D633" s="14">
        <f>IFERROR(__xludf.DUMMYFUNCTION("GOOGLEFINANCE(A633,""HIGH"")"),368.0)</f>
        <v>368</v>
      </c>
      <c r="E633" s="14">
        <f>IFERROR(__xludf.DUMMYFUNCTION("GOOGLEFINANCE(A633,""LOW"")"),353.8)</f>
        <v>353.8</v>
      </c>
      <c r="F633" s="15" t="str">
        <f t="shared" si="8"/>
        <v/>
      </c>
      <c r="G633" s="16">
        <f>IFERROR(__xludf.DUMMYFUNCTION("GOOGLEFINANCE(A633,""CLOSEYEST"")"),352.7)</f>
        <v>352.7</v>
      </c>
      <c r="H633" s="17" t="str">
        <f t="shared" si="14"/>
        <v>GAP UP</v>
      </c>
      <c r="I633" s="18">
        <f t="shared" si="9"/>
        <v>358.1666667</v>
      </c>
      <c r="J633" s="19">
        <f t="shared" si="10"/>
        <v>362.5333333</v>
      </c>
      <c r="K633" s="19"/>
      <c r="L633" s="19">
        <f t="shared" si="11"/>
        <v>348.3333333</v>
      </c>
      <c r="M633" s="19">
        <f t="shared" si="12"/>
        <v>372.3666667</v>
      </c>
      <c r="N633" s="19">
        <f t="shared" si="13"/>
        <v>343.9666667</v>
      </c>
    </row>
    <row r="634" ht="24.75" customHeight="1">
      <c r="A634" s="21" t="s">
        <v>597</v>
      </c>
      <c r="B634" s="13">
        <f>IFERROR(__xludf.DUMMYFUNCTION("GOOGLEFINANCE(A634,""PRICE"")"),1524.6)</f>
        <v>1524.6</v>
      </c>
      <c r="C634" s="14">
        <f>IFERROR(__xludf.DUMMYFUNCTION("GOOGLEFINANCE(A634,""PRICEOPEN"")"),1537.5)</f>
        <v>1537.5</v>
      </c>
      <c r="D634" s="14">
        <f>IFERROR(__xludf.DUMMYFUNCTION("GOOGLEFINANCE(A634,""HIGH"")"),1568.8)</f>
        <v>1568.8</v>
      </c>
      <c r="E634" s="14">
        <f>IFERROR(__xludf.DUMMYFUNCTION("GOOGLEFINANCE(A634,""LOW"")"),1510.2)</f>
        <v>1510.2</v>
      </c>
      <c r="F634" s="15" t="str">
        <f t="shared" si="8"/>
        <v/>
      </c>
      <c r="G634" s="16">
        <f>IFERROR(__xludf.DUMMYFUNCTION("GOOGLEFINANCE(A634,""CLOSEYEST"")"),1537.5)</f>
        <v>1537.5</v>
      </c>
      <c r="H634" s="17" t="str">
        <f t="shared" si="14"/>
        <v/>
      </c>
      <c r="I634" s="18">
        <f t="shared" si="9"/>
        <v>1538.833333</v>
      </c>
      <c r="J634" s="19">
        <f t="shared" si="10"/>
        <v>1567.466667</v>
      </c>
      <c r="K634" s="19"/>
      <c r="L634" s="19">
        <f t="shared" si="11"/>
        <v>1508.866667</v>
      </c>
      <c r="M634" s="19">
        <f t="shared" si="12"/>
        <v>1597.433333</v>
      </c>
      <c r="N634" s="19">
        <f t="shared" si="13"/>
        <v>1480.233333</v>
      </c>
    </row>
    <row r="635" ht="24.75" customHeight="1">
      <c r="A635" s="21" t="s">
        <v>598</v>
      </c>
      <c r="B635" s="13">
        <f>IFERROR(__xludf.DUMMYFUNCTION("GOOGLEFINANCE(A635,""PRICE"")"),269.0)</f>
        <v>269</v>
      </c>
      <c r="C635" s="14">
        <f>IFERROR(__xludf.DUMMYFUNCTION("GOOGLEFINANCE(A635,""PRICEOPEN"")"),265.55)</f>
        <v>265.55</v>
      </c>
      <c r="D635" s="14">
        <f>IFERROR(__xludf.DUMMYFUNCTION("GOOGLEFINANCE(A635,""HIGH"")"),269.25)</f>
        <v>269.25</v>
      </c>
      <c r="E635" s="14">
        <f>IFERROR(__xludf.DUMMYFUNCTION("GOOGLEFINANCE(A635,""LOW"")"),265.0)</f>
        <v>265</v>
      </c>
      <c r="F635" s="15" t="str">
        <f t="shared" si="8"/>
        <v/>
      </c>
      <c r="G635" s="16">
        <f>IFERROR(__xludf.DUMMYFUNCTION("GOOGLEFINANCE(A635,""CLOSEYEST"")"),268.55)</f>
        <v>268.55</v>
      </c>
      <c r="H635" s="17" t="str">
        <f t="shared" si="14"/>
        <v>GAP DOWN</v>
      </c>
      <c r="I635" s="18">
        <f t="shared" si="9"/>
        <v>267.6</v>
      </c>
      <c r="J635" s="19">
        <f t="shared" si="10"/>
        <v>270.2</v>
      </c>
      <c r="K635" s="19"/>
      <c r="L635" s="19">
        <f t="shared" si="11"/>
        <v>265.95</v>
      </c>
      <c r="M635" s="19">
        <f t="shared" si="12"/>
        <v>271.85</v>
      </c>
      <c r="N635" s="19">
        <f t="shared" si="13"/>
        <v>263.35</v>
      </c>
    </row>
    <row r="636" ht="24.75" customHeight="1">
      <c r="A636" s="21" t="s">
        <v>599</v>
      </c>
      <c r="B636" s="13">
        <f>IFERROR(__xludf.DUMMYFUNCTION("GOOGLEFINANCE(A636,""PRICE"")"),399.05)</f>
        <v>399.05</v>
      </c>
      <c r="C636" s="14">
        <f>IFERROR(__xludf.DUMMYFUNCTION("GOOGLEFINANCE(A636,""PRICEOPEN"")"),383.8)</f>
        <v>383.8</v>
      </c>
      <c r="D636" s="14">
        <f>IFERROR(__xludf.DUMMYFUNCTION("GOOGLEFINANCE(A636,""HIGH"")"),403.3)</f>
        <v>403.3</v>
      </c>
      <c r="E636" s="14">
        <f>IFERROR(__xludf.DUMMYFUNCTION("GOOGLEFINANCE(A636,""LOW"")"),382.65)</f>
        <v>382.65</v>
      </c>
      <c r="F636" s="15" t="str">
        <f t="shared" si="8"/>
        <v/>
      </c>
      <c r="G636" s="16">
        <f>IFERROR(__xludf.DUMMYFUNCTION("GOOGLEFINANCE(A636,""CLOSEYEST"")"),382.9)</f>
        <v>382.9</v>
      </c>
      <c r="H636" s="17" t="str">
        <f t="shared" si="14"/>
        <v/>
      </c>
      <c r="I636" s="18">
        <f t="shared" si="9"/>
        <v>389.6166667</v>
      </c>
      <c r="J636" s="19">
        <f t="shared" si="10"/>
        <v>396.5833333</v>
      </c>
      <c r="K636" s="19"/>
      <c r="L636" s="19">
        <f t="shared" si="11"/>
        <v>375.9333333</v>
      </c>
      <c r="M636" s="19">
        <f t="shared" si="12"/>
        <v>410.2666667</v>
      </c>
      <c r="N636" s="19">
        <f t="shared" si="13"/>
        <v>368.9666667</v>
      </c>
    </row>
    <row r="637" ht="24.75" customHeight="1">
      <c r="A637" s="21" t="s">
        <v>600</v>
      </c>
      <c r="B637" s="13">
        <f>IFERROR(__xludf.DUMMYFUNCTION("GOOGLEFINANCE(A637,""PRICE"")"),341.45)</f>
        <v>341.45</v>
      </c>
      <c r="C637" s="14">
        <f>IFERROR(__xludf.DUMMYFUNCTION("GOOGLEFINANCE(A637,""PRICEOPEN"")"),328.7)</f>
        <v>328.7</v>
      </c>
      <c r="D637" s="14">
        <f>IFERROR(__xludf.DUMMYFUNCTION("GOOGLEFINANCE(A637,""HIGH"")"),341.7)</f>
        <v>341.7</v>
      </c>
      <c r="E637" s="14">
        <f>IFERROR(__xludf.DUMMYFUNCTION("GOOGLEFINANCE(A637,""LOW"")"),328.7)</f>
        <v>328.7</v>
      </c>
      <c r="F637" s="15" t="str">
        <f t="shared" si="8"/>
        <v>BUY</v>
      </c>
      <c r="G637" s="16">
        <f>IFERROR(__xludf.DUMMYFUNCTION("GOOGLEFINANCE(A637,""CLOSEYEST"")"),334.0)</f>
        <v>334</v>
      </c>
      <c r="H637" s="17" t="str">
        <f t="shared" si="14"/>
        <v>GAP DOWN</v>
      </c>
      <c r="I637" s="18">
        <f t="shared" si="9"/>
        <v>334.8</v>
      </c>
      <c r="J637" s="19">
        <f t="shared" si="10"/>
        <v>340.9</v>
      </c>
      <c r="K637" s="19"/>
      <c r="L637" s="19">
        <f t="shared" si="11"/>
        <v>327.9</v>
      </c>
      <c r="M637" s="19">
        <f t="shared" si="12"/>
        <v>347.8</v>
      </c>
      <c r="N637" s="19">
        <f t="shared" si="13"/>
        <v>321.8</v>
      </c>
    </row>
    <row r="638" ht="24.75" customHeight="1">
      <c r="A638" s="21" t="s">
        <v>601</v>
      </c>
      <c r="B638" s="13">
        <f>IFERROR(__xludf.DUMMYFUNCTION("GOOGLEFINANCE(A638,""PRICE"")"),0.73)</f>
        <v>0.73</v>
      </c>
      <c r="C638" s="14">
        <f>IFERROR(__xludf.DUMMYFUNCTION("GOOGLEFINANCE(A638,""PRICEOPEN"")"),0.73)</f>
        <v>0.73</v>
      </c>
      <c r="D638" s="14">
        <f>IFERROR(__xludf.DUMMYFUNCTION("GOOGLEFINANCE(A638,""HIGH"")"),0.73)</f>
        <v>0.73</v>
      </c>
      <c r="E638" s="14">
        <f>IFERROR(__xludf.DUMMYFUNCTION("GOOGLEFINANCE(A638,""LOW"")"),0.73)</f>
        <v>0.73</v>
      </c>
      <c r="F638" s="15" t="str">
        <f t="shared" si="8"/>
        <v>SELL</v>
      </c>
      <c r="G638" s="16">
        <f>IFERROR(__xludf.DUMMYFUNCTION("GOOGLEFINANCE(A638,""CLOSEYEST"")"),0.73)</f>
        <v>0.73</v>
      </c>
      <c r="H638" s="17" t="str">
        <f t="shared" si="14"/>
        <v/>
      </c>
      <c r="I638" s="18">
        <f t="shared" si="9"/>
        <v>0.73</v>
      </c>
      <c r="J638" s="19">
        <f t="shared" si="10"/>
        <v>0.73</v>
      </c>
      <c r="K638" s="19"/>
      <c r="L638" s="19">
        <f t="shared" si="11"/>
        <v>0.73</v>
      </c>
      <c r="M638" s="19">
        <f t="shared" si="12"/>
        <v>0.73</v>
      </c>
      <c r="N638" s="19">
        <f t="shared" si="13"/>
        <v>0.73</v>
      </c>
    </row>
    <row r="639" ht="24.75" customHeight="1">
      <c r="A639" s="21" t="s">
        <v>602</v>
      </c>
      <c r="B639" s="13">
        <f>IFERROR(__xludf.DUMMYFUNCTION("GOOGLEFINANCE(A639,""PRICE"")"),373.5)</f>
        <v>373.5</v>
      </c>
      <c r="C639" s="14">
        <f>IFERROR(__xludf.DUMMYFUNCTION("GOOGLEFINANCE(A639,""PRICEOPEN"")"),366.2)</f>
        <v>366.2</v>
      </c>
      <c r="D639" s="14">
        <f>IFERROR(__xludf.DUMMYFUNCTION("GOOGLEFINANCE(A639,""HIGH"")"),375.6)</f>
        <v>375.6</v>
      </c>
      <c r="E639" s="14">
        <f>IFERROR(__xludf.DUMMYFUNCTION("GOOGLEFINANCE(A639,""LOW"")"),363.7)</f>
        <v>363.7</v>
      </c>
      <c r="F639" s="15" t="str">
        <f t="shared" si="8"/>
        <v/>
      </c>
      <c r="G639" s="16">
        <f>IFERROR(__xludf.DUMMYFUNCTION("GOOGLEFINANCE(A639,""CLOSEYEST"")"),366.45)</f>
        <v>366.45</v>
      </c>
      <c r="H639" s="17" t="str">
        <f t="shared" si="14"/>
        <v/>
      </c>
      <c r="I639" s="18">
        <f t="shared" si="9"/>
        <v>368.5833333</v>
      </c>
      <c r="J639" s="19">
        <f t="shared" si="10"/>
        <v>373.4666667</v>
      </c>
      <c r="K639" s="19"/>
      <c r="L639" s="19">
        <f t="shared" si="11"/>
        <v>361.5666667</v>
      </c>
      <c r="M639" s="19">
        <f t="shared" si="12"/>
        <v>380.4833333</v>
      </c>
      <c r="N639" s="19">
        <f t="shared" si="13"/>
        <v>356.6833333</v>
      </c>
    </row>
    <row r="640" ht="24.75" customHeight="1">
      <c r="A640" s="21" t="s">
        <v>603</v>
      </c>
      <c r="B640" s="13" t="str">
        <f>IFERROR(__xludf.DUMMYFUNCTION("GOOGLEFINANCE(A640,""PRICE"")"),"#N/A")</f>
        <v>#N/A</v>
      </c>
      <c r="C640" s="14" t="str">
        <f>IFERROR(__xludf.DUMMYFUNCTION("GOOGLEFINANCE(A640,""PRICEOPEN"")"),"#N/A")</f>
        <v>#N/A</v>
      </c>
      <c r="D640" s="14" t="str">
        <f>IFERROR(__xludf.DUMMYFUNCTION("GOOGLEFINANCE(A640,""HIGH"")"),"#N/A")</f>
        <v>#N/A</v>
      </c>
      <c r="E640" s="14" t="str">
        <f>IFERROR(__xludf.DUMMYFUNCTION("GOOGLEFINANCE(A640,""LOW"")"),"#N/A")</f>
        <v>#N/A</v>
      </c>
      <c r="F640" s="15" t="str">
        <f t="shared" si="8"/>
        <v>#N/A</v>
      </c>
      <c r="G640" s="16" t="str">
        <f>IFERROR(__xludf.DUMMYFUNCTION("GOOGLEFINANCE(A640,""CLOSEYEST"")"),"#N/A")</f>
        <v>#N/A</v>
      </c>
      <c r="H640" s="17" t="str">
        <f t="shared" si="14"/>
        <v>#N/A</v>
      </c>
      <c r="I640" s="18" t="str">
        <f t="shared" si="9"/>
        <v>#N/A</v>
      </c>
      <c r="J640" s="19" t="str">
        <f t="shared" si="10"/>
        <v>#N/A</v>
      </c>
      <c r="K640" s="19"/>
      <c r="L640" s="19" t="str">
        <f t="shared" si="11"/>
        <v>#N/A</v>
      </c>
      <c r="M640" s="19" t="str">
        <f t="shared" si="12"/>
        <v>#N/A</v>
      </c>
      <c r="N640" s="19" t="str">
        <f t="shared" si="13"/>
        <v>#N/A</v>
      </c>
    </row>
    <row r="641" ht="24.75" customHeight="1">
      <c r="A641" s="21" t="s">
        <v>604</v>
      </c>
      <c r="B641" s="13">
        <f>IFERROR(__xludf.DUMMYFUNCTION("GOOGLEFINANCE(A641,""PRICE"")"),5.0)</f>
        <v>5</v>
      </c>
      <c r="C641" s="14">
        <f>IFERROR(__xludf.DUMMYFUNCTION("GOOGLEFINANCE(A641,""PRICEOPEN"")"),4.99)</f>
        <v>4.99</v>
      </c>
      <c r="D641" s="14">
        <f>IFERROR(__xludf.DUMMYFUNCTION("GOOGLEFINANCE(A641,""HIGH"")"),5.01)</f>
        <v>5.01</v>
      </c>
      <c r="E641" s="14">
        <f>IFERROR(__xludf.DUMMYFUNCTION("GOOGLEFINANCE(A641,""LOW"")"),4.92)</f>
        <v>4.92</v>
      </c>
      <c r="F641" s="15" t="str">
        <f t="shared" si="8"/>
        <v/>
      </c>
      <c r="G641" s="16">
        <f>IFERROR(__xludf.DUMMYFUNCTION("GOOGLEFINANCE(A641,""CLOSEYEST"")"),4.95)</f>
        <v>4.95</v>
      </c>
      <c r="H641" s="17" t="str">
        <f t="shared" si="14"/>
        <v/>
      </c>
      <c r="I641" s="18">
        <f t="shared" si="9"/>
        <v>4.96</v>
      </c>
      <c r="J641" s="19">
        <f t="shared" si="10"/>
        <v>5</v>
      </c>
      <c r="K641" s="19"/>
      <c r="L641" s="19">
        <f t="shared" si="11"/>
        <v>4.91</v>
      </c>
      <c r="M641" s="19">
        <f t="shared" si="12"/>
        <v>5.05</v>
      </c>
      <c r="N641" s="19">
        <f t="shared" si="13"/>
        <v>4.87</v>
      </c>
    </row>
    <row r="642" ht="24.75" customHeight="1">
      <c r="A642" s="21" t="s">
        <v>605</v>
      </c>
      <c r="B642" s="13" t="str">
        <f>IFERROR(__xludf.DUMMYFUNCTION("GOOGLEFINANCE(A642,""PRICE"")"),"#N/A")</f>
        <v>#N/A</v>
      </c>
      <c r="C642" s="14" t="str">
        <f>IFERROR(__xludf.DUMMYFUNCTION("GOOGLEFINANCE(A642,""PRICEOPEN"")"),"#N/A")</f>
        <v>#N/A</v>
      </c>
      <c r="D642" s="14" t="str">
        <f>IFERROR(__xludf.DUMMYFUNCTION("GOOGLEFINANCE(A642,""HIGH"")"),"#N/A")</f>
        <v>#N/A</v>
      </c>
      <c r="E642" s="14" t="str">
        <f>IFERROR(__xludf.DUMMYFUNCTION("GOOGLEFINANCE(A642,""LOW"")"),"#N/A")</f>
        <v>#N/A</v>
      </c>
      <c r="F642" s="15" t="str">
        <f t="shared" si="8"/>
        <v>#N/A</v>
      </c>
      <c r="G642" s="16" t="str">
        <f>IFERROR(__xludf.DUMMYFUNCTION("GOOGLEFINANCE(A642,""CLOSEYEST"")"),"#N/A")</f>
        <v>#N/A</v>
      </c>
      <c r="H642" s="17" t="str">
        <f t="shared" si="14"/>
        <v>#N/A</v>
      </c>
      <c r="I642" s="18" t="str">
        <f t="shared" si="9"/>
        <v>#N/A</v>
      </c>
      <c r="J642" s="19" t="str">
        <f t="shared" si="10"/>
        <v>#N/A</v>
      </c>
      <c r="K642" s="19"/>
      <c r="L642" s="19" t="str">
        <f t="shared" si="11"/>
        <v>#N/A</v>
      </c>
      <c r="M642" s="19" t="str">
        <f t="shared" si="12"/>
        <v>#N/A</v>
      </c>
      <c r="N642" s="19" t="str">
        <f t="shared" si="13"/>
        <v>#N/A</v>
      </c>
    </row>
    <row r="643" ht="24.75" customHeight="1">
      <c r="A643" s="21" t="s">
        <v>606</v>
      </c>
      <c r="B643" s="13">
        <f>IFERROR(__xludf.DUMMYFUNCTION("GOOGLEFINANCE(A643,""PRICE"")"),1339.0)</f>
        <v>1339</v>
      </c>
      <c r="C643" s="14">
        <f>IFERROR(__xludf.DUMMYFUNCTION("GOOGLEFINANCE(A643,""PRICEOPEN"")"),1332.0)</f>
        <v>1332</v>
      </c>
      <c r="D643" s="14">
        <f>IFERROR(__xludf.DUMMYFUNCTION("GOOGLEFINANCE(A643,""HIGH"")"),1343.7)</f>
        <v>1343.7</v>
      </c>
      <c r="E643" s="14">
        <f>IFERROR(__xludf.DUMMYFUNCTION("GOOGLEFINANCE(A643,""LOW"")"),1323.0)</f>
        <v>1323</v>
      </c>
      <c r="F643" s="15" t="str">
        <f t="shared" si="8"/>
        <v/>
      </c>
      <c r="G643" s="16">
        <f>IFERROR(__xludf.DUMMYFUNCTION("GOOGLEFINANCE(A643,""CLOSEYEST"")"),1335.7)</f>
        <v>1335.7</v>
      </c>
      <c r="H643" s="17" t="str">
        <f t="shared" si="14"/>
        <v/>
      </c>
      <c r="I643" s="18">
        <f t="shared" si="9"/>
        <v>1334.133333</v>
      </c>
      <c r="J643" s="19">
        <f t="shared" si="10"/>
        <v>1345.266667</v>
      </c>
      <c r="K643" s="19"/>
      <c r="L643" s="19">
        <f t="shared" si="11"/>
        <v>1324.566667</v>
      </c>
      <c r="M643" s="19">
        <f t="shared" si="12"/>
        <v>1354.833333</v>
      </c>
      <c r="N643" s="19">
        <f t="shared" si="13"/>
        <v>1313.433333</v>
      </c>
    </row>
    <row r="644" ht="24.75" customHeight="1">
      <c r="A644" s="21" t="s">
        <v>607</v>
      </c>
      <c r="B644" s="13">
        <f>IFERROR(__xludf.DUMMYFUNCTION("GOOGLEFINANCE(A644,""PRICE"")"),283.1)</f>
        <v>283.1</v>
      </c>
      <c r="C644" s="14">
        <f>IFERROR(__xludf.DUMMYFUNCTION("GOOGLEFINANCE(A644,""PRICEOPEN"")"),278.9)</f>
        <v>278.9</v>
      </c>
      <c r="D644" s="14">
        <f>IFERROR(__xludf.DUMMYFUNCTION("GOOGLEFINANCE(A644,""HIGH"")"),285.9)</f>
        <v>285.9</v>
      </c>
      <c r="E644" s="14">
        <f>IFERROR(__xludf.DUMMYFUNCTION("GOOGLEFINANCE(A644,""LOW"")"),276.3)</f>
        <v>276.3</v>
      </c>
      <c r="F644" s="15" t="str">
        <f t="shared" si="8"/>
        <v/>
      </c>
      <c r="G644" s="16">
        <f>IFERROR(__xludf.DUMMYFUNCTION("GOOGLEFINANCE(A644,""CLOSEYEST"")"),276.4)</f>
        <v>276.4</v>
      </c>
      <c r="H644" s="17" t="str">
        <f t="shared" si="14"/>
        <v/>
      </c>
      <c r="I644" s="18">
        <f t="shared" si="9"/>
        <v>279.5333333</v>
      </c>
      <c r="J644" s="19">
        <f t="shared" si="10"/>
        <v>282.7666667</v>
      </c>
      <c r="K644" s="19"/>
      <c r="L644" s="19">
        <f t="shared" si="11"/>
        <v>273.1666667</v>
      </c>
      <c r="M644" s="19">
        <f t="shared" si="12"/>
        <v>289.1333333</v>
      </c>
      <c r="N644" s="19">
        <f t="shared" si="13"/>
        <v>269.9333333</v>
      </c>
    </row>
    <row r="645" ht="24.75" customHeight="1">
      <c r="A645" s="21" t="s">
        <v>608</v>
      </c>
      <c r="B645" s="13">
        <f>IFERROR(__xludf.DUMMYFUNCTION("GOOGLEFINANCE(A645,""PRICE"")"),206.5)</f>
        <v>206.5</v>
      </c>
      <c r="C645" s="14">
        <f>IFERROR(__xludf.DUMMYFUNCTION("GOOGLEFINANCE(A645,""PRICEOPEN"")"),204.6)</f>
        <v>204.6</v>
      </c>
      <c r="D645" s="14">
        <f>IFERROR(__xludf.DUMMYFUNCTION("GOOGLEFINANCE(A645,""HIGH"")"),206.9)</f>
        <v>206.9</v>
      </c>
      <c r="E645" s="14">
        <f>IFERROR(__xludf.DUMMYFUNCTION("GOOGLEFINANCE(A645,""LOW"")"),202.76)</f>
        <v>202.76</v>
      </c>
      <c r="F645" s="15" t="str">
        <f t="shared" si="8"/>
        <v/>
      </c>
      <c r="G645" s="16">
        <f>IFERROR(__xludf.DUMMYFUNCTION("GOOGLEFINANCE(A645,""CLOSEYEST"")"),204.48)</f>
        <v>204.48</v>
      </c>
      <c r="H645" s="17" t="str">
        <f t="shared" si="14"/>
        <v/>
      </c>
      <c r="I645" s="18">
        <f t="shared" si="9"/>
        <v>204.7133333</v>
      </c>
      <c r="J645" s="19">
        <f t="shared" si="10"/>
        <v>206.6666667</v>
      </c>
      <c r="K645" s="19"/>
      <c r="L645" s="19">
        <f t="shared" si="11"/>
        <v>202.5266667</v>
      </c>
      <c r="M645" s="19">
        <f t="shared" si="12"/>
        <v>208.8533333</v>
      </c>
      <c r="N645" s="19">
        <f t="shared" si="13"/>
        <v>200.5733333</v>
      </c>
    </row>
    <row r="646" ht="24.75" customHeight="1">
      <c r="A646" s="21" t="s">
        <v>609</v>
      </c>
      <c r="B646" s="13">
        <f>IFERROR(__xludf.DUMMYFUNCTION("GOOGLEFINANCE(A646,""PRICE"")"),6253.0)</f>
        <v>6253</v>
      </c>
      <c r="C646" s="14">
        <f>IFERROR(__xludf.DUMMYFUNCTION("GOOGLEFINANCE(A646,""PRICEOPEN"")"),6236.0)</f>
        <v>6236</v>
      </c>
      <c r="D646" s="14">
        <f>IFERROR(__xludf.DUMMYFUNCTION("GOOGLEFINANCE(A646,""HIGH"")"),6350.0)</f>
        <v>6350</v>
      </c>
      <c r="E646" s="14">
        <f>IFERROR(__xludf.DUMMYFUNCTION("GOOGLEFINANCE(A646,""LOW"")"),6151.0)</f>
        <v>6151</v>
      </c>
      <c r="F646" s="15" t="str">
        <f t="shared" si="8"/>
        <v/>
      </c>
      <c r="G646" s="16">
        <f>IFERROR(__xludf.DUMMYFUNCTION("GOOGLEFINANCE(A646,""CLOSEYEST"")"),6299.5)</f>
        <v>6299.5</v>
      </c>
      <c r="H646" s="17" t="str">
        <f t="shared" si="14"/>
        <v>GAP DOWN</v>
      </c>
      <c r="I646" s="18">
        <f t="shared" si="9"/>
        <v>6266.833333</v>
      </c>
      <c r="J646" s="19">
        <f t="shared" si="10"/>
        <v>6382.666667</v>
      </c>
      <c r="K646" s="19"/>
      <c r="L646" s="19">
        <f t="shared" si="11"/>
        <v>6183.666667</v>
      </c>
      <c r="M646" s="19">
        <f t="shared" si="12"/>
        <v>6465.833333</v>
      </c>
      <c r="N646" s="19">
        <f t="shared" si="13"/>
        <v>6067.833333</v>
      </c>
    </row>
    <row r="647" ht="24.75" customHeight="1">
      <c r="A647" s="21" t="s">
        <v>610</v>
      </c>
      <c r="B647" s="13" t="str">
        <f>IFERROR(__xludf.DUMMYFUNCTION("GOOGLEFINANCE(A647,""PRICE"")"),"#N/A")</f>
        <v>#N/A</v>
      </c>
      <c r="C647" s="14" t="str">
        <f>IFERROR(__xludf.DUMMYFUNCTION("GOOGLEFINANCE(A647,""PRICEOPEN"")"),"#N/A")</f>
        <v>#N/A</v>
      </c>
      <c r="D647" s="14" t="str">
        <f>IFERROR(__xludf.DUMMYFUNCTION("GOOGLEFINANCE(A647,""HIGH"")"),"#N/A")</f>
        <v>#N/A</v>
      </c>
      <c r="E647" s="14" t="str">
        <f>IFERROR(__xludf.DUMMYFUNCTION("GOOGLEFINANCE(A647,""LOW"")"),"#N/A")</f>
        <v>#N/A</v>
      </c>
      <c r="F647" s="15" t="str">
        <f t="shared" si="8"/>
        <v>#N/A</v>
      </c>
      <c r="G647" s="16" t="str">
        <f>IFERROR(__xludf.DUMMYFUNCTION("GOOGLEFINANCE(A647,""CLOSEYEST"")"),"#N/A")</f>
        <v>#N/A</v>
      </c>
      <c r="H647" s="17" t="str">
        <f t="shared" si="14"/>
        <v>#N/A</v>
      </c>
      <c r="I647" s="18" t="str">
        <f t="shared" si="9"/>
        <v>#N/A</v>
      </c>
      <c r="J647" s="19" t="str">
        <f t="shared" si="10"/>
        <v>#N/A</v>
      </c>
      <c r="K647" s="19"/>
      <c r="L647" s="19" t="str">
        <f t="shared" si="11"/>
        <v>#N/A</v>
      </c>
      <c r="M647" s="19" t="str">
        <f t="shared" si="12"/>
        <v>#N/A</v>
      </c>
      <c r="N647" s="19" t="str">
        <f t="shared" si="13"/>
        <v>#N/A</v>
      </c>
    </row>
    <row r="648" ht="24.75" customHeight="1">
      <c r="A648" s="21" t="s">
        <v>611</v>
      </c>
      <c r="B648" s="13">
        <f>IFERROR(__xludf.DUMMYFUNCTION("GOOGLEFINANCE(A648,""PRICE"")"),302.1)</f>
        <v>302.1</v>
      </c>
      <c r="C648" s="14">
        <f>IFERROR(__xludf.DUMMYFUNCTION("GOOGLEFINANCE(A648,""PRICEOPEN"")"),308.5)</f>
        <v>308.5</v>
      </c>
      <c r="D648" s="14">
        <f>IFERROR(__xludf.DUMMYFUNCTION("GOOGLEFINANCE(A648,""HIGH"")"),308.5)</f>
        <v>308.5</v>
      </c>
      <c r="E648" s="14">
        <f>IFERROR(__xludf.DUMMYFUNCTION("GOOGLEFINANCE(A648,""LOW"")"),300.5)</f>
        <v>300.5</v>
      </c>
      <c r="F648" s="15" t="str">
        <f t="shared" si="8"/>
        <v>SELL</v>
      </c>
      <c r="G648" s="16">
        <f>IFERROR(__xludf.DUMMYFUNCTION("GOOGLEFINANCE(A648,""CLOSEYEST"")"),306.85)</f>
        <v>306.85</v>
      </c>
      <c r="H648" s="17" t="str">
        <f t="shared" si="14"/>
        <v/>
      </c>
      <c r="I648" s="18">
        <f t="shared" si="9"/>
        <v>305.2833333</v>
      </c>
      <c r="J648" s="19">
        <f t="shared" si="10"/>
        <v>310.0666667</v>
      </c>
      <c r="K648" s="19"/>
      <c r="L648" s="19">
        <f t="shared" si="11"/>
        <v>302.0666667</v>
      </c>
      <c r="M648" s="19">
        <f t="shared" si="12"/>
        <v>313.2833333</v>
      </c>
      <c r="N648" s="19">
        <f t="shared" si="13"/>
        <v>297.2833333</v>
      </c>
    </row>
    <row r="649" ht="24.75" customHeight="1">
      <c r="A649" s="21" t="s">
        <v>612</v>
      </c>
      <c r="B649" s="13">
        <f>IFERROR(__xludf.DUMMYFUNCTION("GOOGLEFINANCE(A649,""PRICE"")"),372.8)</f>
        <v>372.8</v>
      </c>
      <c r="C649" s="14">
        <f>IFERROR(__xludf.DUMMYFUNCTION("GOOGLEFINANCE(A649,""PRICEOPEN"")"),373.0)</f>
        <v>373</v>
      </c>
      <c r="D649" s="14">
        <f>IFERROR(__xludf.DUMMYFUNCTION("GOOGLEFINANCE(A649,""HIGH"")"),374.45)</f>
        <v>374.45</v>
      </c>
      <c r="E649" s="14">
        <f>IFERROR(__xludf.DUMMYFUNCTION("GOOGLEFINANCE(A649,""LOW"")"),368.55)</f>
        <v>368.55</v>
      </c>
      <c r="F649" s="15" t="str">
        <f t="shared" si="8"/>
        <v/>
      </c>
      <c r="G649" s="16">
        <f>IFERROR(__xludf.DUMMYFUNCTION("GOOGLEFINANCE(A649,""CLOSEYEST"")"),372.35)</f>
        <v>372.35</v>
      </c>
      <c r="H649" s="17" t="str">
        <f t="shared" si="14"/>
        <v/>
      </c>
      <c r="I649" s="18">
        <f t="shared" si="9"/>
        <v>371.7833333</v>
      </c>
      <c r="J649" s="19">
        <f t="shared" si="10"/>
        <v>375.0166667</v>
      </c>
      <c r="K649" s="19"/>
      <c r="L649" s="19">
        <f t="shared" si="11"/>
        <v>369.1166667</v>
      </c>
      <c r="M649" s="19">
        <f t="shared" si="12"/>
        <v>377.6833333</v>
      </c>
      <c r="N649" s="19">
        <f t="shared" si="13"/>
        <v>365.8833333</v>
      </c>
    </row>
    <row r="650" ht="24.75" customHeight="1">
      <c r="A650" s="21" t="s">
        <v>613</v>
      </c>
      <c r="B650" s="13">
        <f>IFERROR(__xludf.DUMMYFUNCTION("GOOGLEFINANCE(A650,""PRICE"")"),203.0)</f>
        <v>203</v>
      </c>
      <c r="C650" s="14">
        <f>IFERROR(__xludf.DUMMYFUNCTION("GOOGLEFINANCE(A650,""PRICEOPEN"")"),203.2)</f>
        <v>203.2</v>
      </c>
      <c r="D650" s="14">
        <f>IFERROR(__xludf.DUMMYFUNCTION("GOOGLEFINANCE(A650,""HIGH"")"),204.54)</f>
        <v>204.54</v>
      </c>
      <c r="E650" s="14">
        <f>IFERROR(__xludf.DUMMYFUNCTION("GOOGLEFINANCE(A650,""LOW"")"),202.57)</f>
        <v>202.57</v>
      </c>
      <c r="F650" s="15" t="str">
        <f t="shared" si="8"/>
        <v/>
      </c>
      <c r="G650" s="16">
        <f>IFERROR(__xludf.DUMMYFUNCTION("GOOGLEFINANCE(A650,""CLOSEYEST"")"),203.02)</f>
        <v>203.02</v>
      </c>
      <c r="H650" s="17" t="str">
        <f t="shared" si="14"/>
        <v/>
      </c>
      <c r="I650" s="18">
        <f t="shared" si="9"/>
        <v>203.3766667</v>
      </c>
      <c r="J650" s="19">
        <f t="shared" si="10"/>
        <v>204.1833333</v>
      </c>
      <c r="K650" s="19"/>
      <c r="L650" s="19">
        <f t="shared" si="11"/>
        <v>202.2133333</v>
      </c>
      <c r="M650" s="19">
        <f t="shared" si="12"/>
        <v>205.3466667</v>
      </c>
      <c r="N650" s="19">
        <f t="shared" si="13"/>
        <v>201.4066667</v>
      </c>
    </row>
    <row r="651" ht="24.75" customHeight="1">
      <c r="A651" s="21" t="s">
        <v>614</v>
      </c>
      <c r="B651" s="13">
        <f>IFERROR(__xludf.DUMMYFUNCTION("GOOGLEFINANCE(A651,""PRICE"")"),34.15)</f>
        <v>34.15</v>
      </c>
      <c r="C651" s="14">
        <f>IFERROR(__xludf.DUMMYFUNCTION("GOOGLEFINANCE(A651,""PRICEOPEN"")"),34.11)</f>
        <v>34.11</v>
      </c>
      <c r="D651" s="14">
        <f>IFERROR(__xludf.DUMMYFUNCTION("GOOGLEFINANCE(A651,""HIGH"")"),34.24)</f>
        <v>34.24</v>
      </c>
      <c r="E651" s="14">
        <f>IFERROR(__xludf.DUMMYFUNCTION("GOOGLEFINANCE(A651,""LOW"")"),34.11)</f>
        <v>34.11</v>
      </c>
      <c r="F651" s="15" t="str">
        <f t="shared" si="8"/>
        <v>BUY</v>
      </c>
      <c r="G651" s="16">
        <f>IFERROR(__xludf.DUMMYFUNCTION("GOOGLEFINANCE(A651,""CLOSEYEST"")"),34.11)</f>
        <v>34.11</v>
      </c>
      <c r="H651" s="17" t="str">
        <f t="shared" si="14"/>
        <v/>
      </c>
      <c r="I651" s="18">
        <f t="shared" si="9"/>
        <v>34.15333333</v>
      </c>
      <c r="J651" s="19">
        <f t="shared" si="10"/>
        <v>34.19666667</v>
      </c>
      <c r="K651" s="19"/>
      <c r="L651" s="19">
        <f t="shared" si="11"/>
        <v>34.06666667</v>
      </c>
      <c r="M651" s="19">
        <f t="shared" si="12"/>
        <v>34.28333333</v>
      </c>
      <c r="N651" s="19">
        <f t="shared" si="13"/>
        <v>34.02333333</v>
      </c>
    </row>
    <row r="652" ht="24.75" customHeight="1">
      <c r="A652" s="21" t="s">
        <v>615</v>
      </c>
      <c r="B652" s="13">
        <f>IFERROR(__xludf.DUMMYFUNCTION("GOOGLEFINANCE(A652,""PRICE"")"),795.0)</f>
        <v>795</v>
      </c>
      <c r="C652" s="14">
        <f>IFERROR(__xludf.DUMMYFUNCTION("GOOGLEFINANCE(A652,""PRICEOPEN"")"),809.1)</f>
        <v>809.1</v>
      </c>
      <c r="D652" s="14">
        <f>IFERROR(__xludf.DUMMYFUNCTION("GOOGLEFINANCE(A652,""HIGH"")"),815.9)</f>
        <v>815.9</v>
      </c>
      <c r="E652" s="14">
        <f>IFERROR(__xludf.DUMMYFUNCTION("GOOGLEFINANCE(A652,""LOW"")"),790.0)</f>
        <v>790</v>
      </c>
      <c r="F652" s="15" t="str">
        <f t="shared" si="8"/>
        <v/>
      </c>
      <c r="G652" s="16">
        <f>IFERROR(__xludf.DUMMYFUNCTION("GOOGLEFINANCE(A652,""CLOSEYEST"")"),802.45)</f>
        <v>802.45</v>
      </c>
      <c r="H652" s="17" t="str">
        <f t="shared" si="14"/>
        <v/>
      </c>
      <c r="I652" s="18">
        <f t="shared" si="9"/>
        <v>802.7833333</v>
      </c>
      <c r="J652" s="19">
        <f t="shared" si="10"/>
        <v>815.5666667</v>
      </c>
      <c r="K652" s="19"/>
      <c r="L652" s="19">
        <f t="shared" si="11"/>
        <v>789.6666667</v>
      </c>
      <c r="M652" s="19">
        <f t="shared" si="12"/>
        <v>828.6833333</v>
      </c>
      <c r="N652" s="19">
        <f t="shared" si="13"/>
        <v>776.8833333</v>
      </c>
    </row>
    <row r="653" ht="24.75" customHeight="1">
      <c r="A653" s="21" t="s">
        <v>616</v>
      </c>
      <c r="B653" s="13">
        <f>IFERROR(__xludf.DUMMYFUNCTION("GOOGLEFINANCE(A653,""PRICE"")"),108.15)</f>
        <v>108.15</v>
      </c>
      <c r="C653" s="14">
        <f>IFERROR(__xludf.DUMMYFUNCTION("GOOGLEFINANCE(A653,""PRICEOPEN"")"),108.8)</f>
        <v>108.8</v>
      </c>
      <c r="D653" s="14">
        <f>IFERROR(__xludf.DUMMYFUNCTION("GOOGLEFINANCE(A653,""HIGH"")"),109.39)</f>
        <v>109.39</v>
      </c>
      <c r="E653" s="14">
        <f>IFERROR(__xludf.DUMMYFUNCTION("GOOGLEFINANCE(A653,""LOW"")"),107.5)</f>
        <v>107.5</v>
      </c>
      <c r="F653" s="15" t="str">
        <f t="shared" si="8"/>
        <v/>
      </c>
      <c r="G653" s="16">
        <f>IFERROR(__xludf.DUMMYFUNCTION("GOOGLEFINANCE(A653,""CLOSEYEST"")"),107.99)</f>
        <v>107.99</v>
      </c>
      <c r="H653" s="17" t="str">
        <f t="shared" si="14"/>
        <v/>
      </c>
      <c r="I653" s="18">
        <f t="shared" si="9"/>
        <v>108.2933333</v>
      </c>
      <c r="J653" s="19">
        <f t="shared" si="10"/>
        <v>109.0866667</v>
      </c>
      <c r="K653" s="19"/>
      <c r="L653" s="19">
        <f t="shared" si="11"/>
        <v>107.1966667</v>
      </c>
      <c r="M653" s="19">
        <f t="shared" si="12"/>
        <v>110.1833333</v>
      </c>
      <c r="N653" s="19">
        <f t="shared" si="13"/>
        <v>106.4033333</v>
      </c>
    </row>
    <row r="654" ht="24.75" customHeight="1">
      <c r="A654" s="21" t="s">
        <v>617</v>
      </c>
      <c r="B654" s="13">
        <f>IFERROR(__xludf.DUMMYFUNCTION("GOOGLEFINANCE(A654,""PRICE"")"),844.9)</f>
        <v>844.9</v>
      </c>
      <c r="C654" s="14">
        <f>IFERROR(__xludf.DUMMYFUNCTION("GOOGLEFINANCE(A654,""PRICEOPEN"")"),819.95)</f>
        <v>819.95</v>
      </c>
      <c r="D654" s="14">
        <f>IFERROR(__xludf.DUMMYFUNCTION("GOOGLEFINANCE(A654,""HIGH"")"),856.0)</f>
        <v>856</v>
      </c>
      <c r="E654" s="14">
        <f>IFERROR(__xludf.DUMMYFUNCTION("GOOGLEFINANCE(A654,""LOW"")"),816.7)</f>
        <v>816.7</v>
      </c>
      <c r="F654" s="15" t="str">
        <f t="shared" si="8"/>
        <v/>
      </c>
      <c r="G654" s="16">
        <f>IFERROR(__xludf.DUMMYFUNCTION("GOOGLEFINANCE(A654,""CLOSEYEST"")"),815.8)</f>
        <v>815.8</v>
      </c>
      <c r="H654" s="17" t="str">
        <f t="shared" si="14"/>
        <v/>
      </c>
      <c r="I654" s="18">
        <f t="shared" si="9"/>
        <v>829.5</v>
      </c>
      <c r="J654" s="19">
        <f t="shared" si="10"/>
        <v>842.3</v>
      </c>
      <c r="K654" s="19"/>
      <c r="L654" s="19">
        <f t="shared" si="11"/>
        <v>803</v>
      </c>
      <c r="M654" s="19">
        <f t="shared" si="12"/>
        <v>868.8</v>
      </c>
      <c r="N654" s="19">
        <f t="shared" si="13"/>
        <v>790.2</v>
      </c>
    </row>
    <row r="655" ht="24.75" customHeight="1">
      <c r="A655" s="21" t="s">
        <v>618</v>
      </c>
      <c r="B655" s="13">
        <f>IFERROR(__xludf.DUMMYFUNCTION("GOOGLEFINANCE(A655,""PRICE"")"),252.34)</f>
        <v>252.34</v>
      </c>
      <c r="C655" s="14">
        <f>IFERROR(__xludf.DUMMYFUNCTION("GOOGLEFINANCE(A655,""PRICEOPEN"")"),258.1)</f>
        <v>258.1</v>
      </c>
      <c r="D655" s="14">
        <f>IFERROR(__xludf.DUMMYFUNCTION("GOOGLEFINANCE(A655,""HIGH"")"),258.1)</f>
        <v>258.1</v>
      </c>
      <c r="E655" s="14">
        <f>IFERROR(__xludf.DUMMYFUNCTION("GOOGLEFINANCE(A655,""LOW"")"),250.0)</f>
        <v>250</v>
      </c>
      <c r="F655" s="15" t="str">
        <f t="shared" si="8"/>
        <v>SELL</v>
      </c>
      <c r="G655" s="16">
        <f>IFERROR(__xludf.DUMMYFUNCTION("GOOGLEFINANCE(A655,""CLOSEYEST"")"),254.8)</f>
        <v>254.8</v>
      </c>
      <c r="H655" s="17" t="str">
        <f t="shared" si="14"/>
        <v>GAP UP</v>
      </c>
      <c r="I655" s="18">
        <f t="shared" si="9"/>
        <v>254.3</v>
      </c>
      <c r="J655" s="19">
        <f t="shared" si="10"/>
        <v>258.6</v>
      </c>
      <c r="K655" s="19"/>
      <c r="L655" s="19">
        <f t="shared" si="11"/>
        <v>250.5</v>
      </c>
      <c r="M655" s="19">
        <f t="shared" si="12"/>
        <v>262.4</v>
      </c>
      <c r="N655" s="19">
        <f t="shared" si="13"/>
        <v>246.2</v>
      </c>
    </row>
    <row r="656" ht="24.75" customHeight="1">
      <c r="A656" s="21" t="s">
        <v>619</v>
      </c>
      <c r="B656" s="13">
        <f>IFERROR(__xludf.DUMMYFUNCTION("GOOGLEFINANCE(A656,""PRICE"")"),678.0)</f>
        <v>678</v>
      </c>
      <c r="C656" s="14">
        <f>IFERROR(__xludf.DUMMYFUNCTION("GOOGLEFINANCE(A656,""PRICEOPEN"")"),666.2)</f>
        <v>666.2</v>
      </c>
      <c r="D656" s="14">
        <f>IFERROR(__xludf.DUMMYFUNCTION("GOOGLEFINANCE(A656,""HIGH"")"),680.35)</f>
        <v>680.35</v>
      </c>
      <c r="E656" s="14">
        <f>IFERROR(__xludf.DUMMYFUNCTION("GOOGLEFINANCE(A656,""LOW"")"),662.3)</f>
        <v>662.3</v>
      </c>
      <c r="F656" s="15" t="str">
        <f t="shared" si="8"/>
        <v/>
      </c>
      <c r="G656" s="16">
        <f>IFERROR(__xludf.DUMMYFUNCTION("GOOGLEFINANCE(A656,""CLOSEYEST"")"),660.9)</f>
        <v>660.9</v>
      </c>
      <c r="H656" s="17" t="str">
        <f t="shared" si="14"/>
        <v/>
      </c>
      <c r="I656" s="18">
        <f t="shared" si="9"/>
        <v>667.85</v>
      </c>
      <c r="J656" s="19">
        <f t="shared" si="10"/>
        <v>673.4</v>
      </c>
      <c r="K656" s="19"/>
      <c r="L656" s="19">
        <f t="shared" si="11"/>
        <v>655.35</v>
      </c>
      <c r="M656" s="19">
        <f t="shared" si="12"/>
        <v>685.9</v>
      </c>
      <c r="N656" s="19">
        <f t="shared" si="13"/>
        <v>649.8</v>
      </c>
    </row>
    <row r="657" ht="24.75" customHeight="1">
      <c r="A657" s="21" t="s">
        <v>620</v>
      </c>
      <c r="B657" s="13">
        <f>IFERROR(__xludf.DUMMYFUNCTION("GOOGLEFINANCE(A657,""PRICE"")"),3.53)</f>
        <v>3.53</v>
      </c>
      <c r="C657" s="14">
        <f>IFERROR(__xludf.DUMMYFUNCTION("GOOGLEFINANCE(A657,""PRICEOPEN"")"),3.45)</f>
        <v>3.45</v>
      </c>
      <c r="D657" s="14">
        <f>IFERROR(__xludf.DUMMYFUNCTION("GOOGLEFINANCE(A657,""HIGH"")"),3.53)</f>
        <v>3.53</v>
      </c>
      <c r="E657" s="14">
        <f>IFERROR(__xludf.DUMMYFUNCTION("GOOGLEFINANCE(A657,""LOW"")"),3.4)</f>
        <v>3.4</v>
      </c>
      <c r="F657" s="15" t="str">
        <f t="shared" si="8"/>
        <v/>
      </c>
      <c r="G657" s="16">
        <f>IFERROR(__xludf.DUMMYFUNCTION("GOOGLEFINANCE(A657,""CLOSEYEST"")"),3.45)</f>
        <v>3.45</v>
      </c>
      <c r="H657" s="17" t="str">
        <f t="shared" si="14"/>
        <v/>
      </c>
      <c r="I657" s="18">
        <f t="shared" si="9"/>
        <v>3.46</v>
      </c>
      <c r="J657" s="19">
        <f t="shared" si="10"/>
        <v>3.52</v>
      </c>
      <c r="K657" s="19"/>
      <c r="L657" s="19">
        <f t="shared" si="11"/>
        <v>3.39</v>
      </c>
      <c r="M657" s="19">
        <f t="shared" si="12"/>
        <v>3.59</v>
      </c>
      <c r="N657" s="19">
        <f t="shared" si="13"/>
        <v>3.33</v>
      </c>
    </row>
    <row r="658" ht="24.75" customHeight="1">
      <c r="A658" s="21" t="s">
        <v>621</v>
      </c>
      <c r="B658" s="13">
        <f>IFERROR(__xludf.DUMMYFUNCTION("GOOGLEFINANCE(A658,""PRICE"")"),925.0)</f>
        <v>925</v>
      </c>
      <c r="C658" s="14">
        <f>IFERROR(__xludf.DUMMYFUNCTION("GOOGLEFINANCE(A658,""PRICEOPEN"")"),867.0)</f>
        <v>867</v>
      </c>
      <c r="D658" s="14">
        <f>IFERROR(__xludf.DUMMYFUNCTION("GOOGLEFINANCE(A658,""HIGH"")"),934.0)</f>
        <v>934</v>
      </c>
      <c r="E658" s="14">
        <f>IFERROR(__xludf.DUMMYFUNCTION("GOOGLEFINANCE(A658,""LOW"")"),867.0)</f>
        <v>867</v>
      </c>
      <c r="F658" s="15" t="str">
        <f t="shared" si="8"/>
        <v>BUY</v>
      </c>
      <c r="G658" s="16">
        <f>IFERROR(__xludf.DUMMYFUNCTION("GOOGLEFINANCE(A658,""CLOSEYEST"")"),868.3)</f>
        <v>868.3</v>
      </c>
      <c r="H658" s="17" t="str">
        <f t="shared" si="14"/>
        <v/>
      </c>
      <c r="I658" s="18">
        <f t="shared" si="9"/>
        <v>889.7666667</v>
      </c>
      <c r="J658" s="19">
        <f t="shared" si="10"/>
        <v>912.5333333</v>
      </c>
      <c r="K658" s="19"/>
      <c r="L658" s="19">
        <f t="shared" si="11"/>
        <v>845.5333333</v>
      </c>
      <c r="M658" s="19">
        <f t="shared" si="12"/>
        <v>956.7666667</v>
      </c>
      <c r="N658" s="19">
        <f t="shared" si="13"/>
        <v>822.7666667</v>
      </c>
    </row>
    <row r="659" ht="24.75" customHeight="1">
      <c r="A659" s="21" t="s">
        <v>622</v>
      </c>
      <c r="B659" s="13">
        <f>IFERROR(__xludf.DUMMYFUNCTION("GOOGLEFINANCE(A659,""PRICE"")"),552.2)</f>
        <v>552.2</v>
      </c>
      <c r="C659" s="14">
        <f>IFERROR(__xludf.DUMMYFUNCTION("GOOGLEFINANCE(A659,""PRICEOPEN"")"),540.8)</f>
        <v>540.8</v>
      </c>
      <c r="D659" s="14">
        <f>IFERROR(__xludf.DUMMYFUNCTION("GOOGLEFINANCE(A659,""HIGH"")"),561.9)</f>
        <v>561.9</v>
      </c>
      <c r="E659" s="14">
        <f>IFERROR(__xludf.DUMMYFUNCTION("GOOGLEFINANCE(A659,""LOW"")"),540.55)</f>
        <v>540.55</v>
      </c>
      <c r="F659" s="15" t="str">
        <f t="shared" si="8"/>
        <v/>
      </c>
      <c r="G659" s="16">
        <f>IFERROR(__xludf.DUMMYFUNCTION("GOOGLEFINANCE(A659,""CLOSEYEST"")"),539.3)</f>
        <v>539.3</v>
      </c>
      <c r="H659" s="17" t="str">
        <f t="shared" si="14"/>
        <v/>
      </c>
      <c r="I659" s="18">
        <f t="shared" si="9"/>
        <v>547.25</v>
      </c>
      <c r="J659" s="19">
        <f t="shared" si="10"/>
        <v>553.95</v>
      </c>
      <c r="K659" s="19"/>
      <c r="L659" s="19">
        <f t="shared" si="11"/>
        <v>532.6</v>
      </c>
      <c r="M659" s="19">
        <f t="shared" si="12"/>
        <v>568.6</v>
      </c>
      <c r="N659" s="19">
        <f t="shared" si="13"/>
        <v>525.9</v>
      </c>
    </row>
    <row r="660" ht="24.75" customHeight="1">
      <c r="A660" s="21" t="s">
        <v>623</v>
      </c>
      <c r="B660" s="13">
        <f>IFERROR(__xludf.DUMMYFUNCTION("GOOGLEFINANCE(A660,""PRICE"")"),1041.5)</f>
        <v>1041.5</v>
      </c>
      <c r="C660" s="14">
        <f>IFERROR(__xludf.DUMMYFUNCTION("GOOGLEFINANCE(A660,""PRICEOPEN"")"),1051.2)</f>
        <v>1051.2</v>
      </c>
      <c r="D660" s="14">
        <f>IFERROR(__xludf.DUMMYFUNCTION("GOOGLEFINANCE(A660,""HIGH"")"),1058.9)</f>
        <v>1058.9</v>
      </c>
      <c r="E660" s="14">
        <f>IFERROR(__xludf.DUMMYFUNCTION("GOOGLEFINANCE(A660,""LOW"")"),1036.0)</f>
        <v>1036</v>
      </c>
      <c r="F660" s="15" t="str">
        <f t="shared" si="8"/>
        <v/>
      </c>
      <c r="G660" s="16">
        <f>IFERROR(__xludf.DUMMYFUNCTION("GOOGLEFINANCE(A660,""CLOSEYEST"")"),1055.7)</f>
        <v>1055.7</v>
      </c>
      <c r="H660" s="17" t="str">
        <f t="shared" si="14"/>
        <v/>
      </c>
      <c r="I660" s="18">
        <f t="shared" si="9"/>
        <v>1050.2</v>
      </c>
      <c r="J660" s="19">
        <f t="shared" si="10"/>
        <v>1064.4</v>
      </c>
      <c r="K660" s="19"/>
      <c r="L660" s="19">
        <f t="shared" si="11"/>
        <v>1041.5</v>
      </c>
      <c r="M660" s="19">
        <f t="shared" si="12"/>
        <v>1073.1</v>
      </c>
      <c r="N660" s="19">
        <f t="shared" si="13"/>
        <v>1027.3</v>
      </c>
    </row>
    <row r="661" ht="24.75" customHeight="1">
      <c r="A661" s="21" t="s">
        <v>624</v>
      </c>
      <c r="B661" s="13">
        <f>IFERROR(__xludf.DUMMYFUNCTION("GOOGLEFINANCE(A661,""PRICE"")"),294.4)</f>
        <v>294.4</v>
      </c>
      <c r="C661" s="14">
        <f>IFERROR(__xludf.DUMMYFUNCTION("GOOGLEFINANCE(A661,""PRICEOPEN"")"),285.1)</f>
        <v>285.1</v>
      </c>
      <c r="D661" s="14">
        <f>IFERROR(__xludf.DUMMYFUNCTION("GOOGLEFINANCE(A661,""HIGH"")"),295.0)</f>
        <v>295</v>
      </c>
      <c r="E661" s="14">
        <f>IFERROR(__xludf.DUMMYFUNCTION("GOOGLEFINANCE(A661,""LOW"")"),285.1)</f>
        <v>285.1</v>
      </c>
      <c r="F661" s="15" t="str">
        <f t="shared" si="8"/>
        <v>BUY</v>
      </c>
      <c r="G661" s="16">
        <f>IFERROR(__xludf.DUMMYFUNCTION("GOOGLEFINANCE(A661,""CLOSEYEST"")"),286.8)</f>
        <v>286.8</v>
      </c>
      <c r="H661" s="17" t="str">
        <f t="shared" si="14"/>
        <v/>
      </c>
      <c r="I661" s="18">
        <f t="shared" si="9"/>
        <v>288.9666667</v>
      </c>
      <c r="J661" s="19">
        <f t="shared" si="10"/>
        <v>292.8333333</v>
      </c>
      <c r="K661" s="19"/>
      <c r="L661" s="19">
        <f t="shared" si="11"/>
        <v>282.9333333</v>
      </c>
      <c r="M661" s="19">
        <f t="shared" si="12"/>
        <v>298.8666667</v>
      </c>
      <c r="N661" s="19">
        <f t="shared" si="13"/>
        <v>279.0666667</v>
      </c>
    </row>
    <row r="662" ht="24.75" customHeight="1">
      <c r="A662" s="21" t="s">
        <v>625</v>
      </c>
      <c r="B662" s="13">
        <f>IFERROR(__xludf.DUMMYFUNCTION("GOOGLEFINANCE(A662,""PRICE"")"),2000.5)</f>
        <v>2000.5</v>
      </c>
      <c r="C662" s="14">
        <f>IFERROR(__xludf.DUMMYFUNCTION("GOOGLEFINANCE(A662,""PRICEOPEN"")"),1992.0)</f>
        <v>1992</v>
      </c>
      <c r="D662" s="14">
        <f>IFERROR(__xludf.DUMMYFUNCTION("GOOGLEFINANCE(A662,""HIGH"")"),2010.0)</f>
        <v>2010</v>
      </c>
      <c r="E662" s="14">
        <f>IFERROR(__xludf.DUMMYFUNCTION("GOOGLEFINANCE(A662,""LOW"")"),1974.0)</f>
        <v>1974</v>
      </c>
      <c r="F662" s="15" t="str">
        <f t="shared" si="8"/>
        <v/>
      </c>
      <c r="G662" s="16">
        <f>IFERROR(__xludf.DUMMYFUNCTION("GOOGLEFINANCE(A662,""CLOSEYEST"")"),2004.4)</f>
        <v>2004.4</v>
      </c>
      <c r="H662" s="17" t="str">
        <f t="shared" si="14"/>
        <v/>
      </c>
      <c r="I662" s="18">
        <f t="shared" si="9"/>
        <v>1996.133333</v>
      </c>
      <c r="J662" s="19">
        <f t="shared" si="10"/>
        <v>2018.266667</v>
      </c>
      <c r="K662" s="19"/>
      <c r="L662" s="19">
        <f t="shared" si="11"/>
        <v>1982.266667</v>
      </c>
      <c r="M662" s="19">
        <f t="shared" si="12"/>
        <v>2032.133333</v>
      </c>
      <c r="N662" s="19">
        <f t="shared" si="13"/>
        <v>1960.133333</v>
      </c>
    </row>
    <row r="663" ht="24.75" customHeight="1">
      <c r="A663" s="21" t="s">
        <v>626</v>
      </c>
      <c r="B663" s="13">
        <f>IFERROR(__xludf.DUMMYFUNCTION("GOOGLEFINANCE(A663,""PRICE"")"),1174.5)</f>
        <v>1174.5</v>
      </c>
      <c r="C663" s="14">
        <f>IFERROR(__xludf.DUMMYFUNCTION("GOOGLEFINANCE(A663,""PRICEOPEN"")"),1125.0)</f>
        <v>1125</v>
      </c>
      <c r="D663" s="14">
        <f>IFERROR(__xludf.DUMMYFUNCTION("GOOGLEFINANCE(A663,""HIGH"")"),1178.9)</f>
        <v>1178.9</v>
      </c>
      <c r="E663" s="14">
        <f>IFERROR(__xludf.DUMMYFUNCTION("GOOGLEFINANCE(A663,""LOW"")"),1123.4)</f>
        <v>1123.4</v>
      </c>
      <c r="F663" s="15" t="str">
        <f t="shared" si="8"/>
        <v/>
      </c>
      <c r="G663" s="16">
        <f>IFERROR(__xludf.DUMMYFUNCTION("GOOGLEFINANCE(A663,""CLOSEYEST"")"),1122.8)</f>
        <v>1122.8</v>
      </c>
      <c r="H663" s="17" t="str">
        <f t="shared" si="14"/>
        <v/>
      </c>
      <c r="I663" s="18">
        <f t="shared" si="9"/>
        <v>1141.7</v>
      </c>
      <c r="J663" s="19">
        <f t="shared" si="10"/>
        <v>1160</v>
      </c>
      <c r="K663" s="19"/>
      <c r="L663" s="19">
        <f t="shared" si="11"/>
        <v>1104.5</v>
      </c>
      <c r="M663" s="19">
        <f t="shared" si="12"/>
        <v>1197.2</v>
      </c>
      <c r="N663" s="19">
        <f t="shared" si="13"/>
        <v>1086.2</v>
      </c>
    </row>
    <row r="664" ht="24.75" customHeight="1">
      <c r="A664" s="21" t="s">
        <v>627</v>
      </c>
      <c r="B664" s="13" t="str">
        <f>IFERROR(__xludf.DUMMYFUNCTION("GOOGLEFINANCE(A664,""PRICE"")"),"#N/A")</f>
        <v>#N/A</v>
      </c>
      <c r="C664" s="14" t="str">
        <f>IFERROR(__xludf.DUMMYFUNCTION("GOOGLEFINANCE(A664,""PRICEOPEN"")"),"#N/A")</f>
        <v>#N/A</v>
      </c>
      <c r="D664" s="14" t="str">
        <f>IFERROR(__xludf.DUMMYFUNCTION("GOOGLEFINANCE(A664,""HIGH"")"),"#N/A")</f>
        <v>#N/A</v>
      </c>
      <c r="E664" s="14" t="str">
        <f>IFERROR(__xludf.DUMMYFUNCTION("GOOGLEFINANCE(A664,""LOW"")"),"#N/A")</f>
        <v>#N/A</v>
      </c>
      <c r="F664" s="15" t="str">
        <f t="shared" si="8"/>
        <v>#N/A</v>
      </c>
      <c r="G664" s="16" t="str">
        <f>IFERROR(__xludf.DUMMYFUNCTION("GOOGLEFINANCE(A664,""CLOSEYEST"")"),"#N/A")</f>
        <v>#N/A</v>
      </c>
      <c r="H664" s="17" t="str">
        <f t="shared" si="14"/>
        <v>#N/A</v>
      </c>
      <c r="I664" s="18" t="str">
        <f t="shared" si="9"/>
        <v>#N/A</v>
      </c>
      <c r="J664" s="19" t="str">
        <f t="shared" si="10"/>
        <v>#N/A</v>
      </c>
      <c r="K664" s="19"/>
      <c r="L664" s="19" t="str">
        <f t="shared" si="11"/>
        <v>#N/A</v>
      </c>
      <c r="M664" s="19" t="str">
        <f t="shared" si="12"/>
        <v>#N/A</v>
      </c>
      <c r="N664" s="19" t="str">
        <f t="shared" si="13"/>
        <v>#N/A</v>
      </c>
    </row>
    <row r="665" ht="24.75" customHeight="1">
      <c r="A665" s="21" t="s">
        <v>628</v>
      </c>
      <c r="B665" s="13" t="str">
        <f>IFERROR(__xludf.DUMMYFUNCTION("GOOGLEFINANCE(A665,""PRICE"")"),"#N/A")</f>
        <v>#N/A</v>
      </c>
      <c r="C665" s="14" t="str">
        <f>IFERROR(__xludf.DUMMYFUNCTION("GOOGLEFINANCE(A665,""PRICEOPEN"")"),"#N/A")</f>
        <v>#N/A</v>
      </c>
      <c r="D665" s="14" t="str">
        <f>IFERROR(__xludf.DUMMYFUNCTION("GOOGLEFINANCE(A665,""HIGH"")"),"#N/A")</f>
        <v>#N/A</v>
      </c>
      <c r="E665" s="14" t="str">
        <f>IFERROR(__xludf.DUMMYFUNCTION("GOOGLEFINANCE(A665,""LOW"")"),"#N/A")</f>
        <v>#N/A</v>
      </c>
      <c r="F665" s="15" t="str">
        <f t="shared" si="8"/>
        <v>#N/A</v>
      </c>
      <c r="G665" s="16" t="str">
        <f>IFERROR(__xludf.DUMMYFUNCTION("GOOGLEFINANCE(A665,""CLOSEYEST"")"),"#N/A")</f>
        <v>#N/A</v>
      </c>
      <c r="H665" s="17" t="str">
        <f t="shared" si="14"/>
        <v>#N/A</v>
      </c>
      <c r="I665" s="18" t="str">
        <f t="shared" si="9"/>
        <v>#N/A</v>
      </c>
      <c r="J665" s="19" t="str">
        <f t="shared" si="10"/>
        <v>#N/A</v>
      </c>
      <c r="K665" s="19"/>
      <c r="L665" s="19" t="str">
        <f t="shared" si="11"/>
        <v>#N/A</v>
      </c>
      <c r="M665" s="19" t="str">
        <f t="shared" si="12"/>
        <v>#N/A</v>
      </c>
      <c r="N665" s="19" t="str">
        <f t="shared" si="13"/>
        <v>#N/A</v>
      </c>
    </row>
    <row r="666" ht="24.75" customHeight="1">
      <c r="A666" s="21" t="s">
        <v>629</v>
      </c>
      <c r="B666" s="13">
        <f>IFERROR(__xludf.DUMMYFUNCTION("GOOGLEFINANCE(A666,""PRICE"")"),8413.0)</f>
        <v>8413</v>
      </c>
      <c r="C666" s="14">
        <f>IFERROR(__xludf.DUMMYFUNCTION("GOOGLEFINANCE(A666,""PRICEOPEN"")"),8253.5)</f>
        <v>8253.5</v>
      </c>
      <c r="D666" s="14">
        <f>IFERROR(__xludf.DUMMYFUNCTION("GOOGLEFINANCE(A666,""HIGH"")"),8450.0)</f>
        <v>8450</v>
      </c>
      <c r="E666" s="14">
        <f>IFERROR(__xludf.DUMMYFUNCTION("GOOGLEFINANCE(A666,""LOW"")"),8204.5)</f>
        <v>8204.5</v>
      </c>
      <c r="F666" s="15" t="str">
        <f t="shared" si="8"/>
        <v/>
      </c>
      <c r="G666" s="16">
        <f>IFERROR(__xludf.DUMMYFUNCTION("GOOGLEFINANCE(A666,""CLOSEYEST"")"),8216.0)</f>
        <v>8216</v>
      </c>
      <c r="H666" s="17" t="str">
        <f t="shared" si="14"/>
        <v/>
      </c>
      <c r="I666" s="18">
        <f t="shared" si="9"/>
        <v>8290.166667</v>
      </c>
      <c r="J666" s="19">
        <f t="shared" si="10"/>
        <v>8375.833333</v>
      </c>
      <c r="K666" s="19"/>
      <c r="L666" s="19">
        <f t="shared" si="11"/>
        <v>8130.333333</v>
      </c>
      <c r="M666" s="19">
        <f t="shared" si="12"/>
        <v>8535.666667</v>
      </c>
      <c r="N666" s="19">
        <f t="shared" si="13"/>
        <v>8044.666667</v>
      </c>
    </row>
    <row r="667" ht="24.75" customHeight="1">
      <c r="A667" s="21" t="s">
        <v>630</v>
      </c>
      <c r="B667" s="13">
        <f>IFERROR(__xludf.DUMMYFUNCTION("GOOGLEFINANCE(A667,""PRICE"")"),41.8)</f>
        <v>41.8</v>
      </c>
      <c r="C667" s="14">
        <f>IFERROR(__xludf.DUMMYFUNCTION("GOOGLEFINANCE(A667,""PRICEOPEN"")"),41.35)</f>
        <v>41.35</v>
      </c>
      <c r="D667" s="14">
        <f>IFERROR(__xludf.DUMMYFUNCTION("GOOGLEFINANCE(A667,""HIGH"")"),42.0)</f>
        <v>42</v>
      </c>
      <c r="E667" s="14">
        <f>IFERROR(__xludf.DUMMYFUNCTION("GOOGLEFINANCE(A667,""LOW"")"),41.35)</f>
        <v>41.35</v>
      </c>
      <c r="F667" s="15" t="str">
        <f t="shared" si="8"/>
        <v>BUY</v>
      </c>
      <c r="G667" s="16">
        <f>IFERROR(__xludf.DUMMYFUNCTION("GOOGLEFINANCE(A667,""CLOSEYEST"")"),41.3)</f>
        <v>41.3</v>
      </c>
      <c r="H667" s="17" t="str">
        <f t="shared" si="14"/>
        <v/>
      </c>
      <c r="I667" s="18">
        <f t="shared" si="9"/>
        <v>41.55</v>
      </c>
      <c r="J667" s="19">
        <f t="shared" si="10"/>
        <v>41.75</v>
      </c>
      <c r="K667" s="19"/>
      <c r="L667" s="19">
        <f t="shared" si="11"/>
        <v>41.1</v>
      </c>
      <c r="M667" s="19">
        <f t="shared" si="12"/>
        <v>42.2</v>
      </c>
      <c r="N667" s="19">
        <f t="shared" si="13"/>
        <v>40.9</v>
      </c>
    </row>
    <row r="668" ht="24.75" customHeight="1">
      <c r="A668" s="21" t="s">
        <v>631</v>
      </c>
      <c r="B668" s="13">
        <f>IFERROR(__xludf.DUMMYFUNCTION("GOOGLEFINANCE(A668,""PRICE"")"),172.75)</f>
        <v>172.75</v>
      </c>
      <c r="C668" s="14">
        <f>IFERROR(__xludf.DUMMYFUNCTION("GOOGLEFINANCE(A668,""PRICEOPEN"")"),173.16)</f>
        <v>173.16</v>
      </c>
      <c r="D668" s="14">
        <f>IFERROR(__xludf.DUMMYFUNCTION("GOOGLEFINANCE(A668,""HIGH"")"),174.49)</f>
        <v>174.49</v>
      </c>
      <c r="E668" s="14">
        <f>IFERROR(__xludf.DUMMYFUNCTION("GOOGLEFINANCE(A668,""LOW"")"),171.0)</f>
        <v>171</v>
      </c>
      <c r="F668" s="15" t="str">
        <f t="shared" si="8"/>
        <v/>
      </c>
      <c r="G668" s="16">
        <f>IFERROR(__xludf.DUMMYFUNCTION("GOOGLEFINANCE(A668,""CLOSEYEST"")"),173.16)</f>
        <v>173.16</v>
      </c>
      <c r="H668" s="17" t="str">
        <f t="shared" si="14"/>
        <v/>
      </c>
      <c r="I668" s="18">
        <f t="shared" si="9"/>
        <v>172.8833333</v>
      </c>
      <c r="J668" s="19">
        <f t="shared" si="10"/>
        <v>174.7666667</v>
      </c>
      <c r="K668" s="19"/>
      <c r="L668" s="19">
        <f t="shared" si="11"/>
        <v>171.2766667</v>
      </c>
      <c r="M668" s="19">
        <f t="shared" si="12"/>
        <v>176.3733333</v>
      </c>
      <c r="N668" s="19">
        <f t="shared" si="13"/>
        <v>169.3933333</v>
      </c>
    </row>
    <row r="669" ht="24.75" customHeight="1">
      <c r="A669" s="21" t="s">
        <v>632</v>
      </c>
      <c r="B669" s="13">
        <f>IFERROR(__xludf.DUMMYFUNCTION("GOOGLEFINANCE(A669,""PRICE"")"),145.3)</f>
        <v>145.3</v>
      </c>
      <c r="C669" s="14">
        <f>IFERROR(__xludf.DUMMYFUNCTION("GOOGLEFINANCE(A669,""PRICEOPEN"")"),146.6)</f>
        <v>146.6</v>
      </c>
      <c r="D669" s="14">
        <f>IFERROR(__xludf.DUMMYFUNCTION("GOOGLEFINANCE(A669,""HIGH"")"),147.36)</f>
        <v>147.36</v>
      </c>
      <c r="E669" s="14">
        <f>IFERROR(__xludf.DUMMYFUNCTION("GOOGLEFINANCE(A669,""LOW"")"),143.62)</f>
        <v>143.62</v>
      </c>
      <c r="F669" s="15" t="str">
        <f t="shared" si="8"/>
        <v/>
      </c>
      <c r="G669" s="16">
        <f>IFERROR(__xludf.DUMMYFUNCTION("GOOGLEFINANCE(A669,""CLOSEYEST"")"),146.61)</f>
        <v>146.61</v>
      </c>
      <c r="H669" s="17" t="str">
        <f t="shared" si="14"/>
        <v/>
      </c>
      <c r="I669" s="18">
        <f t="shared" si="9"/>
        <v>145.8633333</v>
      </c>
      <c r="J669" s="19">
        <f t="shared" si="10"/>
        <v>148.1066667</v>
      </c>
      <c r="K669" s="19"/>
      <c r="L669" s="19">
        <f t="shared" si="11"/>
        <v>144.3666667</v>
      </c>
      <c r="M669" s="19">
        <f t="shared" si="12"/>
        <v>149.6033333</v>
      </c>
      <c r="N669" s="19">
        <f t="shared" si="13"/>
        <v>142.1233333</v>
      </c>
    </row>
    <row r="670" ht="24.75" customHeight="1">
      <c r="A670" s="21" t="s">
        <v>633</v>
      </c>
      <c r="B670" s="13" t="str">
        <f>IFERROR(__xludf.DUMMYFUNCTION("GOOGLEFINANCE(A670,""PRICE"")"),"#N/A")</f>
        <v>#N/A</v>
      </c>
      <c r="C670" s="14" t="str">
        <f>IFERROR(__xludf.DUMMYFUNCTION("GOOGLEFINANCE(A670,""PRICEOPEN"")"),"#N/A")</f>
        <v>#N/A</v>
      </c>
      <c r="D670" s="14" t="str">
        <f>IFERROR(__xludf.DUMMYFUNCTION("GOOGLEFINANCE(A670,""HIGH"")"),"#N/A")</f>
        <v>#N/A</v>
      </c>
      <c r="E670" s="14" t="str">
        <f>IFERROR(__xludf.DUMMYFUNCTION("GOOGLEFINANCE(A670,""LOW"")"),"#N/A")</f>
        <v>#N/A</v>
      </c>
      <c r="F670" s="15" t="str">
        <f t="shared" si="8"/>
        <v>#N/A</v>
      </c>
      <c r="G670" s="16" t="str">
        <f>IFERROR(__xludf.DUMMYFUNCTION("GOOGLEFINANCE(A670,""CLOSEYEST"")"),"#N/A")</f>
        <v>#N/A</v>
      </c>
      <c r="H670" s="17" t="str">
        <f t="shared" si="14"/>
        <v>#N/A</v>
      </c>
      <c r="I670" s="18" t="str">
        <f t="shared" si="9"/>
        <v>#N/A</v>
      </c>
      <c r="J670" s="19" t="str">
        <f t="shared" si="10"/>
        <v>#N/A</v>
      </c>
      <c r="K670" s="19"/>
      <c r="L670" s="19" t="str">
        <f t="shared" si="11"/>
        <v>#N/A</v>
      </c>
      <c r="M670" s="19" t="str">
        <f t="shared" si="12"/>
        <v>#N/A</v>
      </c>
      <c r="N670" s="19" t="str">
        <f t="shared" si="13"/>
        <v>#N/A</v>
      </c>
    </row>
    <row r="671" ht="24.75" customHeight="1">
      <c r="A671" s="21" t="s">
        <v>634</v>
      </c>
      <c r="B671" s="13">
        <f>IFERROR(__xludf.DUMMYFUNCTION("GOOGLEFINANCE(A671,""PRICE"")"),37.54)</f>
        <v>37.54</v>
      </c>
      <c r="C671" s="14">
        <f>IFERROR(__xludf.DUMMYFUNCTION("GOOGLEFINANCE(A671,""PRICEOPEN"")"),38.16)</f>
        <v>38.16</v>
      </c>
      <c r="D671" s="14">
        <f>IFERROR(__xludf.DUMMYFUNCTION("GOOGLEFINANCE(A671,""HIGH"")"),38.16)</f>
        <v>38.16</v>
      </c>
      <c r="E671" s="14">
        <f>IFERROR(__xludf.DUMMYFUNCTION("GOOGLEFINANCE(A671,""LOW"")"),37.42)</f>
        <v>37.42</v>
      </c>
      <c r="F671" s="15" t="str">
        <f t="shared" si="8"/>
        <v>SELL</v>
      </c>
      <c r="G671" s="16">
        <f>IFERROR(__xludf.DUMMYFUNCTION("GOOGLEFINANCE(A671,""CLOSEYEST"")"),38.17)</f>
        <v>38.17</v>
      </c>
      <c r="H671" s="17" t="str">
        <f t="shared" si="14"/>
        <v/>
      </c>
      <c r="I671" s="18">
        <f t="shared" si="9"/>
        <v>37.91666667</v>
      </c>
      <c r="J671" s="19">
        <f t="shared" si="10"/>
        <v>38.41333333</v>
      </c>
      <c r="K671" s="19"/>
      <c r="L671" s="19">
        <f t="shared" si="11"/>
        <v>37.67333333</v>
      </c>
      <c r="M671" s="19">
        <f t="shared" si="12"/>
        <v>38.65666667</v>
      </c>
      <c r="N671" s="19">
        <f t="shared" si="13"/>
        <v>37.17666667</v>
      </c>
    </row>
    <row r="672" ht="24.75" customHeight="1">
      <c r="A672" s="21" t="s">
        <v>635</v>
      </c>
      <c r="B672" s="13">
        <f>IFERROR(__xludf.DUMMYFUNCTION("GOOGLEFINANCE(A672,""PRICE"")"),12.39)</f>
        <v>12.39</v>
      </c>
      <c r="C672" s="14">
        <f>IFERROR(__xludf.DUMMYFUNCTION("GOOGLEFINANCE(A672,""PRICEOPEN"")"),12.48)</f>
        <v>12.48</v>
      </c>
      <c r="D672" s="14">
        <f>IFERROR(__xludf.DUMMYFUNCTION("GOOGLEFINANCE(A672,""HIGH"")"),12.53)</f>
        <v>12.53</v>
      </c>
      <c r="E672" s="14">
        <f>IFERROR(__xludf.DUMMYFUNCTION("GOOGLEFINANCE(A672,""LOW"")"),12.2)</f>
        <v>12.2</v>
      </c>
      <c r="F672" s="15" t="str">
        <f t="shared" si="8"/>
        <v/>
      </c>
      <c r="G672" s="16">
        <f>IFERROR(__xludf.DUMMYFUNCTION("GOOGLEFINANCE(A672,""CLOSEYEST"")"),12.47)</f>
        <v>12.47</v>
      </c>
      <c r="H672" s="17" t="str">
        <f t="shared" si="14"/>
        <v/>
      </c>
      <c r="I672" s="18">
        <f t="shared" si="9"/>
        <v>12.4</v>
      </c>
      <c r="J672" s="19">
        <f t="shared" si="10"/>
        <v>12.6</v>
      </c>
      <c r="K672" s="19"/>
      <c r="L672" s="19">
        <f t="shared" si="11"/>
        <v>12.27</v>
      </c>
      <c r="M672" s="19">
        <f t="shared" si="12"/>
        <v>12.73</v>
      </c>
      <c r="N672" s="19">
        <f t="shared" si="13"/>
        <v>12.07</v>
      </c>
    </row>
    <row r="673" ht="24.75" customHeight="1">
      <c r="A673" s="21" t="s">
        <v>636</v>
      </c>
      <c r="B673" s="13">
        <f>IFERROR(__xludf.DUMMYFUNCTION("GOOGLEFINANCE(A673,""PRICE"")"),463.05)</f>
        <v>463.05</v>
      </c>
      <c r="C673" s="14">
        <f>IFERROR(__xludf.DUMMYFUNCTION("GOOGLEFINANCE(A673,""PRICEOPEN"")"),453.0)</f>
        <v>453</v>
      </c>
      <c r="D673" s="14">
        <f>IFERROR(__xludf.DUMMYFUNCTION("GOOGLEFINANCE(A673,""HIGH"")"),463.9)</f>
        <v>463.9</v>
      </c>
      <c r="E673" s="14">
        <f>IFERROR(__xludf.DUMMYFUNCTION("GOOGLEFINANCE(A673,""LOW"")"),450.0)</f>
        <v>450</v>
      </c>
      <c r="F673" s="15" t="str">
        <f t="shared" si="8"/>
        <v/>
      </c>
      <c r="G673" s="16">
        <f>IFERROR(__xludf.DUMMYFUNCTION("GOOGLEFINANCE(A673,""CLOSEYEST"")"),452.75)</f>
        <v>452.75</v>
      </c>
      <c r="H673" s="17" t="str">
        <f t="shared" si="14"/>
        <v/>
      </c>
      <c r="I673" s="18">
        <f t="shared" si="9"/>
        <v>455.55</v>
      </c>
      <c r="J673" s="19">
        <f t="shared" si="10"/>
        <v>461.1</v>
      </c>
      <c r="K673" s="19"/>
      <c r="L673" s="19">
        <f t="shared" si="11"/>
        <v>447.2</v>
      </c>
      <c r="M673" s="19">
        <f t="shared" si="12"/>
        <v>469.45</v>
      </c>
      <c r="N673" s="19">
        <f t="shared" si="13"/>
        <v>441.65</v>
      </c>
    </row>
    <row r="674" ht="24.75" customHeight="1">
      <c r="A674" s="21" t="s">
        <v>637</v>
      </c>
      <c r="B674" s="13">
        <f>IFERROR(__xludf.DUMMYFUNCTION("GOOGLEFINANCE(A674,""PRICE"")"),320.0)</f>
        <v>320</v>
      </c>
      <c r="C674" s="14">
        <f>IFERROR(__xludf.DUMMYFUNCTION("GOOGLEFINANCE(A674,""PRICEOPEN"")"),320.0)</f>
        <v>320</v>
      </c>
      <c r="D674" s="14">
        <f>IFERROR(__xludf.DUMMYFUNCTION("GOOGLEFINANCE(A674,""HIGH"")"),322.15)</f>
        <v>322.15</v>
      </c>
      <c r="E674" s="14">
        <f>IFERROR(__xludf.DUMMYFUNCTION("GOOGLEFINANCE(A674,""LOW"")"),317.85)</f>
        <v>317.85</v>
      </c>
      <c r="F674" s="15" t="str">
        <f t="shared" si="8"/>
        <v/>
      </c>
      <c r="G674" s="16">
        <f>IFERROR(__xludf.DUMMYFUNCTION("GOOGLEFINANCE(A674,""CLOSEYEST"")"),318.4)</f>
        <v>318.4</v>
      </c>
      <c r="H674" s="17" t="str">
        <f t="shared" si="14"/>
        <v/>
      </c>
      <c r="I674" s="18">
        <f t="shared" si="9"/>
        <v>319.4666667</v>
      </c>
      <c r="J674" s="19">
        <f t="shared" si="10"/>
        <v>321.0833333</v>
      </c>
      <c r="K674" s="19"/>
      <c r="L674" s="19">
        <f t="shared" si="11"/>
        <v>316.7833333</v>
      </c>
      <c r="M674" s="19">
        <f t="shared" si="12"/>
        <v>323.7666667</v>
      </c>
      <c r="N674" s="19">
        <f t="shared" si="13"/>
        <v>315.1666667</v>
      </c>
    </row>
    <row r="675" ht="24.75" customHeight="1">
      <c r="A675" s="21" t="s">
        <v>638</v>
      </c>
      <c r="B675" s="13">
        <f>IFERROR(__xludf.DUMMYFUNCTION("GOOGLEFINANCE(A675,""PRICE"")"),102.0)</f>
        <v>102</v>
      </c>
      <c r="C675" s="14">
        <f>IFERROR(__xludf.DUMMYFUNCTION("GOOGLEFINANCE(A675,""PRICEOPEN"")"),100.66)</f>
        <v>100.66</v>
      </c>
      <c r="D675" s="14">
        <f>IFERROR(__xludf.DUMMYFUNCTION("GOOGLEFINANCE(A675,""HIGH"")"),102.87)</f>
        <v>102.87</v>
      </c>
      <c r="E675" s="14">
        <f>IFERROR(__xludf.DUMMYFUNCTION("GOOGLEFINANCE(A675,""LOW"")"),100.3)</f>
        <v>100.3</v>
      </c>
      <c r="F675" s="15" t="str">
        <f t="shared" si="8"/>
        <v/>
      </c>
      <c r="G675" s="16">
        <f>IFERROR(__xludf.DUMMYFUNCTION("GOOGLEFINANCE(A675,""CLOSEYEST"")"),100.66)</f>
        <v>100.66</v>
      </c>
      <c r="H675" s="17" t="str">
        <f t="shared" si="14"/>
        <v/>
      </c>
      <c r="I675" s="18">
        <f t="shared" si="9"/>
        <v>101.2766667</v>
      </c>
      <c r="J675" s="19">
        <f t="shared" si="10"/>
        <v>102.2533333</v>
      </c>
      <c r="K675" s="19"/>
      <c r="L675" s="19">
        <f t="shared" si="11"/>
        <v>99.68333333</v>
      </c>
      <c r="M675" s="19">
        <f t="shared" si="12"/>
        <v>103.8466667</v>
      </c>
      <c r="N675" s="19">
        <f t="shared" si="13"/>
        <v>98.70666667</v>
      </c>
    </row>
    <row r="676" ht="24.75" customHeight="1">
      <c r="A676" s="21" t="s">
        <v>639</v>
      </c>
      <c r="B676" s="13">
        <f>IFERROR(__xludf.DUMMYFUNCTION("GOOGLEFINANCE(A676,""PRICE"")"),238.6)</f>
        <v>238.6</v>
      </c>
      <c r="C676" s="14">
        <f>IFERROR(__xludf.DUMMYFUNCTION("GOOGLEFINANCE(A676,""PRICEOPEN"")"),237.76)</f>
        <v>237.76</v>
      </c>
      <c r="D676" s="14">
        <f>IFERROR(__xludf.DUMMYFUNCTION("GOOGLEFINANCE(A676,""HIGH"")"),242.62)</f>
        <v>242.62</v>
      </c>
      <c r="E676" s="14">
        <f>IFERROR(__xludf.DUMMYFUNCTION("GOOGLEFINANCE(A676,""LOW"")"),236.11)</f>
        <v>236.11</v>
      </c>
      <c r="F676" s="15" t="str">
        <f t="shared" si="8"/>
        <v/>
      </c>
      <c r="G676" s="16">
        <f>IFERROR(__xludf.DUMMYFUNCTION("GOOGLEFINANCE(A676,""CLOSEYEST"")"),236.06)</f>
        <v>236.06</v>
      </c>
      <c r="H676" s="17" t="str">
        <f t="shared" si="14"/>
        <v/>
      </c>
      <c r="I676" s="18">
        <f t="shared" si="9"/>
        <v>238.2633333</v>
      </c>
      <c r="J676" s="19">
        <f t="shared" si="10"/>
        <v>240.4166667</v>
      </c>
      <c r="K676" s="19"/>
      <c r="L676" s="19">
        <f t="shared" si="11"/>
        <v>233.9066667</v>
      </c>
      <c r="M676" s="19">
        <f t="shared" si="12"/>
        <v>244.7733333</v>
      </c>
      <c r="N676" s="19">
        <f t="shared" si="13"/>
        <v>231.7533333</v>
      </c>
    </row>
    <row r="677" ht="24.75" customHeight="1">
      <c r="A677" s="21" t="s">
        <v>640</v>
      </c>
      <c r="B677" s="13">
        <f>IFERROR(__xludf.DUMMYFUNCTION("GOOGLEFINANCE(A677,""PRICE"")"),3.2)</f>
        <v>3.2</v>
      </c>
      <c r="C677" s="14">
        <f>IFERROR(__xludf.DUMMYFUNCTION("GOOGLEFINANCE(A677,""PRICEOPEN"")"),3.2)</f>
        <v>3.2</v>
      </c>
      <c r="D677" s="14">
        <f>IFERROR(__xludf.DUMMYFUNCTION("GOOGLEFINANCE(A677,""HIGH"")"),3.2)</f>
        <v>3.2</v>
      </c>
      <c r="E677" s="14">
        <f>IFERROR(__xludf.DUMMYFUNCTION("GOOGLEFINANCE(A677,""LOW"")"),3.2)</f>
        <v>3.2</v>
      </c>
      <c r="F677" s="15" t="str">
        <f t="shared" si="8"/>
        <v>SELL</v>
      </c>
      <c r="G677" s="16">
        <f>IFERROR(__xludf.DUMMYFUNCTION("GOOGLEFINANCE(A677,""CLOSEYEST"")"),3.05)</f>
        <v>3.05</v>
      </c>
      <c r="H677" s="17" t="str">
        <f t="shared" si="14"/>
        <v>GAP UP</v>
      </c>
      <c r="I677" s="18">
        <f t="shared" si="9"/>
        <v>3.15</v>
      </c>
      <c r="J677" s="19">
        <f t="shared" si="10"/>
        <v>3.1</v>
      </c>
      <c r="K677" s="19"/>
      <c r="L677" s="19">
        <f t="shared" si="11"/>
        <v>3.1</v>
      </c>
      <c r="M677" s="19">
        <f t="shared" si="12"/>
        <v>3.15</v>
      </c>
      <c r="N677" s="19">
        <f t="shared" si="13"/>
        <v>3.15</v>
      </c>
    </row>
    <row r="678" ht="24.75" customHeight="1">
      <c r="A678" s="21" t="s">
        <v>641</v>
      </c>
      <c r="B678" s="13" t="str">
        <f>IFERROR(__xludf.DUMMYFUNCTION("GOOGLEFINANCE(A678,""PRICE"")"),"#N/A")</f>
        <v>#N/A</v>
      </c>
      <c r="C678" s="14" t="str">
        <f>IFERROR(__xludf.DUMMYFUNCTION("GOOGLEFINANCE(A678,""PRICEOPEN"")"),"#N/A")</f>
        <v>#N/A</v>
      </c>
      <c r="D678" s="14" t="str">
        <f>IFERROR(__xludf.DUMMYFUNCTION("GOOGLEFINANCE(A678,""HIGH"")"),"#N/A")</f>
        <v>#N/A</v>
      </c>
      <c r="E678" s="14" t="str">
        <f>IFERROR(__xludf.DUMMYFUNCTION("GOOGLEFINANCE(A678,""LOW"")"),"#N/A")</f>
        <v>#N/A</v>
      </c>
      <c r="F678" s="15" t="str">
        <f t="shared" si="8"/>
        <v>#N/A</v>
      </c>
      <c r="G678" s="16" t="str">
        <f>IFERROR(__xludf.DUMMYFUNCTION("GOOGLEFINANCE(A678,""CLOSEYEST"")"),"#N/A")</f>
        <v>#N/A</v>
      </c>
      <c r="H678" s="17" t="str">
        <f t="shared" si="14"/>
        <v>#N/A</v>
      </c>
      <c r="I678" s="18" t="str">
        <f t="shared" si="9"/>
        <v>#N/A</v>
      </c>
      <c r="J678" s="19" t="str">
        <f t="shared" si="10"/>
        <v>#N/A</v>
      </c>
      <c r="K678" s="19"/>
      <c r="L678" s="19" t="str">
        <f t="shared" si="11"/>
        <v>#N/A</v>
      </c>
      <c r="M678" s="19" t="str">
        <f t="shared" si="12"/>
        <v>#N/A</v>
      </c>
      <c r="N678" s="19" t="str">
        <f t="shared" si="13"/>
        <v>#N/A</v>
      </c>
    </row>
    <row r="679" ht="24.75" customHeight="1">
      <c r="A679" s="21" t="s">
        <v>642</v>
      </c>
      <c r="B679" s="13">
        <f>IFERROR(__xludf.DUMMYFUNCTION("GOOGLEFINANCE(A679,""PRICE"")"),909.2)</f>
        <v>909.2</v>
      </c>
      <c r="C679" s="14">
        <f>IFERROR(__xludf.DUMMYFUNCTION("GOOGLEFINANCE(A679,""PRICEOPEN"")"),906.45)</f>
        <v>906.45</v>
      </c>
      <c r="D679" s="14">
        <f>IFERROR(__xludf.DUMMYFUNCTION("GOOGLEFINANCE(A679,""HIGH"")"),917.0)</f>
        <v>917</v>
      </c>
      <c r="E679" s="14">
        <f>IFERROR(__xludf.DUMMYFUNCTION("GOOGLEFINANCE(A679,""LOW"")"),900.1)</f>
        <v>900.1</v>
      </c>
      <c r="F679" s="15" t="str">
        <f t="shared" si="8"/>
        <v/>
      </c>
      <c r="G679" s="16">
        <f>IFERROR(__xludf.DUMMYFUNCTION("GOOGLEFINANCE(A679,""CLOSEYEST"")"),913.5)</f>
        <v>913.5</v>
      </c>
      <c r="H679" s="17" t="str">
        <f t="shared" si="14"/>
        <v/>
      </c>
      <c r="I679" s="18">
        <f t="shared" si="9"/>
        <v>910.2</v>
      </c>
      <c r="J679" s="19">
        <f t="shared" si="10"/>
        <v>920.3</v>
      </c>
      <c r="K679" s="19"/>
      <c r="L679" s="19">
        <f t="shared" si="11"/>
        <v>903.4</v>
      </c>
      <c r="M679" s="19">
        <f t="shared" si="12"/>
        <v>927.1</v>
      </c>
      <c r="N679" s="19">
        <f t="shared" si="13"/>
        <v>893.3</v>
      </c>
    </row>
    <row r="680" ht="24.75" customHeight="1">
      <c r="A680" s="21" t="s">
        <v>643</v>
      </c>
      <c r="B680" s="13">
        <f>IFERROR(__xludf.DUMMYFUNCTION("GOOGLEFINANCE(A680,""PRICE"")"),305.9)</f>
        <v>305.9</v>
      </c>
      <c r="C680" s="14">
        <f>IFERROR(__xludf.DUMMYFUNCTION("GOOGLEFINANCE(A680,""PRICEOPEN"")"),299.0)</f>
        <v>299</v>
      </c>
      <c r="D680" s="14">
        <f>IFERROR(__xludf.DUMMYFUNCTION("GOOGLEFINANCE(A680,""HIGH"")"),309.75)</f>
        <v>309.75</v>
      </c>
      <c r="E680" s="14">
        <f>IFERROR(__xludf.DUMMYFUNCTION("GOOGLEFINANCE(A680,""LOW"")"),294.0)</f>
        <v>294</v>
      </c>
      <c r="F680" s="15" t="str">
        <f t="shared" si="8"/>
        <v/>
      </c>
      <c r="G680" s="16">
        <f>IFERROR(__xludf.DUMMYFUNCTION("GOOGLEFINANCE(A680,""CLOSEYEST"")"),298.95)</f>
        <v>298.95</v>
      </c>
      <c r="H680" s="17" t="str">
        <f t="shared" si="14"/>
        <v/>
      </c>
      <c r="I680" s="18">
        <f t="shared" si="9"/>
        <v>300.9</v>
      </c>
      <c r="J680" s="19">
        <f t="shared" si="10"/>
        <v>307.8</v>
      </c>
      <c r="K680" s="19"/>
      <c r="L680" s="19">
        <f t="shared" si="11"/>
        <v>292.05</v>
      </c>
      <c r="M680" s="19">
        <f t="shared" si="12"/>
        <v>316.65</v>
      </c>
      <c r="N680" s="19">
        <f t="shared" si="13"/>
        <v>285.15</v>
      </c>
    </row>
    <row r="681" ht="24.75" customHeight="1">
      <c r="A681" s="21" t="s">
        <v>644</v>
      </c>
      <c r="B681" s="13" t="str">
        <f>IFERROR(__xludf.DUMMYFUNCTION("GOOGLEFINANCE(A681,""PRICE"")"),"#N/A")</f>
        <v>#N/A</v>
      </c>
      <c r="C681" s="14" t="str">
        <f>IFERROR(__xludf.DUMMYFUNCTION("GOOGLEFINANCE(A681,""PRICEOPEN"")"),"#N/A")</f>
        <v>#N/A</v>
      </c>
      <c r="D681" s="14" t="str">
        <f>IFERROR(__xludf.DUMMYFUNCTION("GOOGLEFINANCE(A681,""HIGH"")"),"#N/A")</f>
        <v>#N/A</v>
      </c>
      <c r="E681" s="14" t="str">
        <f>IFERROR(__xludf.DUMMYFUNCTION("GOOGLEFINANCE(A681,""LOW"")"),"#N/A")</f>
        <v>#N/A</v>
      </c>
      <c r="F681" s="15" t="str">
        <f t="shared" si="8"/>
        <v>#N/A</v>
      </c>
      <c r="G681" s="16" t="str">
        <f>IFERROR(__xludf.DUMMYFUNCTION("GOOGLEFINANCE(A681,""CLOSEYEST"")"),"#N/A")</f>
        <v>#N/A</v>
      </c>
      <c r="H681" s="17" t="str">
        <f t="shared" si="14"/>
        <v>#N/A</v>
      </c>
      <c r="I681" s="18" t="str">
        <f t="shared" si="9"/>
        <v>#N/A</v>
      </c>
      <c r="J681" s="19" t="str">
        <f t="shared" si="10"/>
        <v>#N/A</v>
      </c>
      <c r="K681" s="19"/>
      <c r="L681" s="19" t="str">
        <f t="shared" si="11"/>
        <v>#N/A</v>
      </c>
      <c r="M681" s="19" t="str">
        <f t="shared" si="12"/>
        <v>#N/A</v>
      </c>
      <c r="N681" s="19" t="str">
        <f t="shared" si="13"/>
        <v>#N/A</v>
      </c>
    </row>
    <row r="682" ht="24.75" customHeight="1">
      <c r="A682" s="21" t="s">
        <v>645</v>
      </c>
      <c r="B682" s="13">
        <f>IFERROR(__xludf.DUMMYFUNCTION("GOOGLEFINANCE(A682,""PRICE"")"),189.0)</f>
        <v>189</v>
      </c>
      <c r="C682" s="14">
        <f>IFERROR(__xludf.DUMMYFUNCTION("GOOGLEFINANCE(A682,""PRICEOPEN"")"),188.5)</f>
        <v>188.5</v>
      </c>
      <c r="D682" s="14">
        <f>IFERROR(__xludf.DUMMYFUNCTION("GOOGLEFINANCE(A682,""HIGH"")"),189.7)</f>
        <v>189.7</v>
      </c>
      <c r="E682" s="14">
        <f>IFERROR(__xludf.DUMMYFUNCTION("GOOGLEFINANCE(A682,""LOW"")"),185.3)</f>
        <v>185.3</v>
      </c>
      <c r="F682" s="15" t="str">
        <f t="shared" si="8"/>
        <v/>
      </c>
      <c r="G682" s="16">
        <f>IFERROR(__xludf.DUMMYFUNCTION("GOOGLEFINANCE(A682,""CLOSEYEST"")"),186.73)</f>
        <v>186.73</v>
      </c>
      <c r="H682" s="17" t="str">
        <f t="shared" si="14"/>
        <v/>
      </c>
      <c r="I682" s="18">
        <f t="shared" si="9"/>
        <v>187.2433333</v>
      </c>
      <c r="J682" s="19">
        <f t="shared" si="10"/>
        <v>189.1866667</v>
      </c>
      <c r="K682" s="19"/>
      <c r="L682" s="19">
        <f t="shared" si="11"/>
        <v>184.7866667</v>
      </c>
      <c r="M682" s="19">
        <f t="shared" si="12"/>
        <v>191.6433333</v>
      </c>
      <c r="N682" s="19">
        <f t="shared" si="13"/>
        <v>182.8433333</v>
      </c>
    </row>
    <row r="683" ht="24.75" customHeight="1">
      <c r="A683" s="21" t="s">
        <v>646</v>
      </c>
      <c r="B683" s="13">
        <f>IFERROR(__xludf.DUMMYFUNCTION("GOOGLEFINANCE(A683,""PRICE"")"),142.11)</f>
        <v>142.11</v>
      </c>
      <c r="C683" s="14">
        <f>IFERROR(__xludf.DUMMYFUNCTION("GOOGLEFINANCE(A683,""PRICEOPEN"")"),142.15)</f>
        <v>142.15</v>
      </c>
      <c r="D683" s="14">
        <f>IFERROR(__xludf.DUMMYFUNCTION("GOOGLEFINANCE(A683,""HIGH"")"),143.4)</f>
        <v>143.4</v>
      </c>
      <c r="E683" s="14">
        <f>IFERROR(__xludf.DUMMYFUNCTION("GOOGLEFINANCE(A683,""LOW"")"),140.1)</f>
        <v>140.1</v>
      </c>
      <c r="F683" s="15" t="str">
        <f t="shared" si="8"/>
        <v/>
      </c>
      <c r="G683" s="16">
        <f>IFERROR(__xludf.DUMMYFUNCTION("GOOGLEFINANCE(A683,""CLOSEYEST"")"),142.15)</f>
        <v>142.15</v>
      </c>
      <c r="H683" s="17" t="str">
        <f t="shared" si="14"/>
        <v/>
      </c>
      <c r="I683" s="18">
        <f t="shared" si="9"/>
        <v>141.8833333</v>
      </c>
      <c r="J683" s="19">
        <f t="shared" si="10"/>
        <v>143.6666667</v>
      </c>
      <c r="K683" s="19"/>
      <c r="L683" s="19">
        <f t="shared" si="11"/>
        <v>140.3666667</v>
      </c>
      <c r="M683" s="19">
        <f t="shared" si="12"/>
        <v>145.1833333</v>
      </c>
      <c r="N683" s="19">
        <f t="shared" si="13"/>
        <v>138.5833333</v>
      </c>
    </row>
    <row r="684" ht="24.75" customHeight="1">
      <c r="A684" s="21" t="s">
        <v>647</v>
      </c>
      <c r="B684" s="13">
        <f>IFERROR(__xludf.DUMMYFUNCTION("GOOGLEFINANCE(A684,""PRICE"")"),1003.25)</f>
        <v>1003.25</v>
      </c>
      <c r="C684" s="14">
        <f>IFERROR(__xludf.DUMMYFUNCTION("GOOGLEFINANCE(A684,""PRICEOPEN"")"),980.3)</f>
        <v>980.3</v>
      </c>
      <c r="D684" s="14">
        <f>IFERROR(__xludf.DUMMYFUNCTION("GOOGLEFINANCE(A684,""HIGH"")"),1005.85)</f>
        <v>1005.85</v>
      </c>
      <c r="E684" s="14">
        <f>IFERROR(__xludf.DUMMYFUNCTION("GOOGLEFINANCE(A684,""LOW"")"),971.0)</f>
        <v>971</v>
      </c>
      <c r="F684" s="15" t="str">
        <f t="shared" si="8"/>
        <v/>
      </c>
      <c r="G684" s="16">
        <f>IFERROR(__xludf.DUMMYFUNCTION("GOOGLEFINANCE(A684,""CLOSEYEST"")"),980.3)</f>
        <v>980.3</v>
      </c>
      <c r="H684" s="17" t="str">
        <f t="shared" si="14"/>
        <v/>
      </c>
      <c r="I684" s="18">
        <f t="shared" si="9"/>
        <v>985.7166667</v>
      </c>
      <c r="J684" s="19">
        <f t="shared" si="10"/>
        <v>1000.433333</v>
      </c>
      <c r="K684" s="19"/>
      <c r="L684" s="19">
        <f t="shared" si="11"/>
        <v>965.5833333</v>
      </c>
      <c r="M684" s="19">
        <f t="shared" si="12"/>
        <v>1020.566667</v>
      </c>
      <c r="N684" s="19">
        <f t="shared" si="13"/>
        <v>950.8666667</v>
      </c>
    </row>
    <row r="685" ht="24.75" customHeight="1">
      <c r="A685" s="21" t="s">
        <v>648</v>
      </c>
      <c r="B685" s="13" t="str">
        <f>IFERROR(__xludf.DUMMYFUNCTION("GOOGLEFINANCE(A685,""PRICE"")"),"#N/A")</f>
        <v>#N/A</v>
      </c>
      <c r="C685" s="14" t="str">
        <f>IFERROR(__xludf.DUMMYFUNCTION("GOOGLEFINANCE(A685,""PRICEOPEN"")"),"#N/A")</f>
        <v>#N/A</v>
      </c>
      <c r="D685" s="14" t="str">
        <f>IFERROR(__xludf.DUMMYFUNCTION("GOOGLEFINANCE(A685,""HIGH"")"),"#N/A")</f>
        <v>#N/A</v>
      </c>
      <c r="E685" s="14" t="str">
        <f>IFERROR(__xludf.DUMMYFUNCTION("GOOGLEFINANCE(A685,""LOW"")"),"#N/A")</f>
        <v>#N/A</v>
      </c>
      <c r="F685" s="15" t="str">
        <f t="shared" si="8"/>
        <v>#N/A</v>
      </c>
      <c r="G685" s="16" t="str">
        <f>IFERROR(__xludf.DUMMYFUNCTION("GOOGLEFINANCE(A685,""CLOSEYEST"")"),"#N/A")</f>
        <v>#N/A</v>
      </c>
      <c r="H685" s="17" t="str">
        <f t="shared" si="14"/>
        <v>#N/A</v>
      </c>
      <c r="I685" s="18" t="str">
        <f t="shared" si="9"/>
        <v>#N/A</v>
      </c>
      <c r="J685" s="19" t="str">
        <f t="shared" si="10"/>
        <v>#N/A</v>
      </c>
      <c r="K685" s="19"/>
      <c r="L685" s="19" t="str">
        <f t="shared" si="11"/>
        <v>#N/A</v>
      </c>
      <c r="M685" s="19" t="str">
        <f t="shared" si="12"/>
        <v>#N/A</v>
      </c>
      <c r="N685" s="19" t="str">
        <f t="shared" si="13"/>
        <v>#N/A</v>
      </c>
    </row>
    <row r="686" ht="24.75" customHeight="1">
      <c r="A686" s="21" t="s">
        <v>649</v>
      </c>
      <c r="B686" s="13">
        <f>IFERROR(__xludf.DUMMYFUNCTION("GOOGLEFINANCE(A686,""PRICE"")"),2719.0)</f>
        <v>2719</v>
      </c>
      <c r="C686" s="14">
        <f>IFERROR(__xludf.DUMMYFUNCTION("GOOGLEFINANCE(A686,""PRICEOPEN"")"),2655.0)</f>
        <v>2655</v>
      </c>
      <c r="D686" s="14">
        <f>IFERROR(__xludf.DUMMYFUNCTION("GOOGLEFINANCE(A686,""HIGH"")"),2733.8)</f>
        <v>2733.8</v>
      </c>
      <c r="E686" s="14">
        <f>IFERROR(__xludf.DUMMYFUNCTION("GOOGLEFINANCE(A686,""LOW"")"),2632.2)</f>
        <v>2632.2</v>
      </c>
      <c r="F686" s="15" t="str">
        <f t="shared" si="8"/>
        <v/>
      </c>
      <c r="G686" s="16">
        <f>IFERROR(__xludf.DUMMYFUNCTION("GOOGLEFINANCE(A686,""CLOSEYEST"")"),2644.2)</f>
        <v>2644.2</v>
      </c>
      <c r="H686" s="17" t="str">
        <f t="shared" si="14"/>
        <v/>
      </c>
      <c r="I686" s="18">
        <f t="shared" si="9"/>
        <v>2670.066667</v>
      </c>
      <c r="J686" s="19">
        <f t="shared" si="10"/>
        <v>2707.933333</v>
      </c>
      <c r="K686" s="19"/>
      <c r="L686" s="19">
        <f t="shared" si="11"/>
        <v>2606.333333</v>
      </c>
      <c r="M686" s="19">
        <f t="shared" si="12"/>
        <v>2771.666667</v>
      </c>
      <c r="N686" s="19">
        <f t="shared" si="13"/>
        <v>2568.466667</v>
      </c>
    </row>
    <row r="687" ht="24.75" customHeight="1">
      <c r="A687" s="21" t="s">
        <v>650</v>
      </c>
      <c r="B687" s="13">
        <f>IFERROR(__xludf.DUMMYFUNCTION("GOOGLEFINANCE(A687,""PRICE"")"),1378.0)</f>
        <v>1378</v>
      </c>
      <c r="C687" s="14">
        <f>IFERROR(__xludf.DUMMYFUNCTION("GOOGLEFINANCE(A687,""PRICEOPEN"")"),1340.0)</f>
        <v>1340</v>
      </c>
      <c r="D687" s="14">
        <f>IFERROR(__xludf.DUMMYFUNCTION("GOOGLEFINANCE(A687,""HIGH"")"),1383.7)</f>
        <v>1383.7</v>
      </c>
      <c r="E687" s="14">
        <f>IFERROR(__xludf.DUMMYFUNCTION("GOOGLEFINANCE(A687,""LOW"")"),1329.7)</f>
        <v>1329.7</v>
      </c>
      <c r="F687" s="15" t="str">
        <f t="shared" si="8"/>
        <v/>
      </c>
      <c r="G687" s="16">
        <f>IFERROR(__xludf.DUMMYFUNCTION("GOOGLEFINANCE(A687,""CLOSEYEST"")"),1338.5)</f>
        <v>1338.5</v>
      </c>
      <c r="H687" s="17" t="str">
        <f t="shared" si="14"/>
        <v/>
      </c>
      <c r="I687" s="18">
        <f t="shared" si="9"/>
        <v>1350.633333</v>
      </c>
      <c r="J687" s="19">
        <f t="shared" si="10"/>
        <v>1371.566667</v>
      </c>
      <c r="K687" s="19"/>
      <c r="L687" s="19">
        <f t="shared" si="11"/>
        <v>1317.566667</v>
      </c>
      <c r="M687" s="19">
        <f t="shared" si="12"/>
        <v>1404.633333</v>
      </c>
      <c r="N687" s="19">
        <f t="shared" si="13"/>
        <v>1296.633333</v>
      </c>
    </row>
    <row r="688" ht="24.75" customHeight="1">
      <c r="A688" s="21" t="s">
        <v>651</v>
      </c>
      <c r="B688" s="13" t="str">
        <f>IFERROR(__xludf.DUMMYFUNCTION("GOOGLEFINANCE(A688,""PRICE"")"),"#N/A")</f>
        <v>#N/A</v>
      </c>
      <c r="C688" s="14" t="str">
        <f>IFERROR(__xludf.DUMMYFUNCTION("GOOGLEFINANCE(A688,""PRICEOPEN"")"),"#N/A")</f>
        <v>#N/A</v>
      </c>
      <c r="D688" s="14" t="str">
        <f>IFERROR(__xludf.DUMMYFUNCTION("GOOGLEFINANCE(A688,""HIGH"")"),"#N/A")</f>
        <v>#N/A</v>
      </c>
      <c r="E688" s="14" t="str">
        <f>IFERROR(__xludf.DUMMYFUNCTION("GOOGLEFINANCE(A688,""LOW"")"),"#N/A")</f>
        <v>#N/A</v>
      </c>
      <c r="F688" s="15" t="str">
        <f t="shared" si="8"/>
        <v>#N/A</v>
      </c>
      <c r="G688" s="16" t="str">
        <f>IFERROR(__xludf.DUMMYFUNCTION("GOOGLEFINANCE(A688,""CLOSEYEST"")"),"#N/A")</f>
        <v>#N/A</v>
      </c>
      <c r="H688" s="17" t="str">
        <f t="shared" si="14"/>
        <v>#N/A</v>
      </c>
      <c r="I688" s="18" t="str">
        <f t="shared" si="9"/>
        <v>#N/A</v>
      </c>
      <c r="J688" s="19" t="str">
        <f t="shared" si="10"/>
        <v>#N/A</v>
      </c>
      <c r="K688" s="19"/>
      <c r="L688" s="19" t="str">
        <f t="shared" si="11"/>
        <v>#N/A</v>
      </c>
      <c r="M688" s="19" t="str">
        <f t="shared" si="12"/>
        <v>#N/A</v>
      </c>
      <c r="N688" s="19" t="str">
        <f t="shared" si="13"/>
        <v>#N/A</v>
      </c>
    </row>
    <row r="689" ht="24.75" customHeight="1">
      <c r="A689" s="21" t="s">
        <v>652</v>
      </c>
      <c r="B689" s="13">
        <f>IFERROR(__xludf.DUMMYFUNCTION("GOOGLEFINANCE(A689,""PRICE"")"),577.5)</f>
        <v>577.5</v>
      </c>
      <c r="C689" s="14">
        <f>IFERROR(__xludf.DUMMYFUNCTION("GOOGLEFINANCE(A689,""PRICEOPEN"")"),552.9)</f>
        <v>552.9</v>
      </c>
      <c r="D689" s="14">
        <f>IFERROR(__xludf.DUMMYFUNCTION("GOOGLEFINANCE(A689,""HIGH"")"),579.35)</f>
        <v>579.35</v>
      </c>
      <c r="E689" s="14">
        <f>IFERROR(__xludf.DUMMYFUNCTION("GOOGLEFINANCE(A689,""LOW"")"),550.0)</f>
        <v>550</v>
      </c>
      <c r="F689" s="15" t="str">
        <f t="shared" si="8"/>
        <v/>
      </c>
      <c r="G689" s="16">
        <f>IFERROR(__xludf.DUMMYFUNCTION("GOOGLEFINANCE(A689,""CLOSEYEST"")"),550.75)</f>
        <v>550.75</v>
      </c>
      <c r="H689" s="17" t="str">
        <f t="shared" si="14"/>
        <v/>
      </c>
      <c r="I689" s="18">
        <f t="shared" si="9"/>
        <v>560.0333333</v>
      </c>
      <c r="J689" s="19">
        <f t="shared" si="10"/>
        <v>570.0666667</v>
      </c>
      <c r="K689" s="19"/>
      <c r="L689" s="19">
        <f t="shared" si="11"/>
        <v>540.7166667</v>
      </c>
      <c r="M689" s="19">
        <f t="shared" si="12"/>
        <v>589.3833333</v>
      </c>
      <c r="N689" s="19">
        <f t="shared" si="13"/>
        <v>530.6833333</v>
      </c>
    </row>
    <row r="690" ht="24.75" customHeight="1">
      <c r="A690" s="21" t="s">
        <v>653</v>
      </c>
      <c r="B690" s="13">
        <f>IFERROR(__xludf.DUMMYFUNCTION("GOOGLEFINANCE(A690,""PRICE"")"),103.2)</f>
        <v>103.2</v>
      </c>
      <c r="C690" s="14">
        <f>IFERROR(__xludf.DUMMYFUNCTION("GOOGLEFINANCE(A690,""PRICEOPEN"")"),103.0)</f>
        <v>103</v>
      </c>
      <c r="D690" s="14">
        <f>IFERROR(__xludf.DUMMYFUNCTION("GOOGLEFINANCE(A690,""HIGH"")"),103.66)</f>
        <v>103.66</v>
      </c>
      <c r="E690" s="14">
        <f>IFERROR(__xludf.DUMMYFUNCTION("GOOGLEFINANCE(A690,""LOW"")"),102.56)</f>
        <v>102.56</v>
      </c>
      <c r="F690" s="15" t="str">
        <f t="shared" si="8"/>
        <v/>
      </c>
      <c r="G690" s="16">
        <f>IFERROR(__xludf.DUMMYFUNCTION("GOOGLEFINANCE(A690,""CLOSEYEST"")"),103.45)</f>
        <v>103.45</v>
      </c>
      <c r="H690" s="17" t="str">
        <f t="shared" si="14"/>
        <v/>
      </c>
      <c r="I690" s="18">
        <f t="shared" si="9"/>
        <v>103.2233333</v>
      </c>
      <c r="J690" s="19">
        <f t="shared" si="10"/>
        <v>103.8866667</v>
      </c>
      <c r="K690" s="19"/>
      <c r="L690" s="19">
        <f t="shared" si="11"/>
        <v>102.7866667</v>
      </c>
      <c r="M690" s="19">
        <f t="shared" si="12"/>
        <v>104.3233333</v>
      </c>
      <c r="N690" s="19">
        <f t="shared" si="13"/>
        <v>102.1233333</v>
      </c>
    </row>
    <row r="691" ht="24.75" customHeight="1">
      <c r="A691" s="21" t="s">
        <v>654</v>
      </c>
      <c r="B691" s="13">
        <f>IFERROR(__xludf.DUMMYFUNCTION("GOOGLEFINANCE(A691,""PRICE"")"),0.19)</f>
        <v>0.19</v>
      </c>
      <c r="C691" s="14">
        <f>IFERROR(__xludf.DUMMYFUNCTION("GOOGLEFINANCE(A691,""PRICEOPEN"")"),0.18)</f>
        <v>0.18</v>
      </c>
      <c r="D691" s="14">
        <f>IFERROR(__xludf.DUMMYFUNCTION("GOOGLEFINANCE(A691,""HIGH"")"),0.2)</f>
        <v>0.2</v>
      </c>
      <c r="E691" s="14">
        <f>IFERROR(__xludf.DUMMYFUNCTION("GOOGLEFINANCE(A691,""LOW"")"),0.18)</f>
        <v>0.18</v>
      </c>
      <c r="F691" s="15" t="str">
        <f t="shared" si="8"/>
        <v>BUY</v>
      </c>
      <c r="G691" s="16">
        <f>IFERROR(__xludf.DUMMYFUNCTION("GOOGLEFINANCE(A691,""CLOSEYEST"")"),0.18)</f>
        <v>0.18</v>
      </c>
      <c r="H691" s="17" t="str">
        <f t="shared" si="14"/>
        <v/>
      </c>
      <c r="I691" s="18">
        <f t="shared" si="9"/>
        <v>0.1866666667</v>
      </c>
      <c r="J691" s="19">
        <f t="shared" si="10"/>
        <v>0.1933333333</v>
      </c>
      <c r="K691" s="19"/>
      <c r="L691" s="19">
        <f t="shared" si="11"/>
        <v>0.1733333333</v>
      </c>
      <c r="M691" s="19">
        <f t="shared" si="12"/>
        <v>0.2066666667</v>
      </c>
      <c r="N691" s="19">
        <f t="shared" si="13"/>
        <v>0.1666666667</v>
      </c>
    </row>
    <row r="692" ht="24.75" customHeight="1">
      <c r="A692" s="21" t="s">
        <v>655</v>
      </c>
      <c r="B692" s="13">
        <f>IFERROR(__xludf.DUMMYFUNCTION("GOOGLEFINANCE(A692,""PRICE"")"),854.0)</f>
        <v>854</v>
      </c>
      <c r="C692" s="14">
        <f>IFERROR(__xludf.DUMMYFUNCTION("GOOGLEFINANCE(A692,""PRICEOPEN"")"),847.0)</f>
        <v>847</v>
      </c>
      <c r="D692" s="14">
        <f>IFERROR(__xludf.DUMMYFUNCTION("GOOGLEFINANCE(A692,""HIGH"")"),869.0)</f>
        <v>869</v>
      </c>
      <c r="E692" s="14">
        <f>IFERROR(__xludf.DUMMYFUNCTION("GOOGLEFINANCE(A692,""LOW"")"),832.8)</f>
        <v>832.8</v>
      </c>
      <c r="F692" s="15" t="str">
        <f t="shared" si="8"/>
        <v/>
      </c>
      <c r="G692" s="16">
        <f>IFERROR(__xludf.DUMMYFUNCTION("GOOGLEFINANCE(A692,""CLOSEYEST"")"),827.95)</f>
        <v>827.95</v>
      </c>
      <c r="H692" s="17" t="str">
        <f t="shared" si="14"/>
        <v>GAP UP</v>
      </c>
      <c r="I692" s="18">
        <f t="shared" si="9"/>
        <v>843.25</v>
      </c>
      <c r="J692" s="19">
        <f t="shared" si="10"/>
        <v>853.7</v>
      </c>
      <c r="K692" s="19"/>
      <c r="L692" s="19">
        <f t="shared" si="11"/>
        <v>817.5</v>
      </c>
      <c r="M692" s="19">
        <f t="shared" si="12"/>
        <v>879.45</v>
      </c>
      <c r="N692" s="19">
        <f t="shared" si="13"/>
        <v>807.05</v>
      </c>
    </row>
    <row r="693" ht="24.75" customHeight="1">
      <c r="A693" s="21" t="s">
        <v>656</v>
      </c>
      <c r="B693" s="13" t="str">
        <f>IFERROR(__xludf.DUMMYFUNCTION("GOOGLEFINANCE(A693,""PRICE"")"),"#N/A")</f>
        <v>#N/A</v>
      </c>
      <c r="C693" s="14" t="str">
        <f>IFERROR(__xludf.DUMMYFUNCTION("GOOGLEFINANCE(A693,""PRICEOPEN"")"),"#N/A")</f>
        <v>#N/A</v>
      </c>
      <c r="D693" s="14" t="str">
        <f>IFERROR(__xludf.DUMMYFUNCTION("GOOGLEFINANCE(A693,""HIGH"")"),"#N/A")</f>
        <v>#N/A</v>
      </c>
      <c r="E693" s="14" t="str">
        <f>IFERROR(__xludf.DUMMYFUNCTION("GOOGLEFINANCE(A693,""LOW"")"),"#N/A")</f>
        <v>#N/A</v>
      </c>
      <c r="F693" s="15" t="str">
        <f t="shared" si="8"/>
        <v>#N/A</v>
      </c>
      <c r="G693" s="16" t="str">
        <f>IFERROR(__xludf.DUMMYFUNCTION("GOOGLEFINANCE(A693,""CLOSEYEST"")"),"#N/A")</f>
        <v>#N/A</v>
      </c>
      <c r="H693" s="17" t="str">
        <f t="shared" si="14"/>
        <v>#N/A</v>
      </c>
      <c r="I693" s="18" t="str">
        <f t="shared" si="9"/>
        <v>#N/A</v>
      </c>
      <c r="J693" s="19" t="str">
        <f t="shared" si="10"/>
        <v>#N/A</v>
      </c>
      <c r="K693" s="19"/>
      <c r="L693" s="19" t="str">
        <f t="shared" si="11"/>
        <v>#N/A</v>
      </c>
      <c r="M693" s="19" t="str">
        <f t="shared" si="12"/>
        <v>#N/A</v>
      </c>
      <c r="N693" s="19" t="str">
        <f t="shared" si="13"/>
        <v>#N/A</v>
      </c>
    </row>
    <row r="694" ht="24.75" customHeight="1">
      <c r="A694" s="21" t="s">
        <v>657</v>
      </c>
      <c r="B694" s="13">
        <f>IFERROR(__xludf.DUMMYFUNCTION("GOOGLEFINANCE(A694,""PRICE"")"),722.0)</f>
        <v>722</v>
      </c>
      <c r="C694" s="14">
        <f>IFERROR(__xludf.DUMMYFUNCTION("GOOGLEFINANCE(A694,""PRICEOPEN"")"),714.5)</f>
        <v>714.5</v>
      </c>
      <c r="D694" s="14">
        <f>IFERROR(__xludf.DUMMYFUNCTION("GOOGLEFINANCE(A694,""HIGH"")"),726.45)</f>
        <v>726.45</v>
      </c>
      <c r="E694" s="14">
        <f>IFERROR(__xludf.DUMMYFUNCTION("GOOGLEFINANCE(A694,""LOW"")"),714.5)</f>
        <v>714.5</v>
      </c>
      <c r="F694" s="15" t="str">
        <f t="shared" si="8"/>
        <v>BUY</v>
      </c>
      <c r="G694" s="16">
        <f>IFERROR(__xludf.DUMMYFUNCTION("GOOGLEFINANCE(A694,""CLOSEYEST"")"),714.25)</f>
        <v>714.25</v>
      </c>
      <c r="H694" s="17" t="str">
        <f t="shared" si="14"/>
        <v/>
      </c>
      <c r="I694" s="18">
        <f t="shared" si="9"/>
        <v>718.4</v>
      </c>
      <c r="J694" s="19">
        <f t="shared" si="10"/>
        <v>722.3</v>
      </c>
      <c r="K694" s="19"/>
      <c r="L694" s="19">
        <f t="shared" si="11"/>
        <v>710.35</v>
      </c>
      <c r="M694" s="19">
        <f t="shared" si="12"/>
        <v>730.35</v>
      </c>
      <c r="N694" s="19">
        <f t="shared" si="13"/>
        <v>706.45</v>
      </c>
    </row>
    <row r="695" ht="24.75" customHeight="1">
      <c r="A695" s="21" t="s">
        <v>658</v>
      </c>
      <c r="B695" s="13">
        <f>IFERROR(__xludf.DUMMYFUNCTION("GOOGLEFINANCE(A695,""PRICE"")"),613.0)</f>
        <v>613</v>
      </c>
      <c r="C695" s="14">
        <f>IFERROR(__xludf.DUMMYFUNCTION("GOOGLEFINANCE(A695,""PRICEOPEN"")"),621.95)</f>
        <v>621.95</v>
      </c>
      <c r="D695" s="14">
        <f>IFERROR(__xludf.DUMMYFUNCTION("GOOGLEFINANCE(A695,""HIGH"")"),639.0)</f>
        <v>639</v>
      </c>
      <c r="E695" s="14">
        <f>IFERROR(__xludf.DUMMYFUNCTION("GOOGLEFINANCE(A695,""LOW"")"),599.05)</f>
        <v>599.05</v>
      </c>
      <c r="F695" s="15" t="str">
        <f t="shared" si="8"/>
        <v/>
      </c>
      <c r="G695" s="16">
        <f>IFERROR(__xludf.DUMMYFUNCTION("GOOGLEFINANCE(A695,""CLOSEYEST"")"),620.6)</f>
        <v>620.6</v>
      </c>
      <c r="H695" s="17" t="str">
        <f t="shared" si="14"/>
        <v/>
      </c>
      <c r="I695" s="18">
        <f t="shared" si="9"/>
        <v>619.55</v>
      </c>
      <c r="J695" s="19">
        <f t="shared" si="10"/>
        <v>640.05</v>
      </c>
      <c r="K695" s="19"/>
      <c r="L695" s="19">
        <f t="shared" si="11"/>
        <v>600.1</v>
      </c>
      <c r="M695" s="19">
        <f t="shared" si="12"/>
        <v>659.5</v>
      </c>
      <c r="N695" s="19">
        <f t="shared" si="13"/>
        <v>579.6</v>
      </c>
    </row>
    <row r="696" ht="24.75" customHeight="1">
      <c r="A696" s="21" t="s">
        <v>659</v>
      </c>
      <c r="B696" s="13">
        <f>IFERROR(__xludf.DUMMYFUNCTION("GOOGLEFINANCE(A696,""PRICE"")"),105.9)</f>
        <v>105.9</v>
      </c>
      <c r="C696" s="14">
        <f>IFERROR(__xludf.DUMMYFUNCTION("GOOGLEFINANCE(A696,""PRICEOPEN"")"),106.4)</f>
        <v>106.4</v>
      </c>
      <c r="D696" s="14">
        <f>IFERROR(__xludf.DUMMYFUNCTION("GOOGLEFINANCE(A696,""HIGH"")"),107.85)</f>
        <v>107.85</v>
      </c>
      <c r="E696" s="14">
        <f>IFERROR(__xludf.DUMMYFUNCTION("GOOGLEFINANCE(A696,""LOW"")"),104.81)</f>
        <v>104.81</v>
      </c>
      <c r="F696" s="15" t="str">
        <f t="shared" si="8"/>
        <v/>
      </c>
      <c r="G696" s="16">
        <f>IFERROR(__xludf.DUMMYFUNCTION("GOOGLEFINANCE(A696,""CLOSEYEST"")"),106.99)</f>
        <v>106.99</v>
      </c>
      <c r="H696" s="17" t="str">
        <f t="shared" si="14"/>
        <v/>
      </c>
      <c r="I696" s="18">
        <f t="shared" si="9"/>
        <v>106.55</v>
      </c>
      <c r="J696" s="19">
        <f t="shared" si="10"/>
        <v>108.29</v>
      </c>
      <c r="K696" s="19"/>
      <c r="L696" s="19">
        <f t="shared" si="11"/>
        <v>105.25</v>
      </c>
      <c r="M696" s="19">
        <f t="shared" si="12"/>
        <v>109.59</v>
      </c>
      <c r="N696" s="19">
        <f t="shared" si="13"/>
        <v>103.51</v>
      </c>
    </row>
    <row r="697" ht="24.75" customHeight="1">
      <c r="A697" s="21" t="s">
        <v>660</v>
      </c>
      <c r="B697" s="13">
        <f>IFERROR(__xludf.DUMMYFUNCTION("GOOGLEFINANCE(A697,""PRICE"")"),299.15)</f>
        <v>299.15</v>
      </c>
      <c r="C697" s="14">
        <f>IFERROR(__xludf.DUMMYFUNCTION("GOOGLEFINANCE(A697,""PRICEOPEN"")"),296.95)</f>
        <v>296.95</v>
      </c>
      <c r="D697" s="14">
        <f>IFERROR(__xludf.DUMMYFUNCTION("GOOGLEFINANCE(A697,""HIGH"")"),301.0)</f>
        <v>301</v>
      </c>
      <c r="E697" s="14">
        <f>IFERROR(__xludf.DUMMYFUNCTION("GOOGLEFINANCE(A697,""LOW"")"),296.95)</f>
        <v>296.95</v>
      </c>
      <c r="F697" s="15" t="str">
        <f t="shared" si="8"/>
        <v>BUY</v>
      </c>
      <c r="G697" s="16">
        <f>IFERROR(__xludf.DUMMYFUNCTION("GOOGLEFINANCE(A697,""CLOSEYEST"")"),296.8)</f>
        <v>296.8</v>
      </c>
      <c r="H697" s="17" t="str">
        <f t="shared" si="14"/>
        <v/>
      </c>
      <c r="I697" s="18">
        <f t="shared" si="9"/>
        <v>298.25</v>
      </c>
      <c r="J697" s="19">
        <f t="shared" si="10"/>
        <v>299.55</v>
      </c>
      <c r="K697" s="19"/>
      <c r="L697" s="19">
        <f t="shared" si="11"/>
        <v>295.5</v>
      </c>
      <c r="M697" s="19">
        <f t="shared" si="12"/>
        <v>302.3</v>
      </c>
      <c r="N697" s="19">
        <f t="shared" si="13"/>
        <v>294.2</v>
      </c>
    </row>
    <row r="698" ht="24.75" customHeight="1">
      <c r="A698" s="21" t="s">
        <v>661</v>
      </c>
      <c r="B698" s="13">
        <f>IFERROR(__xludf.DUMMYFUNCTION("GOOGLEFINANCE(A698,""PRICE"")"),51.87)</f>
        <v>51.87</v>
      </c>
      <c r="C698" s="14">
        <f>IFERROR(__xludf.DUMMYFUNCTION("GOOGLEFINANCE(A698,""PRICEOPEN"")"),52.0)</f>
        <v>52</v>
      </c>
      <c r="D698" s="14">
        <f>IFERROR(__xludf.DUMMYFUNCTION("GOOGLEFINANCE(A698,""HIGH"")"),52.32)</f>
        <v>52.32</v>
      </c>
      <c r="E698" s="14">
        <f>IFERROR(__xludf.DUMMYFUNCTION("GOOGLEFINANCE(A698,""LOW"")"),51.38)</f>
        <v>51.38</v>
      </c>
      <c r="F698" s="15" t="str">
        <f t="shared" si="8"/>
        <v/>
      </c>
      <c r="G698" s="16">
        <f>IFERROR(__xludf.DUMMYFUNCTION("GOOGLEFINANCE(A698,""CLOSEYEST"")"),51.5)</f>
        <v>51.5</v>
      </c>
      <c r="H698" s="17" t="str">
        <f t="shared" si="14"/>
        <v/>
      </c>
      <c r="I698" s="18">
        <f t="shared" si="9"/>
        <v>51.73333333</v>
      </c>
      <c r="J698" s="19">
        <f t="shared" si="10"/>
        <v>52.08666667</v>
      </c>
      <c r="K698" s="19"/>
      <c r="L698" s="19">
        <f t="shared" si="11"/>
        <v>51.14666667</v>
      </c>
      <c r="M698" s="19">
        <f t="shared" si="12"/>
        <v>52.67333333</v>
      </c>
      <c r="N698" s="19">
        <f t="shared" si="13"/>
        <v>50.79333333</v>
      </c>
    </row>
    <row r="699" ht="24.75" customHeight="1">
      <c r="A699" s="21" t="s">
        <v>662</v>
      </c>
      <c r="B699" s="13">
        <f>IFERROR(__xludf.DUMMYFUNCTION("GOOGLEFINANCE(A699,""PRICE"")"),1.35)</f>
        <v>1.35</v>
      </c>
      <c r="C699" s="14">
        <f>IFERROR(__xludf.DUMMYFUNCTION("GOOGLEFINANCE(A699,""PRICEOPEN"")"),1.3)</f>
        <v>1.3</v>
      </c>
      <c r="D699" s="14">
        <f>IFERROR(__xludf.DUMMYFUNCTION("GOOGLEFINANCE(A699,""HIGH"")"),1.35)</f>
        <v>1.35</v>
      </c>
      <c r="E699" s="14">
        <f>IFERROR(__xludf.DUMMYFUNCTION("GOOGLEFINANCE(A699,""LOW"")"),1.3)</f>
        <v>1.3</v>
      </c>
      <c r="F699" s="15" t="str">
        <f t="shared" si="8"/>
        <v>BUY</v>
      </c>
      <c r="G699" s="16">
        <f>IFERROR(__xludf.DUMMYFUNCTION("GOOGLEFINANCE(A699,""CLOSEYEST"")"),1.3)</f>
        <v>1.3</v>
      </c>
      <c r="H699" s="17" t="str">
        <f t="shared" si="14"/>
        <v/>
      </c>
      <c r="I699" s="18">
        <f t="shared" si="9"/>
        <v>1.316666667</v>
      </c>
      <c r="J699" s="19">
        <f t="shared" si="10"/>
        <v>1.333333333</v>
      </c>
      <c r="K699" s="19"/>
      <c r="L699" s="19">
        <f t="shared" si="11"/>
        <v>1.283333333</v>
      </c>
      <c r="M699" s="19">
        <f t="shared" si="12"/>
        <v>1.366666667</v>
      </c>
      <c r="N699" s="19">
        <f t="shared" si="13"/>
        <v>1.266666667</v>
      </c>
    </row>
    <row r="700" ht="24.75" customHeight="1">
      <c r="A700" s="21" t="s">
        <v>663</v>
      </c>
      <c r="B700" s="13">
        <f>IFERROR(__xludf.DUMMYFUNCTION("GOOGLEFINANCE(A700,""PRICE"")"),328.0)</f>
        <v>328</v>
      </c>
      <c r="C700" s="14">
        <f>IFERROR(__xludf.DUMMYFUNCTION("GOOGLEFINANCE(A700,""PRICEOPEN"")"),331.25)</f>
        <v>331.25</v>
      </c>
      <c r="D700" s="14">
        <f>IFERROR(__xludf.DUMMYFUNCTION("GOOGLEFINANCE(A700,""HIGH"")"),333.35)</f>
        <v>333.35</v>
      </c>
      <c r="E700" s="14">
        <f>IFERROR(__xludf.DUMMYFUNCTION("GOOGLEFINANCE(A700,""LOW"")"),326.0)</f>
        <v>326</v>
      </c>
      <c r="F700" s="15" t="str">
        <f t="shared" si="8"/>
        <v/>
      </c>
      <c r="G700" s="16">
        <f>IFERROR(__xludf.DUMMYFUNCTION("GOOGLEFINANCE(A700,""CLOSEYEST"")"),329.2)</f>
        <v>329.2</v>
      </c>
      <c r="H700" s="17" t="str">
        <f t="shared" si="14"/>
        <v/>
      </c>
      <c r="I700" s="18">
        <f t="shared" si="9"/>
        <v>329.5166667</v>
      </c>
      <c r="J700" s="19">
        <f t="shared" si="10"/>
        <v>333.0333333</v>
      </c>
      <c r="K700" s="19"/>
      <c r="L700" s="19">
        <f t="shared" si="11"/>
        <v>325.6833333</v>
      </c>
      <c r="M700" s="19">
        <f t="shared" si="12"/>
        <v>336.8666667</v>
      </c>
      <c r="N700" s="19">
        <f t="shared" si="13"/>
        <v>322.1666667</v>
      </c>
    </row>
    <row r="701" ht="24.75" customHeight="1">
      <c r="A701" s="21" t="s">
        <v>664</v>
      </c>
      <c r="B701" s="13">
        <f>IFERROR(__xludf.DUMMYFUNCTION("GOOGLEFINANCE(A701,""PRICE"")"),902.4)</f>
        <v>902.4</v>
      </c>
      <c r="C701" s="14">
        <f>IFERROR(__xludf.DUMMYFUNCTION("GOOGLEFINANCE(A701,""PRICEOPEN"")"),928.0)</f>
        <v>928</v>
      </c>
      <c r="D701" s="14">
        <f>IFERROR(__xludf.DUMMYFUNCTION("GOOGLEFINANCE(A701,""HIGH"")"),928.5)</f>
        <v>928.5</v>
      </c>
      <c r="E701" s="14">
        <f>IFERROR(__xludf.DUMMYFUNCTION("GOOGLEFINANCE(A701,""LOW"")"),893.15)</f>
        <v>893.15</v>
      </c>
      <c r="F701" s="15" t="str">
        <f t="shared" si="8"/>
        <v/>
      </c>
      <c r="G701" s="16">
        <f>IFERROR(__xludf.DUMMYFUNCTION("GOOGLEFINANCE(A701,""CLOSEYEST"")"),925.95)</f>
        <v>925.95</v>
      </c>
      <c r="H701" s="17" t="str">
        <f t="shared" si="14"/>
        <v/>
      </c>
      <c r="I701" s="18">
        <f t="shared" si="9"/>
        <v>915.8666667</v>
      </c>
      <c r="J701" s="19">
        <f t="shared" si="10"/>
        <v>938.5833333</v>
      </c>
      <c r="K701" s="19"/>
      <c r="L701" s="19">
        <f t="shared" si="11"/>
        <v>903.2333333</v>
      </c>
      <c r="M701" s="19">
        <f t="shared" si="12"/>
        <v>951.2166667</v>
      </c>
      <c r="N701" s="19">
        <f t="shared" si="13"/>
        <v>880.5166667</v>
      </c>
    </row>
    <row r="702" ht="24.75" customHeight="1">
      <c r="A702" s="21" t="s">
        <v>665</v>
      </c>
      <c r="B702" s="13">
        <f>IFERROR(__xludf.DUMMYFUNCTION("GOOGLEFINANCE(A702,""PRICE"")"),131.8)</f>
        <v>131.8</v>
      </c>
      <c r="C702" s="14">
        <f>IFERROR(__xludf.DUMMYFUNCTION("GOOGLEFINANCE(A702,""PRICEOPEN"")"),128.59)</f>
        <v>128.59</v>
      </c>
      <c r="D702" s="14">
        <f>IFERROR(__xludf.DUMMYFUNCTION("GOOGLEFINANCE(A702,""HIGH"")"),132.0)</f>
        <v>132</v>
      </c>
      <c r="E702" s="14">
        <f>IFERROR(__xludf.DUMMYFUNCTION("GOOGLEFINANCE(A702,""LOW"")"),128.55)</f>
        <v>128.55</v>
      </c>
      <c r="F702" s="15" t="str">
        <f t="shared" si="8"/>
        <v/>
      </c>
      <c r="G702" s="16">
        <f>IFERROR(__xludf.DUMMYFUNCTION("GOOGLEFINANCE(A702,""CLOSEYEST"")"),128.59)</f>
        <v>128.59</v>
      </c>
      <c r="H702" s="17" t="str">
        <f t="shared" si="14"/>
        <v/>
      </c>
      <c r="I702" s="18">
        <f t="shared" si="9"/>
        <v>129.7133333</v>
      </c>
      <c r="J702" s="19">
        <f t="shared" si="10"/>
        <v>130.8766667</v>
      </c>
      <c r="K702" s="19"/>
      <c r="L702" s="19">
        <f t="shared" si="11"/>
        <v>127.4266667</v>
      </c>
      <c r="M702" s="19">
        <f t="shared" si="12"/>
        <v>133.1633333</v>
      </c>
      <c r="N702" s="19">
        <f t="shared" si="13"/>
        <v>126.2633333</v>
      </c>
    </row>
    <row r="703" ht="24.75" customHeight="1">
      <c r="A703" s="21" t="s">
        <v>666</v>
      </c>
      <c r="B703" s="13" t="str">
        <f>IFERROR(__xludf.DUMMYFUNCTION("GOOGLEFINANCE(A703,""PRICE"")"),"#N/A")</f>
        <v>#N/A</v>
      </c>
      <c r="C703" s="14" t="str">
        <f>IFERROR(__xludf.DUMMYFUNCTION("GOOGLEFINANCE(A703,""PRICEOPEN"")"),"#N/A")</f>
        <v>#N/A</v>
      </c>
      <c r="D703" s="14" t="str">
        <f>IFERROR(__xludf.DUMMYFUNCTION("GOOGLEFINANCE(A703,""HIGH"")"),"#N/A")</f>
        <v>#N/A</v>
      </c>
      <c r="E703" s="14" t="str">
        <f>IFERROR(__xludf.DUMMYFUNCTION("GOOGLEFINANCE(A703,""LOW"")"),"#N/A")</f>
        <v>#N/A</v>
      </c>
      <c r="F703" s="15" t="str">
        <f t="shared" si="8"/>
        <v>#N/A</v>
      </c>
      <c r="G703" s="16" t="str">
        <f>IFERROR(__xludf.DUMMYFUNCTION("GOOGLEFINANCE(A703,""CLOSEYEST"")"),"#N/A")</f>
        <v>#N/A</v>
      </c>
      <c r="H703" s="17" t="str">
        <f t="shared" si="14"/>
        <v>#N/A</v>
      </c>
      <c r="I703" s="18" t="str">
        <f t="shared" si="9"/>
        <v>#N/A</v>
      </c>
      <c r="J703" s="19" t="str">
        <f t="shared" si="10"/>
        <v>#N/A</v>
      </c>
      <c r="K703" s="19"/>
      <c r="L703" s="19" t="str">
        <f t="shared" si="11"/>
        <v>#N/A</v>
      </c>
      <c r="M703" s="19" t="str">
        <f t="shared" si="12"/>
        <v>#N/A</v>
      </c>
      <c r="N703" s="19" t="str">
        <f t="shared" si="13"/>
        <v>#N/A</v>
      </c>
    </row>
    <row r="704" ht="24.75" customHeight="1">
      <c r="A704" s="21" t="s">
        <v>667</v>
      </c>
      <c r="B704" s="13">
        <f>IFERROR(__xludf.DUMMYFUNCTION("GOOGLEFINANCE(A704,""PRICE"")"),284.3)</f>
        <v>284.3</v>
      </c>
      <c r="C704" s="14">
        <f>IFERROR(__xludf.DUMMYFUNCTION("GOOGLEFINANCE(A704,""PRICEOPEN"")"),285.75)</f>
        <v>285.75</v>
      </c>
      <c r="D704" s="14">
        <f>IFERROR(__xludf.DUMMYFUNCTION("GOOGLEFINANCE(A704,""HIGH"")"),288.05)</f>
        <v>288.05</v>
      </c>
      <c r="E704" s="14">
        <f>IFERROR(__xludf.DUMMYFUNCTION("GOOGLEFINANCE(A704,""LOW"")"),282.35)</f>
        <v>282.35</v>
      </c>
      <c r="F704" s="15" t="str">
        <f t="shared" si="8"/>
        <v/>
      </c>
      <c r="G704" s="16">
        <f>IFERROR(__xludf.DUMMYFUNCTION("GOOGLEFINANCE(A704,""CLOSEYEST"")"),287.2)</f>
        <v>287.2</v>
      </c>
      <c r="H704" s="17" t="str">
        <f t="shared" si="14"/>
        <v/>
      </c>
      <c r="I704" s="18">
        <f t="shared" si="9"/>
        <v>285.8666667</v>
      </c>
      <c r="J704" s="19">
        <f t="shared" si="10"/>
        <v>289.3833333</v>
      </c>
      <c r="K704" s="19"/>
      <c r="L704" s="19">
        <f t="shared" si="11"/>
        <v>283.6833333</v>
      </c>
      <c r="M704" s="19">
        <f t="shared" si="12"/>
        <v>291.5666667</v>
      </c>
      <c r="N704" s="19">
        <f t="shared" si="13"/>
        <v>280.1666667</v>
      </c>
    </row>
    <row r="705" ht="24.75" customHeight="1">
      <c r="A705" s="21" t="s">
        <v>668</v>
      </c>
      <c r="B705" s="13">
        <f>IFERROR(__xludf.DUMMYFUNCTION("GOOGLEFINANCE(A705,""PRICE"")"),119.27)</f>
        <v>119.27</v>
      </c>
      <c r="C705" s="14">
        <f>IFERROR(__xludf.DUMMYFUNCTION("GOOGLEFINANCE(A705,""PRICEOPEN"")"),119.25)</f>
        <v>119.25</v>
      </c>
      <c r="D705" s="14">
        <f>IFERROR(__xludf.DUMMYFUNCTION("GOOGLEFINANCE(A705,""HIGH"")"),121.97)</f>
        <v>121.97</v>
      </c>
      <c r="E705" s="14">
        <f>IFERROR(__xludf.DUMMYFUNCTION("GOOGLEFINANCE(A705,""LOW"")"),117.55)</f>
        <v>117.55</v>
      </c>
      <c r="F705" s="15" t="str">
        <f t="shared" si="8"/>
        <v/>
      </c>
      <c r="G705" s="16">
        <f>IFERROR(__xludf.DUMMYFUNCTION("GOOGLEFINANCE(A705,""CLOSEYEST"")"),119.9)</f>
        <v>119.9</v>
      </c>
      <c r="H705" s="17" t="str">
        <f t="shared" si="14"/>
        <v/>
      </c>
      <c r="I705" s="18">
        <f t="shared" si="9"/>
        <v>119.8066667</v>
      </c>
      <c r="J705" s="19">
        <f t="shared" si="10"/>
        <v>122.0633333</v>
      </c>
      <c r="K705" s="19"/>
      <c r="L705" s="19">
        <f t="shared" si="11"/>
        <v>117.6433333</v>
      </c>
      <c r="M705" s="19">
        <f t="shared" si="12"/>
        <v>124.2266667</v>
      </c>
      <c r="N705" s="19">
        <f t="shared" si="13"/>
        <v>115.3866667</v>
      </c>
    </row>
    <row r="706" ht="24.75" customHeight="1">
      <c r="A706" s="21" t="s">
        <v>669</v>
      </c>
      <c r="B706" s="13">
        <f>IFERROR(__xludf.DUMMYFUNCTION("GOOGLEFINANCE(A706,""PRICE"")"),72.0)</f>
        <v>72</v>
      </c>
      <c r="C706" s="14">
        <f>IFERROR(__xludf.DUMMYFUNCTION("GOOGLEFINANCE(A706,""PRICEOPEN"")"),69.18)</f>
        <v>69.18</v>
      </c>
      <c r="D706" s="14">
        <f>IFERROR(__xludf.DUMMYFUNCTION("GOOGLEFINANCE(A706,""HIGH"")"),73.77)</f>
        <v>73.77</v>
      </c>
      <c r="E706" s="14">
        <f>IFERROR(__xludf.DUMMYFUNCTION("GOOGLEFINANCE(A706,""LOW"")"),69.0)</f>
        <v>69</v>
      </c>
      <c r="F706" s="15" t="str">
        <f t="shared" si="8"/>
        <v/>
      </c>
      <c r="G706" s="16">
        <f>IFERROR(__xludf.DUMMYFUNCTION("GOOGLEFINANCE(A706,""CLOSEYEST"")"),69.18)</f>
        <v>69.18</v>
      </c>
      <c r="H706" s="17" t="str">
        <f t="shared" si="14"/>
        <v/>
      </c>
      <c r="I706" s="18">
        <f t="shared" si="9"/>
        <v>70.65</v>
      </c>
      <c r="J706" s="19">
        <f t="shared" si="10"/>
        <v>72.3</v>
      </c>
      <c r="K706" s="19"/>
      <c r="L706" s="19">
        <f t="shared" si="11"/>
        <v>67.53</v>
      </c>
      <c r="M706" s="19">
        <f t="shared" si="12"/>
        <v>75.42</v>
      </c>
      <c r="N706" s="19">
        <f t="shared" si="13"/>
        <v>65.88</v>
      </c>
    </row>
    <row r="707" ht="24.75" customHeight="1">
      <c r="A707" s="21" t="s">
        <v>670</v>
      </c>
      <c r="B707" s="13">
        <f>IFERROR(__xludf.DUMMYFUNCTION("GOOGLEFINANCE(A707,""PRICE"")"),166.9)</f>
        <v>166.9</v>
      </c>
      <c r="C707" s="14">
        <f>IFERROR(__xludf.DUMMYFUNCTION("GOOGLEFINANCE(A707,""PRICEOPEN"")"),167.3)</f>
        <v>167.3</v>
      </c>
      <c r="D707" s="14">
        <f>IFERROR(__xludf.DUMMYFUNCTION("GOOGLEFINANCE(A707,""HIGH"")"),168.34)</f>
        <v>168.34</v>
      </c>
      <c r="E707" s="14">
        <f>IFERROR(__xludf.DUMMYFUNCTION("GOOGLEFINANCE(A707,""LOW"")"),165.45)</f>
        <v>165.45</v>
      </c>
      <c r="F707" s="15" t="str">
        <f t="shared" si="8"/>
        <v/>
      </c>
      <c r="G707" s="16">
        <f>IFERROR(__xludf.DUMMYFUNCTION("GOOGLEFINANCE(A707,""CLOSEYEST"")"),166.67)</f>
        <v>166.67</v>
      </c>
      <c r="H707" s="17" t="str">
        <f t="shared" si="14"/>
        <v/>
      </c>
      <c r="I707" s="18">
        <f t="shared" si="9"/>
        <v>166.82</v>
      </c>
      <c r="J707" s="19">
        <f t="shared" si="10"/>
        <v>168.19</v>
      </c>
      <c r="K707" s="19"/>
      <c r="L707" s="19">
        <f t="shared" si="11"/>
        <v>165.3</v>
      </c>
      <c r="M707" s="19">
        <f t="shared" si="12"/>
        <v>169.71</v>
      </c>
      <c r="N707" s="19">
        <f t="shared" si="13"/>
        <v>163.93</v>
      </c>
    </row>
    <row r="708" ht="24.75" customHeight="1">
      <c r="A708" s="21" t="s">
        <v>671</v>
      </c>
      <c r="B708" s="13">
        <f>IFERROR(__xludf.DUMMYFUNCTION("GOOGLEFINANCE(A708,""PRICE"")"),682.0)</f>
        <v>682</v>
      </c>
      <c r="C708" s="14">
        <f>IFERROR(__xludf.DUMMYFUNCTION("GOOGLEFINANCE(A708,""PRICEOPEN"")"),680.0)</f>
        <v>680</v>
      </c>
      <c r="D708" s="14">
        <f>IFERROR(__xludf.DUMMYFUNCTION("GOOGLEFINANCE(A708,""HIGH"")"),684.0)</f>
        <v>684</v>
      </c>
      <c r="E708" s="14">
        <f>IFERROR(__xludf.DUMMYFUNCTION("GOOGLEFINANCE(A708,""LOW"")"),667.0)</f>
        <v>667</v>
      </c>
      <c r="F708" s="15" t="str">
        <f t="shared" si="8"/>
        <v/>
      </c>
      <c r="G708" s="16">
        <f>IFERROR(__xludf.DUMMYFUNCTION("GOOGLEFINANCE(A708,""CLOSEYEST"")"),674.8)</f>
        <v>674.8</v>
      </c>
      <c r="H708" s="17" t="str">
        <f t="shared" si="14"/>
        <v/>
      </c>
      <c r="I708" s="18">
        <f t="shared" si="9"/>
        <v>675.2666667</v>
      </c>
      <c r="J708" s="19">
        <f t="shared" si="10"/>
        <v>683.5333333</v>
      </c>
      <c r="K708" s="19"/>
      <c r="L708" s="19">
        <f t="shared" si="11"/>
        <v>666.5333333</v>
      </c>
      <c r="M708" s="19">
        <f t="shared" si="12"/>
        <v>692.2666667</v>
      </c>
      <c r="N708" s="19">
        <f t="shared" si="13"/>
        <v>658.2666667</v>
      </c>
    </row>
    <row r="709" ht="24.75" customHeight="1">
      <c r="A709" s="21" t="s">
        <v>672</v>
      </c>
      <c r="B709" s="13">
        <f>IFERROR(__xludf.DUMMYFUNCTION("GOOGLEFINANCE(A709,""PRICE"")"),1085.0)</f>
        <v>1085</v>
      </c>
      <c r="C709" s="14">
        <f>IFERROR(__xludf.DUMMYFUNCTION("GOOGLEFINANCE(A709,""PRICEOPEN"")"),1057.5)</f>
        <v>1057.5</v>
      </c>
      <c r="D709" s="14">
        <f>IFERROR(__xludf.DUMMYFUNCTION("GOOGLEFINANCE(A709,""HIGH"")"),1090.6)</f>
        <v>1090.6</v>
      </c>
      <c r="E709" s="14">
        <f>IFERROR(__xludf.DUMMYFUNCTION("GOOGLEFINANCE(A709,""LOW"")"),1056.4)</f>
        <v>1056.4</v>
      </c>
      <c r="F709" s="15" t="str">
        <f t="shared" si="8"/>
        <v/>
      </c>
      <c r="G709" s="16">
        <f>IFERROR(__xludf.DUMMYFUNCTION("GOOGLEFINANCE(A709,""CLOSEYEST"")"),1057.5)</f>
        <v>1057.5</v>
      </c>
      <c r="H709" s="17" t="str">
        <f t="shared" si="14"/>
        <v/>
      </c>
      <c r="I709" s="18">
        <f t="shared" si="9"/>
        <v>1068.166667</v>
      </c>
      <c r="J709" s="19">
        <f t="shared" si="10"/>
        <v>1079.933333</v>
      </c>
      <c r="K709" s="19"/>
      <c r="L709" s="19">
        <f t="shared" si="11"/>
        <v>1045.733333</v>
      </c>
      <c r="M709" s="19">
        <f t="shared" si="12"/>
        <v>1102.366667</v>
      </c>
      <c r="N709" s="19">
        <f t="shared" si="13"/>
        <v>1033.966667</v>
      </c>
    </row>
    <row r="710" ht="24.75" customHeight="1">
      <c r="A710" s="21" t="s">
        <v>673</v>
      </c>
      <c r="B710" s="13" t="str">
        <f>IFERROR(__xludf.DUMMYFUNCTION("GOOGLEFINANCE(A710,""PRICE"")"),"#N/A")</f>
        <v>#N/A</v>
      </c>
      <c r="C710" s="14" t="str">
        <f>IFERROR(__xludf.DUMMYFUNCTION("GOOGLEFINANCE(A710,""PRICEOPEN"")"),"#N/A")</f>
        <v>#N/A</v>
      </c>
      <c r="D710" s="14" t="str">
        <f>IFERROR(__xludf.DUMMYFUNCTION("GOOGLEFINANCE(A710,""HIGH"")"),"#N/A")</f>
        <v>#N/A</v>
      </c>
      <c r="E710" s="14" t="str">
        <f>IFERROR(__xludf.DUMMYFUNCTION("GOOGLEFINANCE(A710,""LOW"")"),"#N/A")</f>
        <v>#N/A</v>
      </c>
      <c r="F710" s="15" t="str">
        <f t="shared" si="8"/>
        <v>#N/A</v>
      </c>
      <c r="G710" s="16" t="str">
        <f>IFERROR(__xludf.DUMMYFUNCTION("GOOGLEFINANCE(A710,""CLOSEYEST"")"),"#N/A")</f>
        <v>#N/A</v>
      </c>
      <c r="H710" s="17" t="str">
        <f t="shared" si="14"/>
        <v>#N/A</v>
      </c>
      <c r="I710" s="18" t="str">
        <f t="shared" si="9"/>
        <v>#N/A</v>
      </c>
      <c r="J710" s="19" t="str">
        <f t="shared" si="10"/>
        <v>#N/A</v>
      </c>
      <c r="K710" s="19"/>
      <c r="L710" s="19" t="str">
        <f t="shared" si="11"/>
        <v>#N/A</v>
      </c>
      <c r="M710" s="19" t="str">
        <f t="shared" si="12"/>
        <v>#N/A</v>
      </c>
      <c r="N710" s="19" t="str">
        <f t="shared" si="13"/>
        <v>#N/A</v>
      </c>
    </row>
    <row r="711" ht="24.75" customHeight="1">
      <c r="A711" s="21" t="s">
        <v>674</v>
      </c>
      <c r="B711" s="13">
        <f>IFERROR(__xludf.DUMMYFUNCTION("GOOGLEFINANCE(A711,""PRICE"")"),229.38)</f>
        <v>229.38</v>
      </c>
      <c r="C711" s="14">
        <f>IFERROR(__xludf.DUMMYFUNCTION("GOOGLEFINANCE(A711,""PRICEOPEN"")"),230.77)</f>
        <v>230.77</v>
      </c>
      <c r="D711" s="14">
        <f>IFERROR(__xludf.DUMMYFUNCTION("GOOGLEFINANCE(A711,""HIGH"")"),230.77)</f>
        <v>230.77</v>
      </c>
      <c r="E711" s="14">
        <f>IFERROR(__xludf.DUMMYFUNCTION("GOOGLEFINANCE(A711,""LOW"")"),227.12)</f>
        <v>227.12</v>
      </c>
      <c r="F711" s="15" t="str">
        <f t="shared" si="8"/>
        <v>SELL</v>
      </c>
      <c r="G711" s="16">
        <f>IFERROR(__xludf.DUMMYFUNCTION("GOOGLEFINANCE(A711,""CLOSEYEST"")"),228.94)</f>
        <v>228.94</v>
      </c>
      <c r="H711" s="17" t="str">
        <f t="shared" si="14"/>
        <v/>
      </c>
      <c r="I711" s="18">
        <f t="shared" si="9"/>
        <v>228.9433333</v>
      </c>
      <c r="J711" s="19">
        <f t="shared" si="10"/>
        <v>230.7666667</v>
      </c>
      <c r="K711" s="19"/>
      <c r="L711" s="19">
        <f t="shared" si="11"/>
        <v>227.1166667</v>
      </c>
      <c r="M711" s="19">
        <f t="shared" si="12"/>
        <v>232.5933333</v>
      </c>
      <c r="N711" s="19">
        <f t="shared" si="13"/>
        <v>225.2933333</v>
      </c>
    </row>
    <row r="712" ht="24.75" customHeight="1">
      <c r="A712" s="21" t="s">
        <v>675</v>
      </c>
      <c r="B712" s="13" t="str">
        <f>IFERROR(__xludf.DUMMYFUNCTION("GOOGLEFINANCE(A712,""PRICE"")"),"#N/A")</f>
        <v>#N/A</v>
      </c>
      <c r="C712" s="14" t="str">
        <f>IFERROR(__xludf.DUMMYFUNCTION("GOOGLEFINANCE(A712,""PRICEOPEN"")"),"#N/A")</f>
        <v>#N/A</v>
      </c>
      <c r="D712" s="14" t="str">
        <f>IFERROR(__xludf.DUMMYFUNCTION("GOOGLEFINANCE(A712,""HIGH"")"),"#N/A")</f>
        <v>#N/A</v>
      </c>
      <c r="E712" s="14" t="str">
        <f>IFERROR(__xludf.DUMMYFUNCTION("GOOGLEFINANCE(A712,""LOW"")"),"#N/A")</f>
        <v>#N/A</v>
      </c>
      <c r="F712" s="15" t="str">
        <f t="shared" si="8"/>
        <v>#N/A</v>
      </c>
      <c r="G712" s="16" t="str">
        <f>IFERROR(__xludf.DUMMYFUNCTION("GOOGLEFINANCE(A712,""CLOSEYEST"")"),"#N/A")</f>
        <v>#N/A</v>
      </c>
      <c r="H712" s="17" t="str">
        <f t="shared" si="14"/>
        <v>#N/A</v>
      </c>
      <c r="I712" s="18" t="str">
        <f t="shared" si="9"/>
        <v>#N/A</v>
      </c>
      <c r="J712" s="19" t="str">
        <f t="shared" si="10"/>
        <v>#N/A</v>
      </c>
      <c r="K712" s="19"/>
      <c r="L712" s="19" t="str">
        <f t="shared" si="11"/>
        <v>#N/A</v>
      </c>
      <c r="M712" s="19" t="str">
        <f t="shared" si="12"/>
        <v>#N/A</v>
      </c>
      <c r="N712" s="19" t="str">
        <f t="shared" si="13"/>
        <v>#N/A</v>
      </c>
    </row>
    <row r="713" ht="24.75" customHeight="1">
      <c r="A713" s="21" t="s">
        <v>676</v>
      </c>
      <c r="B713" s="13">
        <f>IFERROR(__xludf.DUMMYFUNCTION("GOOGLEFINANCE(A713,""PRICE"")"),249.4)</f>
        <v>249.4</v>
      </c>
      <c r="C713" s="14">
        <f>IFERROR(__xludf.DUMMYFUNCTION("GOOGLEFINANCE(A713,""PRICEOPEN"")"),245.0)</f>
        <v>245</v>
      </c>
      <c r="D713" s="14">
        <f>IFERROR(__xludf.DUMMYFUNCTION("GOOGLEFINANCE(A713,""HIGH"")"),255.79)</f>
        <v>255.79</v>
      </c>
      <c r="E713" s="14">
        <f>IFERROR(__xludf.DUMMYFUNCTION("GOOGLEFINANCE(A713,""LOW"")"),243.0)</f>
        <v>243</v>
      </c>
      <c r="F713" s="15" t="str">
        <f t="shared" si="8"/>
        <v/>
      </c>
      <c r="G713" s="16">
        <f>IFERROR(__xludf.DUMMYFUNCTION("GOOGLEFINANCE(A713,""CLOSEYEST"")"),243.61)</f>
        <v>243.61</v>
      </c>
      <c r="H713" s="17" t="str">
        <f t="shared" si="14"/>
        <v/>
      </c>
      <c r="I713" s="18">
        <f t="shared" si="9"/>
        <v>247.4666667</v>
      </c>
      <c r="J713" s="19">
        <f t="shared" si="10"/>
        <v>251.9333333</v>
      </c>
      <c r="K713" s="19"/>
      <c r="L713" s="19">
        <f t="shared" si="11"/>
        <v>239.1433333</v>
      </c>
      <c r="M713" s="19">
        <f t="shared" si="12"/>
        <v>260.2566667</v>
      </c>
      <c r="N713" s="19">
        <f t="shared" si="13"/>
        <v>234.6766667</v>
      </c>
    </row>
    <row r="714" ht="24.75" customHeight="1">
      <c r="A714" s="21" t="s">
        <v>677</v>
      </c>
      <c r="B714" s="13">
        <f>IFERROR(__xludf.DUMMYFUNCTION("GOOGLEFINANCE(A714,""PRICE"")"),524.65)</f>
        <v>524.65</v>
      </c>
      <c r="C714" s="14">
        <f>IFERROR(__xludf.DUMMYFUNCTION("GOOGLEFINANCE(A714,""PRICEOPEN"")"),493.3)</f>
        <v>493.3</v>
      </c>
      <c r="D714" s="14">
        <f>IFERROR(__xludf.DUMMYFUNCTION("GOOGLEFINANCE(A714,""HIGH"")"),528.0)</f>
        <v>528</v>
      </c>
      <c r="E714" s="14">
        <f>IFERROR(__xludf.DUMMYFUNCTION("GOOGLEFINANCE(A714,""LOW"")"),489.5)</f>
        <v>489.5</v>
      </c>
      <c r="F714" s="15" t="str">
        <f t="shared" si="8"/>
        <v/>
      </c>
      <c r="G714" s="16">
        <f>IFERROR(__xludf.DUMMYFUNCTION("GOOGLEFINANCE(A714,""CLOSEYEST"")"),492.3)</f>
        <v>492.3</v>
      </c>
      <c r="H714" s="17" t="str">
        <f t="shared" si="14"/>
        <v/>
      </c>
      <c r="I714" s="18">
        <f t="shared" si="9"/>
        <v>503.2666667</v>
      </c>
      <c r="J714" s="19">
        <f t="shared" si="10"/>
        <v>517.0333333</v>
      </c>
      <c r="K714" s="19"/>
      <c r="L714" s="19">
        <f t="shared" si="11"/>
        <v>478.5333333</v>
      </c>
      <c r="M714" s="19">
        <f t="shared" si="12"/>
        <v>541.7666667</v>
      </c>
      <c r="N714" s="19">
        <f t="shared" si="13"/>
        <v>464.7666667</v>
      </c>
    </row>
    <row r="715" ht="24.75" customHeight="1">
      <c r="A715" s="21" t="s">
        <v>678</v>
      </c>
      <c r="B715" s="13">
        <f>IFERROR(__xludf.DUMMYFUNCTION("GOOGLEFINANCE(A715,""PRICE"")"),433.05)</f>
        <v>433.05</v>
      </c>
      <c r="C715" s="14">
        <f>IFERROR(__xludf.DUMMYFUNCTION("GOOGLEFINANCE(A715,""PRICEOPEN"")"),431.5)</f>
        <v>431.5</v>
      </c>
      <c r="D715" s="14">
        <f>IFERROR(__xludf.DUMMYFUNCTION("GOOGLEFINANCE(A715,""HIGH"")"),436.0)</f>
        <v>436</v>
      </c>
      <c r="E715" s="14">
        <f>IFERROR(__xludf.DUMMYFUNCTION("GOOGLEFINANCE(A715,""LOW"")"),428.0)</f>
        <v>428</v>
      </c>
      <c r="F715" s="15" t="str">
        <f t="shared" si="8"/>
        <v/>
      </c>
      <c r="G715" s="16">
        <f>IFERROR(__xludf.DUMMYFUNCTION("GOOGLEFINANCE(A715,""CLOSEYEST"")"),430.7)</f>
        <v>430.7</v>
      </c>
      <c r="H715" s="17" t="str">
        <f t="shared" si="14"/>
        <v/>
      </c>
      <c r="I715" s="18">
        <f t="shared" si="9"/>
        <v>431.5666667</v>
      </c>
      <c r="J715" s="19">
        <f t="shared" si="10"/>
        <v>435.1333333</v>
      </c>
      <c r="K715" s="19"/>
      <c r="L715" s="19">
        <f t="shared" si="11"/>
        <v>427.1333333</v>
      </c>
      <c r="M715" s="19">
        <f t="shared" si="12"/>
        <v>439.5666667</v>
      </c>
      <c r="N715" s="19">
        <f t="shared" si="13"/>
        <v>423.5666667</v>
      </c>
    </row>
    <row r="716" ht="24.75" customHeight="1">
      <c r="A716" s="21" t="s">
        <v>679</v>
      </c>
      <c r="B716" s="13">
        <f>IFERROR(__xludf.DUMMYFUNCTION("GOOGLEFINANCE(A716,""PRICE"")"),262.0)</f>
        <v>262</v>
      </c>
      <c r="C716" s="14">
        <f>IFERROR(__xludf.DUMMYFUNCTION("GOOGLEFINANCE(A716,""PRICEOPEN"")"),252.0)</f>
        <v>252</v>
      </c>
      <c r="D716" s="14">
        <f>IFERROR(__xludf.DUMMYFUNCTION("GOOGLEFINANCE(A716,""HIGH"")"),269.0)</f>
        <v>269</v>
      </c>
      <c r="E716" s="14">
        <f>IFERROR(__xludf.DUMMYFUNCTION("GOOGLEFINANCE(A716,""LOW"")"),252.0)</f>
        <v>252</v>
      </c>
      <c r="F716" s="15" t="str">
        <f t="shared" si="8"/>
        <v>BUY</v>
      </c>
      <c r="G716" s="16">
        <f>IFERROR(__xludf.DUMMYFUNCTION("GOOGLEFINANCE(A716,""CLOSEYEST"")"),253.65)</f>
        <v>253.65</v>
      </c>
      <c r="H716" s="17" t="str">
        <f t="shared" si="14"/>
        <v/>
      </c>
      <c r="I716" s="18">
        <f t="shared" si="9"/>
        <v>258.2166667</v>
      </c>
      <c r="J716" s="19">
        <f t="shared" si="10"/>
        <v>264.4333333</v>
      </c>
      <c r="K716" s="19"/>
      <c r="L716" s="19">
        <f t="shared" si="11"/>
        <v>247.4333333</v>
      </c>
      <c r="M716" s="19">
        <f t="shared" si="12"/>
        <v>275.2166667</v>
      </c>
      <c r="N716" s="19">
        <f t="shared" si="13"/>
        <v>241.2166667</v>
      </c>
    </row>
    <row r="717" ht="24.75" customHeight="1">
      <c r="A717" s="21" t="s">
        <v>680</v>
      </c>
      <c r="B717" s="13">
        <f>IFERROR(__xludf.DUMMYFUNCTION("GOOGLEFINANCE(A717,""PRICE"")"),1.52)</f>
        <v>1.52</v>
      </c>
      <c r="C717" s="14">
        <f>IFERROR(__xludf.DUMMYFUNCTION("GOOGLEFINANCE(A717,""PRICEOPEN"")"),1.51)</f>
        <v>1.51</v>
      </c>
      <c r="D717" s="14">
        <f>IFERROR(__xludf.DUMMYFUNCTION("GOOGLEFINANCE(A717,""HIGH"")"),1.53)</f>
        <v>1.53</v>
      </c>
      <c r="E717" s="14">
        <f>IFERROR(__xludf.DUMMYFUNCTION("GOOGLEFINANCE(A717,""LOW"")"),1.5)</f>
        <v>1.5</v>
      </c>
      <c r="F717" s="15" t="str">
        <f t="shared" si="8"/>
        <v/>
      </c>
      <c r="G717" s="16">
        <f>IFERROR(__xludf.DUMMYFUNCTION("GOOGLEFINANCE(A717,""CLOSEYEST"")"),1.51)</f>
        <v>1.51</v>
      </c>
      <c r="H717" s="17" t="str">
        <f t="shared" si="14"/>
        <v/>
      </c>
      <c r="I717" s="18">
        <f t="shared" si="9"/>
        <v>1.513333333</v>
      </c>
      <c r="J717" s="19">
        <f t="shared" si="10"/>
        <v>1.526666667</v>
      </c>
      <c r="K717" s="19"/>
      <c r="L717" s="19">
        <f t="shared" si="11"/>
        <v>1.496666667</v>
      </c>
      <c r="M717" s="19">
        <f t="shared" si="12"/>
        <v>1.543333333</v>
      </c>
      <c r="N717" s="19">
        <f t="shared" si="13"/>
        <v>1.483333333</v>
      </c>
    </row>
    <row r="718" ht="24.75" customHeight="1">
      <c r="A718" s="21" t="s">
        <v>681</v>
      </c>
      <c r="B718" s="13">
        <f>IFERROR(__xludf.DUMMYFUNCTION("GOOGLEFINANCE(A718,""PRICE"")"),355.65)</f>
        <v>355.65</v>
      </c>
      <c r="C718" s="14">
        <f>IFERROR(__xludf.DUMMYFUNCTION("GOOGLEFINANCE(A718,""PRICEOPEN"")"),351.0)</f>
        <v>351</v>
      </c>
      <c r="D718" s="14">
        <f>IFERROR(__xludf.DUMMYFUNCTION("GOOGLEFINANCE(A718,""HIGH"")"),361.0)</f>
        <v>361</v>
      </c>
      <c r="E718" s="14">
        <f>IFERROR(__xludf.DUMMYFUNCTION("GOOGLEFINANCE(A718,""LOW"")"),350.55)</f>
        <v>350.55</v>
      </c>
      <c r="F718" s="15" t="str">
        <f t="shared" si="8"/>
        <v/>
      </c>
      <c r="G718" s="16">
        <f>IFERROR(__xludf.DUMMYFUNCTION("GOOGLEFINANCE(A718,""CLOSEYEST"")"),351.15)</f>
        <v>351.15</v>
      </c>
      <c r="H718" s="17" t="str">
        <f t="shared" si="14"/>
        <v/>
      </c>
      <c r="I718" s="18">
        <f t="shared" si="9"/>
        <v>354.2333333</v>
      </c>
      <c r="J718" s="19">
        <f t="shared" si="10"/>
        <v>357.9166667</v>
      </c>
      <c r="K718" s="19"/>
      <c r="L718" s="19">
        <f t="shared" si="11"/>
        <v>347.4666667</v>
      </c>
      <c r="M718" s="19">
        <f t="shared" si="12"/>
        <v>364.6833333</v>
      </c>
      <c r="N718" s="19">
        <f t="shared" si="13"/>
        <v>343.7833333</v>
      </c>
    </row>
    <row r="719" ht="24.75" customHeight="1">
      <c r="A719" s="21" t="s">
        <v>682</v>
      </c>
      <c r="B719" s="13">
        <f>IFERROR(__xludf.DUMMYFUNCTION("GOOGLEFINANCE(A719,""PRICE"")"),49.4)</f>
        <v>49.4</v>
      </c>
      <c r="C719" s="14">
        <f>IFERROR(__xludf.DUMMYFUNCTION("GOOGLEFINANCE(A719,""PRICEOPEN"")"),49.0)</f>
        <v>49</v>
      </c>
      <c r="D719" s="14">
        <f>IFERROR(__xludf.DUMMYFUNCTION("GOOGLEFINANCE(A719,""HIGH"")"),49.43)</f>
        <v>49.43</v>
      </c>
      <c r="E719" s="14">
        <f>IFERROR(__xludf.DUMMYFUNCTION("GOOGLEFINANCE(A719,""LOW"")"),48.22)</f>
        <v>48.22</v>
      </c>
      <c r="F719" s="15" t="str">
        <f t="shared" si="8"/>
        <v/>
      </c>
      <c r="G719" s="16">
        <f>IFERROR(__xludf.DUMMYFUNCTION("GOOGLEFINANCE(A719,""CLOSEYEST"")"),48.81)</f>
        <v>48.81</v>
      </c>
      <c r="H719" s="17" t="str">
        <f t="shared" si="14"/>
        <v/>
      </c>
      <c r="I719" s="18">
        <f t="shared" si="9"/>
        <v>48.82</v>
      </c>
      <c r="J719" s="19">
        <f t="shared" si="10"/>
        <v>49.42</v>
      </c>
      <c r="K719" s="19"/>
      <c r="L719" s="19">
        <f t="shared" si="11"/>
        <v>48.21</v>
      </c>
      <c r="M719" s="19">
        <f t="shared" si="12"/>
        <v>50.03</v>
      </c>
      <c r="N719" s="19">
        <f t="shared" si="13"/>
        <v>47.61</v>
      </c>
    </row>
    <row r="720" ht="24.75" customHeight="1">
      <c r="A720" s="21" t="s">
        <v>683</v>
      </c>
      <c r="B720" s="13">
        <f>IFERROR(__xludf.DUMMYFUNCTION("GOOGLEFINANCE(A720,""PRICE"")"),783.0)</f>
        <v>783</v>
      </c>
      <c r="C720" s="14">
        <f>IFERROR(__xludf.DUMMYFUNCTION("GOOGLEFINANCE(A720,""PRICEOPEN"")"),779.75)</f>
        <v>779.75</v>
      </c>
      <c r="D720" s="14">
        <f>IFERROR(__xludf.DUMMYFUNCTION("GOOGLEFINANCE(A720,""HIGH"")"),783.0)</f>
        <v>783</v>
      </c>
      <c r="E720" s="14">
        <f>IFERROR(__xludf.DUMMYFUNCTION("GOOGLEFINANCE(A720,""LOW"")"),771.8)</f>
        <v>771.8</v>
      </c>
      <c r="F720" s="15" t="str">
        <f t="shared" si="8"/>
        <v/>
      </c>
      <c r="G720" s="16">
        <f>IFERROR(__xludf.DUMMYFUNCTION("GOOGLEFINANCE(A720,""CLOSEYEST"")"),779.75)</f>
        <v>779.75</v>
      </c>
      <c r="H720" s="17" t="str">
        <f t="shared" si="14"/>
        <v/>
      </c>
      <c r="I720" s="18">
        <f t="shared" si="9"/>
        <v>778.1833333</v>
      </c>
      <c r="J720" s="19">
        <f t="shared" si="10"/>
        <v>784.5666667</v>
      </c>
      <c r="K720" s="19"/>
      <c r="L720" s="19">
        <f t="shared" si="11"/>
        <v>773.3666667</v>
      </c>
      <c r="M720" s="19">
        <f t="shared" si="12"/>
        <v>789.3833333</v>
      </c>
      <c r="N720" s="19">
        <f t="shared" si="13"/>
        <v>766.9833333</v>
      </c>
    </row>
    <row r="721" ht="24.75" customHeight="1">
      <c r="A721" s="21" t="s">
        <v>684</v>
      </c>
      <c r="B721" s="13" t="str">
        <f>IFERROR(__xludf.DUMMYFUNCTION("GOOGLEFINANCE(A721,""PRICE"")"),"#N/A")</f>
        <v>#N/A</v>
      </c>
      <c r="C721" s="14" t="str">
        <f>IFERROR(__xludf.DUMMYFUNCTION("GOOGLEFINANCE(A721,""PRICEOPEN"")"),"#N/A")</f>
        <v>#N/A</v>
      </c>
      <c r="D721" s="14" t="str">
        <f>IFERROR(__xludf.DUMMYFUNCTION("GOOGLEFINANCE(A721,""HIGH"")"),"#N/A")</f>
        <v>#N/A</v>
      </c>
      <c r="E721" s="14" t="str">
        <f>IFERROR(__xludf.DUMMYFUNCTION("GOOGLEFINANCE(A721,""LOW"")"),"#N/A")</f>
        <v>#N/A</v>
      </c>
      <c r="F721" s="15" t="str">
        <f t="shared" si="8"/>
        <v>#N/A</v>
      </c>
      <c r="G721" s="16" t="str">
        <f>IFERROR(__xludf.DUMMYFUNCTION("GOOGLEFINANCE(A721,""CLOSEYEST"")"),"#N/A")</f>
        <v>#N/A</v>
      </c>
      <c r="H721" s="17" t="str">
        <f t="shared" si="14"/>
        <v>#N/A</v>
      </c>
      <c r="I721" s="18" t="str">
        <f t="shared" si="9"/>
        <v>#N/A</v>
      </c>
      <c r="J721" s="19" t="str">
        <f t="shared" si="10"/>
        <v>#N/A</v>
      </c>
      <c r="K721" s="19"/>
      <c r="L721" s="19" t="str">
        <f t="shared" si="11"/>
        <v>#N/A</v>
      </c>
      <c r="M721" s="19" t="str">
        <f t="shared" si="12"/>
        <v>#N/A</v>
      </c>
      <c r="N721" s="19" t="str">
        <f t="shared" si="13"/>
        <v>#N/A</v>
      </c>
    </row>
    <row r="722" ht="24.75" customHeight="1">
      <c r="A722" s="21" t="s">
        <v>685</v>
      </c>
      <c r="B722" s="13" t="str">
        <f>IFERROR(__xludf.DUMMYFUNCTION("GOOGLEFINANCE(A722,""PRICE"")"),"#N/A")</f>
        <v>#N/A</v>
      </c>
      <c r="C722" s="14" t="str">
        <f>IFERROR(__xludf.DUMMYFUNCTION("GOOGLEFINANCE(A722,""PRICEOPEN"")"),"#N/A")</f>
        <v>#N/A</v>
      </c>
      <c r="D722" s="14" t="str">
        <f>IFERROR(__xludf.DUMMYFUNCTION("GOOGLEFINANCE(A722,""HIGH"")"),"#N/A")</f>
        <v>#N/A</v>
      </c>
      <c r="E722" s="14" t="str">
        <f>IFERROR(__xludf.DUMMYFUNCTION("GOOGLEFINANCE(A722,""LOW"")"),"#N/A")</f>
        <v>#N/A</v>
      </c>
      <c r="F722" s="15" t="str">
        <f t="shared" si="8"/>
        <v>#N/A</v>
      </c>
      <c r="G722" s="16" t="str">
        <f>IFERROR(__xludf.DUMMYFUNCTION("GOOGLEFINANCE(A722,""CLOSEYEST"")"),"#N/A")</f>
        <v>#N/A</v>
      </c>
      <c r="H722" s="17" t="str">
        <f t="shared" si="14"/>
        <v>#N/A</v>
      </c>
      <c r="I722" s="18" t="str">
        <f t="shared" si="9"/>
        <v>#N/A</v>
      </c>
      <c r="J722" s="19" t="str">
        <f t="shared" si="10"/>
        <v>#N/A</v>
      </c>
      <c r="K722" s="19"/>
      <c r="L722" s="19" t="str">
        <f t="shared" si="11"/>
        <v>#N/A</v>
      </c>
      <c r="M722" s="19" t="str">
        <f t="shared" si="12"/>
        <v>#N/A</v>
      </c>
      <c r="N722" s="19" t="str">
        <f t="shared" si="13"/>
        <v>#N/A</v>
      </c>
    </row>
    <row r="723" ht="24.75" customHeight="1">
      <c r="A723" s="21" t="s">
        <v>686</v>
      </c>
      <c r="B723" s="13">
        <f>IFERROR(__xludf.DUMMYFUNCTION("GOOGLEFINANCE(A723,""PRICE"")"),33.91)</f>
        <v>33.91</v>
      </c>
      <c r="C723" s="14">
        <f>IFERROR(__xludf.DUMMYFUNCTION("GOOGLEFINANCE(A723,""PRICEOPEN"")"),33.52)</f>
        <v>33.52</v>
      </c>
      <c r="D723" s="14">
        <f>IFERROR(__xludf.DUMMYFUNCTION("GOOGLEFINANCE(A723,""HIGH"")"),34.23)</f>
        <v>34.23</v>
      </c>
      <c r="E723" s="14">
        <f>IFERROR(__xludf.DUMMYFUNCTION("GOOGLEFINANCE(A723,""LOW"")"),32.61)</f>
        <v>32.61</v>
      </c>
      <c r="F723" s="15" t="str">
        <f t="shared" si="8"/>
        <v/>
      </c>
      <c r="G723" s="16">
        <f>IFERROR(__xludf.DUMMYFUNCTION("GOOGLEFINANCE(A723,""CLOSEYEST"")"),33.52)</f>
        <v>33.52</v>
      </c>
      <c r="H723" s="17" t="str">
        <f t="shared" si="14"/>
        <v/>
      </c>
      <c r="I723" s="18">
        <f t="shared" si="9"/>
        <v>33.45333333</v>
      </c>
      <c r="J723" s="19">
        <f t="shared" si="10"/>
        <v>34.29666667</v>
      </c>
      <c r="K723" s="19"/>
      <c r="L723" s="19">
        <f t="shared" si="11"/>
        <v>32.67666667</v>
      </c>
      <c r="M723" s="19">
        <f t="shared" si="12"/>
        <v>35.07333333</v>
      </c>
      <c r="N723" s="19">
        <f t="shared" si="13"/>
        <v>31.83333333</v>
      </c>
    </row>
    <row r="724" ht="24.75" customHeight="1">
      <c r="A724" s="21" t="s">
        <v>687</v>
      </c>
      <c r="B724" s="13">
        <f>IFERROR(__xludf.DUMMYFUNCTION("GOOGLEFINANCE(A724,""PRICE"")"),149.9)</f>
        <v>149.9</v>
      </c>
      <c r="C724" s="14">
        <f>IFERROR(__xludf.DUMMYFUNCTION("GOOGLEFINANCE(A724,""PRICEOPEN"")"),148.07)</f>
        <v>148.07</v>
      </c>
      <c r="D724" s="14">
        <f>IFERROR(__xludf.DUMMYFUNCTION("GOOGLEFINANCE(A724,""HIGH"")"),149.9)</f>
        <v>149.9</v>
      </c>
      <c r="E724" s="14">
        <f>IFERROR(__xludf.DUMMYFUNCTION("GOOGLEFINANCE(A724,""LOW"")"),148.0)</f>
        <v>148</v>
      </c>
      <c r="F724" s="15" t="str">
        <f t="shared" si="8"/>
        <v/>
      </c>
      <c r="G724" s="16">
        <f>IFERROR(__xludf.DUMMYFUNCTION("GOOGLEFINANCE(A724,""CLOSEYEST"")"),149.39)</f>
        <v>149.39</v>
      </c>
      <c r="H724" s="17" t="str">
        <f t="shared" si="14"/>
        <v/>
      </c>
      <c r="I724" s="18">
        <f t="shared" si="9"/>
        <v>149.0966667</v>
      </c>
      <c r="J724" s="19">
        <f t="shared" si="10"/>
        <v>150.1933333</v>
      </c>
      <c r="K724" s="19"/>
      <c r="L724" s="19">
        <f t="shared" si="11"/>
        <v>148.2933333</v>
      </c>
      <c r="M724" s="19">
        <f t="shared" si="12"/>
        <v>150.9966667</v>
      </c>
      <c r="N724" s="19">
        <f t="shared" si="13"/>
        <v>147.1966667</v>
      </c>
    </row>
    <row r="725" ht="24.75" customHeight="1">
      <c r="A725" s="21" t="s">
        <v>688</v>
      </c>
      <c r="B725" s="13">
        <f>IFERROR(__xludf.DUMMYFUNCTION("GOOGLEFINANCE(A725,""PRICE"")"),751.0)</f>
        <v>751</v>
      </c>
      <c r="C725" s="14">
        <f>IFERROR(__xludf.DUMMYFUNCTION("GOOGLEFINANCE(A725,""PRICEOPEN"")"),754.2)</f>
        <v>754.2</v>
      </c>
      <c r="D725" s="14">
        <f>IFERROR(__xludf.DUMMYFUNCTION("GOOGLEFINANCE(A725,""HIGH"")"),757.5)</f>
        <v>757.5</v>
      </c>
      <c r="E725" s="14">
        <f>IFERROR(__xludf.DUMMYFUNCTION("GOOGLEFINANCE(A725,""LOW"")"),736.0)</f>
        <v>736</v>
      </c>
      <c r="F725" s="15" t="str">
        <f t="shared" si="8"/>
        <v/>
      </c>
      <c r="G725" s="16">
        <f>IFERROR(__xludf.DUMMYFUNCTION("GOOGLEFINANCE(A725,""CLOSEYEST"")"),754.2)</f>
        <v>754.2</v>
      </c>
      <c r="H725" s="17" t="str">
        <f t="shared" si="14"/>
        <v/>
      </c>
      <c r="I725" s="18">
        <f t="shared" si="9"/>
        <v>749.2333333</v>
      </c>
      <c r="J725" s="19">
        <f t="shared" si="10"/>
        <v>762.4666667</v>
      </c>
      <c r="K725" s="19"/>
      <c r="L725" s="19">
        <f t="shared" si="11"/>
        <v>740.9666667</v>
      </c>
      <c r="M725" s="19">
        <f t="shared" si="12"/>
        <v>770.7333333</v>
      </c>
      <c r="N725" s="19">
        <f t="shared" si="13"/>
        <v>727.7333333</v>
      </c>
    </row>
    <row r="726" ht="24.75" customHeight="1">
      <c r="A726" s="21" t="s">
        <v>689</v>
      </c>
      <c r="B726" s="13">
        <f>IFERROR(__xludf.DUMMYFUNCTION("GOOGLEFINANCE(A726,""PRICE"")"),5480.0)</f>
        <v>5480</v>
      </c>
      <c r="C726" s="14">
        <f>IFERROR(__xludf.DUMMYFUNCTION("GOOGLEFINANCE(A726,""PRICEOPEN"")"),5259.0)</f>
        <v>5259</v>
      </c>
      <c r="D726" s="14">
        <f>IFERROR(__xludf.DUMMYFUNCTION("GOOGLEFINANCE(A726,""HIGH"")"),5510.5)</f>
        <v>5510.5</v>
      </c>
      <c r="E726" s="14">
        <f>IFERROR(__xludf.DUMMYFUNCTION("GOOGLEFINANCE(A726,""LOW"")"),5226.0)</f>
        <v>5226</v>
      </c>
      <c r="F726" s="15" t="str">
        <f t="shared" si="8"/>
        <v/>
      </c>
      <c r="G726" s="16">
        <f>IFERROR(__xludf.DUMMYFUNCTION("GOOGLEFINANCE(A726,""CLOSEYEST"")"),5259.0)</f>
        <v>5259</v>
      </c>
      <c r="H726" s="17" t="str">
        <f t="shared" si="14"/>
        <v/>
      </c>
      <c r="I726" s="18">
        <f t="shared" si="9"/>
        <v>5331.833333</v>
      </c>
      <c r="J726" s="19">
        <f t="shared" si="10"/>
        <v>5437.666667</v>
      </c>
      <c r="K726" s="19"/>
      <c r="L726" s="19">
        <f t="shared" si="11"/>
        <v>5153.166667</v>
      </c>
      <c r="M726" s="19">
        <f t="shared" si="12"/>
        <v>5616.333333</v>
      </c>
      <c r="N726" s="19">
        <f t="shared" si="13"/>
        <v>5047.333333</v>
      </c>
    </row>
    <row r="727" ht="24.75" customHeight="1">
      <c r="A727" s="21" t="s">
        <v>690</v>
      </c>
      <c r="B727" s="13">
        <f>IFERROR(__xludf.DUMMYFUNCTION("GOOGLEFINANCE(A727,""PRICE"")"),765.0)</f>
        <v>765</v>
      </c>
      <c r="C727" s="14">
        <f>IFERROR(__xludf.DUMMYFUNCTION("GOOGLEFINANCE(A727,""PRICEOPEN"")"),783.0)</f>
        <v>783</v>
      </c>
      <c r="D727" s="14">
        <f>IFERROR(__xludf.DUMMYFUNCTION("GOOGLEFINANCE(A727,""HIGH"")"),783.0)</f>
        <v>783</v>
      </c>
      <c r="E727" s="14">
        <f>IFERROR(__xludf.DUMMYFUNCTION("GOOGLEFINANCE(A727,""LOW"")"),755.0)</f>
        <v>755</v>
      </c>
      <c r="F727" s="15" t="str">
        <f t="shared" si="8"/>
        <v>SELL</v>
      </c>
      <c r="G727" s="16">
        <f>IFERROR(__xludf.DUMMYFUNCTION("GOOGLEFINANCE(A727,""CLOSEYEST"")"),772.55)</f>
        <v>772.55</v>
      </c>
      <c r="H727" s="17" t="str">
        <f t="shared" si="14"/>
        <v>GAP UP</v>
      </c>
      <c r="I727" s="18">
        <f t="shared" si="9"/>
        <v>770.1833333</v>
      </c>
      <c r="J727" s="19">
        <f t="shared" si="10"/>
        <v>785.3666667</v>
      </c>
      <c r="K727" s="19"/>
      <c r="L727" s="19">
        <f t="shared" si="11"/>
        <v>757.3666667</v>
      </c>
      <c r="M727" s="19">
        <f t="shared" si="12"/>
        <v>798.1833333</v>
      </c>
      <c r="N727" s="19">
        <f t="shared" si="13"/>
        <v>742.1833333</v>
      </c>
    </row>
    <row r="728" ht="24.75" customHeight="1">
      <c r="A728" s="21" t="s">
        <v>691</v>
      </c>
      <c r="B728" s="13">
        <f>IFERROR(__xludf.DUMMYFUNCTION("GOOGLEFINANCE(A728,""PRICE"")"),1068.5)</f>
        <v>1068.5</v>
      </c>
      <c r="C728" s="14">
        <f>IFERROR(__xludf.DUMMYFUNCTION("GOOGLEFINANCE(A728,""PRICEOPEN"")"),1095.0)</f>
        <v>1095</v>
      </c>
      <c r="D728" s="14">
        <f>IFERROR(__xludf.DUMMYFUNCTION("GOOGLEFINANCE(A728,""HIGH"")"),1100.0)</f>
        <v>1100</v>
      </c>
      <c r="E728" s="14">
        <f>IFERROR(__xludf.DUMMYFUNCTION("GOOGLEFINANCE(A728,""LOW"")"),1041.6)</f>
        <v>1041.6</v>
      </c>
      <c r="F728" s="15" t="str">
        <f t="shared" si="8"/>
        <v/>
      </c>
      <c r="G728" s="16">
        <f>IFERROR(__xludf.DUMMYFUNCTION("GOOGLEFINANCE(A728,""CLOSEYEST"")"),1090.7)</f>
        <v>1090.7</v>
      </c>
      <c r="H728" s="17" t="str">
        <f t="shared" si="14"/>
        <v/>
      </c>
      <c r="I728" s="18">
        <f t="shared" si="9"/>
        <v>1077.433333</v>
      </c>
      <c r="J728" s="19">
        <f t="shared" si="10"/>
        <v>1113.266667</v>
      </c>
      <c r="K728" s="19"/>
      <c r="L728" s="19">
        <f t="shared" si="11"/>
        <v>1054.866667</v>
      </c>
      <c r="M728" s="19">
        <f t="shared" si="12"/>
        <v>1135.833333</v>
      </c>
      <c r="N728" s="19">
        <f t="shared" si="13"/>
        <v>1019.033333</v>
      </c>
    </row>
    <row r="729" ht="24.75" customHeight="1">
      <c r="A729" s="21" t="s">
        <v>692</v>
      </c>
      <c r="B729" s="13">
        <f>IFERROR(__xludf.DUMMYFUNCTION("GOOGLEFINANCE(A729,""PRICE"")"),1766.0)</f>
        <v>1766</v>
      </c>
      <c r="C729" s="14">
        <f>IFERROR(__xludf.DUMMYFUNCTION("GOOGLEFINANCE(A729,""PRICEOPEN"")"),1762.4)</f>
        <v>1762.4</v>
      </c>
      <c r="D729" s="14">
        <f>IFERROR(__xludf.DUMMYFUNCTION("GOOGLEFINANCE(A729,""HIGH"")"),1781.9)</f>
        <v>1781.9</v>
      </c>
      <c r="E729" s="14">
        <f>IFERROR(__xludf.DUMMYFUNCTION("GOOGLEFINANCE(A729,""LOW"")"),1746.3)</f>
        <v>1746.3</v>
      </c>
      <c r="F729" s="15" t="str">
        <f t="shared" si="8"/>
        <v/>
      </c>
      <c r="G729" s="16">
        <f>IFERROR(__xludf.DUMMYFUNCTION("GOOGLEFINANCE(A729,""CLOSEYEST"")"),1753.4)</f>
        <v>1753.4</v>
      </c>
      <c r="H729" s="17" t="str">
        <f t="shared" si="14"/>
        <v/>
      </c>
      <c r="I729" s="18">
        <f t="shared" si="9"/>
        <v>1760.533333</v>
      </c>
      <c r="J729" s="19">
        <f t="shared" si="10"/>
        <v>1774.766667</v>
      </c>
      <c r="K729" s="19"/>
      <c r="L729" s="19">
        <f t="shared" si="11"/>
        <v>1739.166667</v>
      </c>
      <c r="M729" s="19">
        <f t="shared" si="12"/>
        <v>1796.133333</v>
      </c>
      <c r="N729" s="19">
        <f t="shared" si="13"/>
        <v>1724.933333</v>
      </c>
    </row>
    <row r="730" ht="24.75" customHeight="1">
      <c r="A730" s="21" t="s">
        <v>693</v>
      </c>
      <c r="B730" s="13">
        <f>IFERROR(__xludf.DUMMYFUNCTION("GOOGLEFINANCE(A730,""PRICE"")"),64.17)</f>
        <v>64.17</v>
      </c>
      <c r="C730" s="14">
        <f>IFERROR(__xludf.DUMMYFUNCTION("GOOGLEFINANCE(A730,""PRICEOPEN"")"),65.11)</f>
        <v>65.11</v>
      </c>
      <c r="D730" s="14">
        <f>IFERROR(__xludf.DUMMYFUNCTION("GOOGLEFINANCE(A730,""HIGH"")"),65.97)</f>
        <v>65.97</v>
      </c>
      <c r="E730" s="14">
        <f>IFERROR(__xludf.DUMMYFUNCTION("GOOGLEFINANCE(A730,""LOW"")"),63.31)</f>
        <v>63.31</v>
      </c>
      <c r="F730" s="15" t="str">
        <f t="shared" si="8"/>
        <v/>
      </c>
      <c r="G730" s="16">
        <f>IFERROR(__xludf.DUMMYFUNCTION("GOOGLEFINANCE(A730,""CLOSEYEST"")"),64.61)</f>
        <v>64.61</v>
      </c>
      <c r="H730" s="17" t="str">
        <f t="shared" si="14"/>
        <v/>
      </c>
      <c r="I730" s="18">
        <f t="shared" si="9"/>
        <v>64.63</v>
      </c>
      <c r="J730" s="19">
        <f t="shared" si="10"/>
        <v>65.95</v>
      </c>
      <c r="K730" s="19"/>
      <c r="L730" s="19">
        <f t="shared" si="11"/>
        <v>63.29</v>
      </c>
      <c r="M730" s="19">
        <f t="shared" si="12"/>
        <v>67.29</v>
      </c>
      <c r="N730" s="19">
        <f t="shared" si="13"/>
        <v>61.97</v>
      </c>
    </row>
    <row r="731" ht="24.75" customHeight="1">
      <c r="A731" s="21" t="s">
        <v>694</v>
      </c>
      <c r="B731" s="13">
        <f>IFERROR(__xludf.DUMMYFUNCTION("GOOGLEFINANCE(A731,""PRICE"")"),147.43)</f>
        <v>147.43</v>
      </c>
      <c r="C731" s="14">
        <f>IFERROR(__xludf.DUMMYFUNCTION("GOOGLEFINANCE(A731,""PRICEOPEN"")"),145.78)</f>
        <v>145.78</v>
      </c>
      <c r="D731" s="14">
        <f>IFERROR(__xludf.DUMMYFUNCTION("GOOGLEFINANCE(A731,""HIGH"")"),148.39)</f>
        <v>148.39</v>
      </c>
      <c r="E731" s="14">
        <f>IFERROR(__xludf.DUMMYFUNCTION("GOOGLEFINANCE(A731,""LOW"")"),144.38)</f>
        <v>144.38</v>
      </c>
      <c r="F731" s="15" t="str">
        <f t="shared" si="8"/>
        <v/>
      </c>
      <c r="G731" s="16">
        <f>IFERROR(__xludf.DUMMYFUNCTION("GOOGLEFINANCE(A731,""CLOSEYEST"")"),144.97)</f>
        <v>144.97</v>
      </c>
      <c r="H731" s="17" t="str">
        <f t="shared" si="14"/>
        <v/>
      </c>
      <c r="I731" s="18">
        <f t="shared" si="9"/>
        <v>145.9133333</v>
      </c>
      <c r="J731" s="19">
        <f t="shared" si="10"/>
        <v>147.4466667</v>
      </c>
      <c r="K731" s="19"/>
      <c r="L731" s="19">
        <f t="shared" si="11"/>
        <v>143.4366667</v>
      </c>
      <c r="M731" s="19">
        <f t="shared" si="12"/>
        <v>149.9233333</v>
      </c>
      <c r="N731" s="19">
        <f t="shared" si="13"/>
        <v>141.9033333</v>
      </c>
    </row>
    <row r="732" ht="24.75" customHeight="1">
      <c r="A732" s="21" t="s">
        <v>695</v>
      </c>
      <c r="B732" s="13">
        <f>IFERROR(__xludf.DUMMYFUNCTION("GOOGLEFINANCE(A732,""PRICE"")"),374.55)</f>
        <v>374.55</v>
      </c>
      <c r="C732" s="14">
        <f>IFERROR(__xludf.DUMMYFUNCTION("GOOGLEFINANCE(A732,""PRICEOPEN"")"),373.0)</f>
        <v>373</v>
      </c>
      <c r="D732" s="14">
        <f>IFERROR(__xludf.DUMMYFUNCTION("GOOGLEFINANCE(A732,""HIGH"")"),378.3)</f>
        <v>378.3</v>
      </c>
      <c r="E732" s="14">
        <f>IFERROR(__xludf.DUMMYFUNCTION("GOOGLEFINANCE(A732,""LOW"")"),367.0)</f>
        <v>367</v>
      </c>
      <c r="F732" s="15" t="str">
        <f t="shared" si="8"/>
        <v/>
      </c>
      <c r="G732" s="16">
        <f>IFERROR(__xludf.DUMMYFUNCTION("GOOGLEFINANCE(A732,""CLOSEYEST"")"),367.5)</f>
        <v>367.5</v>
      </c>
      <c r="H732" s="17" t="str">
        <f t="shared" si="14"/>
        <v>GAP UP</v>
      </c>
      <c r="I732" s="18">
        <f t="shared" si="9"/>
        <v>370.9333333</v>
      </c>
      <c r="J732" s="19">
        <f t="shared" si="10"/>
        <v>374.8666667</v>
      </c>
      <c r="K732" s="19"/>
      <c r="L732" s="19">
        <f t="shared" si="11"/>
        <v>363.5666667</v>
      </c>
      <c r="M732" s="19">
        <f t="shared" si="12"/>
        <v>382.2333333</v>
      </c>
      <c r="N732" s="19">
        <f t="shared" si="13"/>
        <v>359.6333333</v>
      </c>
    </row>
    <row r="733" ht="24.75" customHeight="1">
      <c r="A733" s="21" t="s">
        <v>696</v>
      </c>
      <c r="B733" s="13" t="str">
        <f>IFERROR(__xludf.DUMMYFUNCTION("GOOGLEFINANCE(A733,""PRICE"")"),"#N/A")</f>
        <v>#N/A</v>
      </c>
      <c r="C733" s="14" t="str">
        <f>IFERROR(__xludf.DUMMYFUNCTION("GOOGLEFINANCE(A733,""PRICEOPEN"")"),"#N/A")</f>
        <v>#N/A</v>
      </c>
      <c r="D733" s="14" t="str">
        <f>IFERROR(__xludf.DUMMYFUNCTION("GOOGLEFINANCE(A733,""HIGH"")"),"#N/A")</f>
        <v>#N/A</v>
      </c>
      <c r="E733" s="14" t="str">
        <f>IFERROR(__xludf.DUMMYFUNCTION("GOOGLEFINANCE(A733,""LOW"")"),"#N/A")</f>
        <v>#N/A</v>
      </c>
      <c r="F733" s="15" t="str">
        <f t="shared" si="8"/>
        <v>#N/A</v>
      </c>
      <c r="G733" s="16" t="str">
        <f>IFERROR(__xludf.DUMMYFUNCTION("GOOGLEFINANCE(A733,""CLOSEYEST"")"),"#N/A")</f>
        <v>#N/A</v>
      </c>
      <c r="H733" s="17" t="str">
        <f t="shared" si="14"/>
        <v>#N/A</v>
      </c>
      <c r="I733" s="18" t="str">
        <f t="shared" si="9"/>
        <v>#N/A</v>
      </c>
      <c r="J733" s="19" t="str">
        <f t="shared" si="10"/>
        <v>#N/A</v>
      </c>
      <c r="K733" s="19"/>
      <c r="L733" s="19" t="str">
        <f t="shared" si="11"/>
        <v>#N/A</v>
      </c>
      <c r="M733" s="19" t="str">
        <f t="shared" si="12"/>
        <v>#N/A</v>
      </c>
      <c r="N733" s="19" t="str">
        <f t="shared" si="13"/>
        <v>#N/A</v>
      </c>
    </row>
    <row r="734" ht="24.75" customHeight="1">
      <c r="A734" s="21" t="s">
        <v>697</v>
      </c>
      <c r="B734" s="13">
        <f>IFERROR(__xludf.DUMMYFUNCTION("GOOGLEFINANCE(A734,""PRICE"")"),507.9)</f>
        <v>507.9</v>
      </c>
      <c r="C734" s="14">
        <f>IFERROR(__xludf.DUMMYFUNCTION("GOOGLEFINANCE(A734,""PRICEOPEN"")"),505.1)</f>
        <v>505.1</v>
      </c>
      <c r="D734" s="14">
        <f>IFERROR(__xludf.DUMMYFUNCTION("GOOGLEFINANCE(A734,""HIGH"")"),509.9)</f>
        <v>509.9</v>
      </c>
      <c r="E734" s="14">
        <f>IFERROR(__xludf.DUMMYFUNCTION("GOOGLEFINANCE(A734,""LOW"")"),503.25)</f>
        <v>503.25</v>
      </c>
      <c r="F734" s="15" t="str">
        <f t="shared" si="8"/>
        <v/>
      </c>
      <c r="G734" s="16">
        <f>IFERROR(__xludf.DUMMYFUNCTION("GOOGLEFINANCE(A734,""CLOSEYEST"")"),507.2)</f>
        <v>507.2</v>
      </c>
      <c r="H734" s="17" t="str">
        <f t="shared" si="14"/>
        <v/>
      </c>
      <c r="I734" s="18">
        <f t="shared" si="9"/>
        <v>506.7833333</v>
      </c>
      <c r="J734" s="19">
        <f t="shared" si="10"/>
        <v>510.3166667</v>
      </c>
      <c r="K734" s="19"/>
      <c r="L734" s="19">
        <f t="shared" si="11"/>
        <v>503.6666667</v>
      </c>
      <c r="M734" s="19">
        <f t="shared" si="12"/>
        <v>513.4333333</v>
      </c>
      <c r="N734" s="19">
        <f t="shared" si="13"/>
        <v>500.1333333</v>
      </c>
    </row>
    <row r="735" ht="24.75" customHeight="1">
      <c r="A735" s="21" t="s">
        <v>698</v>
      </c>
      <c r="B735" s="13">
        <f>IFERROR(__xludf.DUMMYFUNCTION("GOOGLEFINANCE(A735,""PRICE"")"),177.44)</f>
        <v>177.44</v>
      </c>
      <c r="C735" s="14">
        <f>IFERROR(__xludf.DUMMYFUNCTION("GOOGLEFINANCE(A735,""PRICEOPEN"")"),170.8)</f>
        <v>170.8</v>
      </c>
      <c r="D735" s="14">
        <f>IFERROR(__xludf.DUMMYFUNCTION("GOOGLEFINANCE(A735,""HIGH"")"),178.5)</f>
        <v>178.5</v>
      </c>
      <c r="E735" s="14">
        <f>IFERROR(__xludf.DUMMYFUNCTION("GOOGLEFINANCE(A735,""LOW"")"),169.71)</f>
        <v>169.71</v>
      </c>
      <c r="F735" s="15" t="str">
        <f t="shared" si="8"/>
        <v/>
      </c>
      <c r="G735" s="16">
        <f>IFERROR(__xludf.DUMMYFUNCTION("GOOGLEFINANCE(A735,""CLOSEYEST"")"),170.51)</f>
        <v>170.51</v>
      </c>
      <c r="H735" s="17" t="str">
        <f t="shared" si="14"/>
        <v/>
      </c>
      <c r="I735" s="18">
        <f t="shared" si="9"/>
        <v>172.9066667</v>
      </c>
      <c r="J735" s="19">
        <f t="shared" si="10"/>
        <v>176.1033333</v>
      </c>
      <c r="K735" s="19"/>
      <c r="L735" s="19">
        <f t="shared" si="11"/>
        <v>167.3133333</v>
      </c>
      <c r="M735" s="19">
        <f t="shared" si="12"/>
        <v>181.6966667</v>
      </c>
      <c r="N735" s="19">
        <f t="shared" si="13"/>
        <v>164.1166667</v>
      </c>
    </row>
    <row r="736" ht="24.75" customHeight="1">
      <c r="A736" s="21" t="s">
        <v>699</v>
      </c>
      <c r="B736" s="13">
        <f>IFERROR(__xludf.DUMMYFUNCTION("GOOGLEFINANCE(A736,""PRICE"")"),53.23)</f>
        <v>53.23</v>
      </c>
      <c r="C736" s="14">
        <f>IFERROR(__xludf.DUMMYFUNCTION("GOOGLEFINANCE(A736,""PRICEOPEN"")"),52.24)</f>
        <v>52.24</v>
      </c>
      <c r="D736" s="14">
        <f>IFERROR(__xludf.DUMMYFUNCTION("GOOGLEFINANCE(A736,""HIGH"")"),53.54)</f>
        <v>53.54</v>
      </c>
      <c r="E736" s="14">
        <f>IFERROR(__xludf.DUMMYFUNCTION("GOOGLEFINANCE(A736,""LOW"")"),52.02)</f>
        <v>52.02</v>
      </c>
      <c r="F736" s="15" t="str">
        <f t="shared" si="8"/>
        <v/>
      </c>
      <c r="G736" s="16">
        <f>IFERROR(__xludf.DUMMYFUNCTION("GOOGLEFINANCE(A736,""CLOSEYEST"")"),52.06)</f>
        <v>52.06</v>
      </c>
      <c r="H736" s="17" t="str">
        <f t="shared" si="14"/>
        <v/>
      </c>
      <c r="I736" s="18">
        <f t="shared" si="9"/>
        <v>52.54</v>
      </c>
      <c r="J736" s="19">
        <f t="shared" si="10"/>
        <v>53.06</v>
      </c>
      <c r="K736" s="19"/>
      <c r="L736" s="19">
        <f t="shared" si="11"/>
        <v>51.54</v>
      </c>
      <c r="M736" s="19">
        <f t="shared" si="12"/>
        <v>54.06</v>
      </c>
      <c r="N736" s="19">
        <f t="shared" si="13"/>
        <v>51.02</v>
      </c>
    </row>
    <row r="737" ht="24.75" customHeight="1">
      <c r="A737" s="21" t="s">
        <v>700</v>
      </c>
      <c r="B737" s="13">
        <f>IFERROR(__xludf.DUMMYFUNCTION("GOOGLEFINANCE(A737,""PRICE"")"),347.5)</f>
        <v>347.5</v>
      </c>
      <c r="C737" s="14">
        <f>IFERROR(__xludf.DUMMYFUNCTION("GOOGLEFINANCE(A737,""PRICEOPEN"")"),343.8)</f>
        <v>343.8</v>
      </c>
      <c r="D737" s="14">
        <f>IFERROR(__xludf.DUMMYFUNCTION("GOOGLEFINANCE(A737,""HIGH"")"),349.0)</f>
        <v>349</v>
      </c>
      <c r="E737" s="14">
        <f>IFERROR(__xludf.DUMMYFUNCTION("GOOGLEFINANCE(A737,""LOW"")"),336.55)</f>
        <v>336.55</v>
      </c>
      <c r="F737" s="15" t="str">
        <f t="shared" si="8"/>
        <v/>
      </c>
      <c r="G737" s="16">
        <f>IFERROR(__xludf.DUMMYFUNCTION("GOOGLEFINANCE(A737,""CLOSEYEST"")"),342.9)</f>
        <v>342.9</v>
      </c>
      <c r="H737" s="17" t="str">
        <f t="shared" si="14"/>
        <v/>
      </c>
      <c r="I737" s="18">
        <f t="shared" si="9"/>
        <v>342.8166667</v>
      </c>
      <c r="J737" s="19">
        <f t="shared" si="10"/>
        <v>349.0833333</v>
      </c>
      <c r="K737" s="19"/>
      <c r="L737" s="19">
        <f t="shared" si="11"/>
        <v>336.6333333</v>
      </c>
      <c r="M737" s="19">
        <f t="shared" si="12"/>
        <v>355.2666667</v>
      </c>
      <c r="N737" s="19">
        <f t="shared" si="13"/>
        <v>330.3666667</v>
      </c>
    </row>
    <row r="738" ht="24.75" customHeight="1">
      <c r="A738" s="21" t="s">
        <v>701</v>
      </c>
      <c r="B738" s="13">
        <f>IFERROR(__xludf.DUMMYFUNCTION("GOOGLEFINANCE(A738,""PRICE"")"),719.75)</f>
        <v>719.75</v>
      </c>
      <c r="C738" s="14">
        <f>IFERROR(__xludf.DUMMYFUNCTION("GOOGLEFINANCE(A738,""PRICEOPEN"")"),701.0)</f>
        <v>701</v>
      </c>
      <c r="D738" s="14">
        <f>IFERROR(__xludf.DUMMYFUNCTION("GOOGLEFINANCE(A738,""HIGH"")"),731.7)</f>
        <v>731.7</v>
      </c>
      <c r="E738" s="14">
        <f>IFERROR(__xludf.DUMMYFUNCTION("GOOGLEFINANCE(A738,""LOW"")"),699.25)</f>
        <v>699.25</v>
      </c>
      <c r="F738" s="15" t="str">
        <f t="shared" si="8"/>
        <v/>
      </c>
      <c r="G738" s="16">
        <f>IFERROR(__xludf.DUMMYFUNCTION("GOOGLEFINANCE(A738,""CLOSEYEST"")"),699.05)</f>
        <v>699.05</v>
      </c>
      <c r="H738" s="17" t="str">
        <f t="shared" si="14"/>
        <v/>
      </c>
      <c r="I738" s="18">
        <f t="shared" si="9"/>
        <v>710</v>
      </c>
      <c r="J738" s="19">
        <f t="shared" si="10"/>
        <v>720.75</v>
      </c>
      <c r="K738" s="19"/>
      <c r="L738" s="19">
        <f t="shared" si="11"/>
        <v>688.3</v>
      </c>
      <c r="M738" s="19">
        <f t="shared" si="12"/>
        <v>742.45</v>
      </c>
      <c r="N738" s="19">
        <f t="shared" si="13"/>
        <v>677.55</v>
      </c>
    </row>
    <row r="739" ht="24.75" customHeight="1">
      <c r="A739" s="21" t="s">
        <v>702</v>
      </c>
      <c r="B739" s="13">
        <f>IFERROR(__xludf.DUMMYFUNCTION("GOOGLEFINANCE(A739,""PRICE"")"),350.0)</f>
        <v>350</v>
      </c>
      <c r="C739" s="14">
        <f>IFERROR(__xludf.DUMMYFUNCTION("GOOGLEFINANCE(A739,""PRICEOPEN"")"),345.0)</f>
        <v>345</v>
      </c>
      <c r="D739" s="14">
        <f>IFERROR(__xludf.DUMMYFUNCTION("GOOGLEFINANCE(A739,""HIGH"")"),357.9)</f>
        <v>357.9</v>
      </c>
      <c r="E739" s="14">
        <f>IFERROR(__xludf.DUMMYFUNCTION("GOOGLEFINANCE(A739,""LOW"")"),342.75)</f>
        <v>342.75</v>
      </c>
      <c r="F739" s="15" t="str">
        <f t="shared" si="8"/>
        <v/>
      </c>
      <c r="G739" s="16">
        <f>IFERROR(__xludf.DUMMYFUNCTION("GOOGLEFINANCE(A739,""CLOSEYEST"")"),343.2)</f>
        <v>343.2</v>
      </c>
      <c r="H739" s="17" t="str">
        <f t="shared" si="14"/>
        <v/>
      </c>
      <c r="I739" s="18">
        <f t="shared" si="9"/>
        <v>347.95</v>
      </c>
      <c r="J739" s="19">
        <f t="shared" si="10"/>
        <v>353.15</v>
      </c>
      <c r="K739" s="19"/>
      <c r="L739" s="19">
        <f t="shared" si="11"/>
        <v>338</v>
      </c>
      <c r="M739" s="19">
        <f t="shared" si="12"/>
        <v>363.1</v>
      </c>
      <c r="N739" s="19">
        <f t="shared" si="13"/>
        <v>332.8</v>
      </c>
    </row>
    <row r="740" ht="24.75" customHeight="1">
      <c r="A740" s="21" t="s">
        <v>703</v>
      </c>
      <c r="B740" s="13">
        <f>IFERROR(__xludf.DUMMYFUNCTION("GOOGLEFINANCE(A740,""PRICE"")"),381.0)</f>
        <v>381</v>
      </c>
      <c r="C740" s="14">
        <f>IFERROR(__xludf.DUMMYFUNCTION("GOOGLEFINANCE(A740,""PRICEOPEN"")"),382.0)</f>
        <v>382</v>
      </c>
      <c r="D740" s="14">
        <f>IFERROR(__xludf.DUMMYFUNCTION("GOOGLEFINANCE(A740,""HIGH"")"),387.25)</f>
        <v>387.25</v>
      </c>
      <c r="E740" s="14">
        <f>IFERROR(__xludf.DUMMYFUNCTION("GOOGLEFINANCE(A740,""LOW"")"),376.65)</f>
        <v>376.65</v>
      </c>
      <c r="F740" s="15" t="str">
        <f t="shared" si="8"/>
        <v/>
      </c>
      <c r="G740" s="16">
        <f>IFERROR(__xludf.DUMMYFUNCTION("GOOGLEFINANCE(A740,""CLOSEYEST"")"),381.3)</f>
        <v>381.3</v>
      </c>
      <c r="H740" s="17" t="str">
        <f t="shared" si="14"/>
        <v/>
      </c>
      <c r="I740" s="18">
        <f t="shared" si="9"/>
        <v>381.7333333</v>
      </c>
      <c r="J740" s="19">
        <f t="shared" si="10"/>
        <v>386.8166667</v>
      </c>
      <c r="K740" s="19"/>
      <c r="L740" s="19">
        <f t="shared" si="11"/>
        <v>376.2166667</v>
      </c>
      <c r="M740" s="19">
        <f t="shared" si="12"/>
        <v>392.3333333</v>
      </c>
      <c r="N740" s="19">
        <f t="shared" si="13"/>
        <v>371.1333333</v>
      </c>
    </row>
    <row r="741" ht="24.75" customHeight="1">
      <c r="A741" s="21" t="s">
        <v>704</v>
      </c>
      <c r="B741" s="13">
        <f>IFERROR(__xludf.DUMMYFUNCTION("GOOGLEFINANCE(A741,""PRICE"")"),1225.1)</f>
        <v>1225.1</v>
      </c>
      <c r="C741" s="14">
        <f>IFERROR(__xludf.DUMMYFUNCTION("GOOGLEFINANCE(A741,""PRICEOPEN"")"),1240.0)</f>
        <v>1240</v>
      </c>
      <c r="D741" s="14">
        <f>IFERROR(__xludf.DUMMYFUNCTION("GOOGLEFINANCE(A741,""HIGH"")"),1243.2)</f>
        <v>1243.2</v>
      </c>
      <c r="E741" s="14">
        <f>IFERROR(__xludf.DUMMYFUNCTION("GOOGLEFINANCE(A741,""LOW"")"),1205.0)</f>
        <v>1205</v>
      </c>
      <c r="F741" s="15" t="str">
        <f t="shared" si="8"/>
        <v/>
      </c>
      <c r="G741" s="16">
        <f>IFERROR(__xludf.DUMMYFUNCTION("GOOGLEFINANCE(A741,""CLOSEYEST"")"),1239.9)</f>
        <v>1239.9</v>
      </c>
      <c r="H741" s="17" t="str">
        <f t="shared" si="14"/>
        <v/>
      </c>
      <c r="I741" s="18">
        <f t="shared" si="9"/>
        <v>1229.366667</v>
      </c>
      <c r="J741" s="19">
        <f t="shared" si="10"/>
        <v>1253.733333</v>
      </c>
      <c r="K741" s="19"/>
      <c r="L741" s="19">
        <f t="shared" si="11"/>
        <v>1215.533333</v>
      </c>
      <c r="M741" s="19">
        <f t="shared" si="12"/>
        <v>1267.566667</v>
      </c>
      <c r="N741" s="19">
        <f t="shared" si="13"/>
        <v>1191.166667</v>
      </c>
    </row>
    <row r="742" ht="24.75" customHeight="1">
      <c r="A742" s="21" t="s">
        <v>705</v>
      </c>
      <c r="B742" s="13" t="str">
        <f>IFERROR(__xludf.DUMMYFUNCTION("GOOGLEFINANCE(A742,""PRICE"")"),"#N/A")</f>
        <v>#N/A</v>
      </c>
      <c r="C742" s="14" t="str">
        <f>IFERROR(__xludf.DUMMYFUNCTION("GOOGLEFINANCE(A742,""PRICEOPEN"")"),"#N/A")</f>
        <v>#N/A</v>
      </c>
      <c r="D742" s="14" t="str">
        <f>IFERROR(__xludf.DUMMYFUNCTION("GOOGLEFINANCE(A742,""HIGH"")"),"#N/A")</f>
        <v>#N/A</v>
      </c>
      <c r="E742" s="14" t="str">
        <f>IFERROR(__xludf.DUMMYFUNCTION("GOOGLEFINANCE(A742,""LOW"")"),"#N/A")</f>
        <v>#N/A</v>
      </c>
      <c r="F742" s="15" t="str">
        <f t="shared" si="8"/>
        <v>#N/A</v>
      </c>
      <c r="G742" s="16" t="str">
        <f>IFERROR(__xludf.DUMMYFUNCTION("GOOGLEFINANCE(A742,""CLOSEYEST"")"),"#N/A")</f>
        <v>#N/A</v>
      </c>
      <c r="H742" s="17" t="str">
        <f t="shared" si="14"/>
        <v>#N/A</v>
      </c>
      <c r="I742" s="18" t="str">
        <f t="shared" si="9"/>
        <v>#N/A</v>
      </c>
      <c r="J742" s="19" t="str">
        <f t="shared" si="10"/>
        <v>#N/A</v>
      </c>
      <c r="K742" s="19"/>
      <c r="L742" s="19" t="str">
        <f t="shared" si="11"/>
        <v>#N/A</v>
      </c>
      <c r="M742" s="19" t="str">
        <f t="shared" si="12"/>
        <v>#N/A</v>
      </c>
      <c r="N742" s="19" t="str">
        <f t="shared" si="13"/>
        <v>#N/A</v>
      </c>
    </row>
    <row r="743" ht="24.75" customHeight="1">
      <c r="A743" s="21" t="s">
        <v>706</v>
      </c>
      <c r="B743" s="13">
        <f>IFERROR(__xludf.DUMMYFUNCTION("GOOGLEFINANCE(A743,""PRICE"")"),159.85)</f>
        <v>159.85</v>
      </c>
      <c r="C743" s="14">
        <f>IFERROR(__xludf.DUMMYFUNCTION("GOOGLEFINANCE(A743,""PRICEOPEN"")"),159.07)</f>
        <v>159.07</v>
      </c>
      <c r="D743" s="14">
        <f>IFERROR(__xludf.DUMMYFUNCTION("GOOGLEFINANCE(A743,""HIGH"")"),160.0)</f>
        <v>160</v>
      </c>
      <c r="E743" s="14">
        <f>IFERROR(__xludf.DUMMYFUNCTION("GOOGLEFINANCE(A743,""LOW"")"),156.67)</f>
        <v>156.67</v>
      </c>
      <c r="F743" s="15" t="str">
        <f t="shared" si="8"/>
        <v/>
      </c>
      <c r="G743" s="16">
        <f>IFERROR(__xludf.DUMMYFUNCTION("GOOGLEFINANCE(A743,""CLOSEYEST"")"),158.92)</f>
        <v>158.92</v>
      </c>
      <c r="H743" s="17" t="str">
        <f t="shared" si="14"/>
        <v/>
      </c>
      <c r="I743" s="18">
        <f t="shared" si="9"/>
        <v>158.53</v>
      </c>
      <c r="J743" s="19">
        <f t="shared" si="10"/>
        <v>160.39</v>
      </c>
      <c r="K743" s="19"/>
      <c r="L743" s="19">
        <f t="shared" si="11"/>
        <v>157.06</v>
      </c>
      <c r="M743" s="19">
        <f t="shared" si="12"/>
        <v>161.86</v>
      </c>
      <c r="N743" s="19">
        <f t="shared" si="13"/>
        <v>155.2</v>
      </c>
    </row>
    <row r="744" ht="24.75" customHeight="1">
      <c r="A744" s="21" t="s">
        <v>707</v>
      </c>
      <c r="B744" s="13">
        <f>IFERROR(__xludf.DUMMYFUNCTION("GOOGLEFINANCE(A744,""PRICE"")"),209.4)</f>
        <v>209.4</v>
      </c>
      <c r="C744" s="14">
        <f>IFERROR(__xludf.DUMMYFUNCTION("GOOGLEFINANCE(A744,""PRICEOPEN"")"),210.3)</f>
        <v>210.3</v>
      </c>
      <c r="D744" s="14">
        <f>IFERROR(__xludf.DUMMYFUNCTION("GOOGLEFINANCE(A744,""HIGH"")"),212.3)</f>
        <v>212.3</v>
      </c>
      <c r="E744" s="14">
        <f>IFERROR(__xludf.DUMMYFUNCTION("GOOGLEFINANCE(A744,""LOW"")"),209.4)</f>
        <v>209.4</v>
      </c>
      <c r="F744" s="15" t="str">
        <f t="shared" si="8"/>
        <v/>
      </c>
      <c r="G744" s="16">
        <f>IFERROR(__xludf.DUMMYFUNCTION("GOOGLEFINANCE(A744,""CLOSEYEST"")"),210.3)</f>
        <v>210.3</v>
      </c>
      <c r="H744" s="17" t="str">
        <f t="shared" si="14"/>
        <v/>
      </c>
      <c r="I744" s="18">
        <f t="shared" si="9"/>
        <v>210.6666667</v>
      </c>
      <c r="J744" s="19">
        <f t="shared" si="10"/>
        <v>211.9333333</v>
      </c>
      <c r="K744" s="19"/>
      <c r="L744" s="19">
        <f t="shared" si="11"/>
        <v>209.0333333</v>
      </c>
      <c r="M744" s="19">
        <f t="shared" si="12"/>
        <v>213.5666667</v>
      </c>
      <c r="N744" s="19">
        <f t="shared" si="13"/>
        <v>207.7666667</v>
      </c>
    </row>
    <row r="745" ht="24.75" customHeight="1">
      <c r="A745" s="21" t="s">
        <v>708</v>
      </c>
      <c r="B745" s="13">
        <f>IFERROR(__xludf.DUMMYFUNCTION("GOOGLEFINANCE(A745,""PRICE"")"),164.81)</f>
        <v>164.81</v>
      </c>
      <c r="C745" s="14">
        <f>IFERROR(__xludf.DUMMYFUNCTION("GOOGLEFINANCE(A745,""PRICEOPEN"")"),163.59)</f>
        <v>163.59</v>
      </c>
      <c r="D745" s="14">
        <f>IFERROR(__xludf.DUMMYFUNCTION("GOOGLEFINANCE(A745,""HIGH"")"),165.56)</f>
        <v>165.56</v>
      </c>
      <c r="E745" s="14">
        <f>IFERROR(__xludf.DUMMYFUNCTION("GOOGLEFINANCE(A745,""LOW"")"),158.0)</f>
        <v>158</v>
      </c>
      <c r="F745" s="15" t="str">
        <f t="shared" si="8"/>
        <v/>
      </c>
      <c r="G745" s="16">
        <f>IFERROR(__xludf.DUMMYFUNCTION("GOOGLEFINANCE(A745,""CLOSEYEST"")"),163.12)</f>
        <v>163.12</v>
      </c>
      <c r="H745" s="17" t="str">
        <f t="shared" si="14"/>
        <v/>
      </c>
      <c r="I745" s="18">
        <f t="shared" si="9"/>
        <v>162.2266667</v>
      </c>
      <c r="J745" s="19">
        <f t="shared" si="10"/>
        <v>166.4533333</v>
      </c>
      <c r="K745" s="19"/>
      <c r="L745" s="19">
        <f t="shared" si="11"/>
        <v>158.8933333</v>
      </c>
      <c r="M745" s="19">
        <f t="shared" si="12"/>
        <v>169.7866667</v>
      </c>
      <c r="N745" s="19">
        <f t="shared" si="13"/>
        <v>154.6666667</v>
      </c>
    </row>
    <row r="746" ht="24.75" customHeight="1">
      <c r="A746" s="21" t="s">
        <v>709</v>
      </c>
      <c r="B746" s="13">
        <f>IFERROR(__xludf.DUMMYFUNCTION("GOOGLEFINANCE(A746,""PRICE"")"),698.4)</f>
        <v>698.4</v>
      </c>
      <c r="C746" s="14">
        <f>IFERROR(__xludf.DUMMYFUNCTION("GOOGLEFINANCE(A746,""PRICEOPEN"")"),683.0)</f>
        <v>683</v>
      </c>
      <c r="D746" s="14">
        <f>IFERROR(__xludf.DUMMYFUNCTION("GOOGLEFINANCE(A746,""HIGH"")"),698.7)</f>
        <v>698.7</v>
      </c>
      <c r="E746" s="14">
        <f>IFERROR(__xludf.DUMMYFUNCTION("GOOGLEFINANCE(A746,""LOW"")"),682.4)</f>
        <v>682.4</v>
      </c>
      <c r="F746" s="15" t="str">
        <f t="shared" si="8"/>
        <v/>
      </c>
      <c r="G746" s="16">
        <f>IFERROR(__xludf.DUMMYFUNCTION("GOOGLEFINANCE(A746,""CLOSEYEST"")"),682.05)</f>
        <v>682.05</v>
      </c>
      <c r="H746" s="17" t="str">
        <f t="shared" si="14"/>
        <v/>
      </c>
      <c r="I746" s="18">
        <f t="shared" si="9"/>
        <v>687.7166667</v>
      </c>
      <c r="J746" s="19">
        <f t="shared" si="10"/>
        <v>693.0333333</v>
      </c>
      <c r="K746" s="19"/>
      <c r="L746" s="19">
        <f t="shared" si="11"/>
        <v>676.7333333</v>
      </c>
      <c r="M746" s="19">
        <f t="shared" si="12"/>
        <v>704.0166667</v>
      </c>
      <c r="N746" s="19">
        <f t="shared" si="13"/>
        <v>671.4166667</v>
      </c>
    </row>
    <row r="747" ht="24.75" customHeight="1">
      <c r="A747" s="21" t="s">
        <v>710</v>
      </c>
      <c r="B747" s="13">
        <f>IFERROR(__xludf.DUMMYFUNCTION("GOOGLEFINANCE(A747,""PRICE"")"),210.9)</f>
        <v>210.9</v>
      </c>
      <c r="C747" s="14">
        <f>IFERROR(__xludf.DUMMYFUNCTION("GOOGLEFINANCE(A747,""PRICEOPEN"")"),209.0)</f>
        <v>209</v>
      </c>
      <c r="D747" s="14">
        <f>IFERROR(__xludf.DUMMYFUNCTION("GOOGLEFINANCE(A747,""HIGH"")"),211.78)</f>
        <v>211.78</v>
      </c>
      <c r="E747" s="14">
        <f>IFERROR(__xludf.DUMMYFUNCTION("GOOGLEFINANCE(A747,""LOW"")"),206.0)</f>
        <v>206</v>
      </c>
      <c r="F747" s="15" t="str">
        <f t="shared" si="8"/>
        <v/>
      </c>
      <c r="G747" s="16">
        <f>IFERROR(__xludf.DUMMYFUNCTION("GOOGLEFINANCE(A747,""CLOSEYEST"")"),206.35)</f>
        <v>206.35</v>
      </c>
      <c r="H747" s="17" t="str">
        <f t="shared" si="14"/>
        <v>GAP UP</v>
      </c>
      <c r="I747" s="18">
        <f t="shared" si="9"/>
        <v>208.0433333</v>
      </c>
      <c r="J747" s="19">
        <f t="shared" si="10"/>
        <v>210.0866667</v>
      </c>
      <c r="K747" s="19"/>
      <c r="L747" s="19">
        <f t="shared" si="11"/>
        <v>204.3066667</v>
      </c>
      <c r="M747" s="19">
        <f t="shared" si="12"/>
        <v>213.8233333</v>
      </c>
      <c r="N747" s="19">
        <f t="shared" si="13"/>
        <v>202.2633333</v>
      </c>
    </row>
    <row r="748" ht="24.75" customHeight="1">
      <c r="A748" s="21" t="s">
        <v>711</v>
      </c>
      <c r="B748" s="13">
        <f>IFERROR(__xludf.DUMMYFUNCTION("GOOGLEFINANCE(A748,""PRICE"")"),136.0)</f>
        <v>136</v>
      </c>
      <c r="C748" s="14">
        <f>IFERROR(__xludf.DUMMYFUNCTION("GOOGLEFINANCE(A748,""PRICEOPEN"")"),135.0)</f>
        <v>135</v>
      </c>
      <c r="D748" s="14">
        <f>IFERROR(__xludf.DUMMYFUNCTION("GOOGLEFINANCE(A748,""HIGH"")"),136.25)</f>
        <v>136.25</v>
      </c>
      <c r="E748" s="14">
        <f>IFERROR(__xludf.DUMMYFUNCTION("GOOGLEFINANCE(A748,""LOW"")"),134.31)</f>
        <v>134.31</v>
      </c>
      <c r="F748" s="15" t="str">
        <f t="shared" si="8"/>
        <v/>
      </c>
      <c r="G748" s="16">
        <f>IFERROR(__xludf.DUMMYFUNCTION("GOOGLEFINANCE(A748,""CLOSEYEST"")"),134.37)</f>
        <v>134.37</v>
      </c>
      <c r="H748" s="17" t="str">
        <f t="shared" si="14"/>
        <v/>
      </c>
      <c r="I748" s="18">
        <f t="shared" si="9"/>
        <v>134.9766667</v>
      </c>
      <c r="J748" s="19">
        <f t="shared" si="10"/>
        <v>135.6433333</v>
      </c>
      <c r="K748" s="19"/>
      <c r="L748" s="19">
        <f t="shared" si="11"/>
        <v>133.7033333</v>
      </c>
      <c r="M748" s="19">
        <f t="shared" si="12"/>
        <v>136.9166667</v>
      </c>
      <c r="N748" s="19">
        <f t="shared" si="13"/>
        <v>133.0366667</v>
      </c>
    </row>
    <row r="749" ht="24.75" customHeight="1">
      <c r="A749" s="21" t="s">
        <v>712</v>
      </c>
      <c r="B749" s="13">
        <f>IFERROR(__xludf.DUMMYFUNCTION("GOOGLEFINANCE(A749,""PRICE"")"),503.45)</f>
        <v>503.45</v>
      </c>
      <c r="C749" s="14">
        <f>IFERROR(__xludf.DUMMYFUNCTION("GOOGLEFINANCE(A749,""PRICEOPEN"")"),511.9)</f>
        <v>511.9</v>
      </c>
      <c r="D749" s="14">
        <f>IFERROR(__xludf.DUMMYFUNCTION("GOOGLEFINANCE(A749,""HIGH"")"),513.95)</f>
        <v>513.95</v>
      </c>
      <c r="E749" s="14">
        <f>IFERROR(__xludf.DUMMYFUNCTION("GOOGLEFINANCE(A749,""LOW"")"),496.85)</f>
        <v>496.85</v>
      </c>
      <c r="F749" s="15" t="str">
        <f t="shared" si="8"/>
        <v/>
      </c>
      <c r="G749" s="16">
        <f>IFERROR(__xludf.DUMMYFUNCTION("GOOGLEFINANCE(A749,""CLOSEYEST"")"),508.1)</f>
        <v>508.1</v>
      </c>
      <c r="H749" s="17" t="str">
        <f t="shared" si="14"/>
        <v/>
      </c>
      <c r="I749" s="18">
        <f t="shared" si="9"/>
        <v>506.3</v>
      </c>
      <c r="J749" s="19">
        <f t="shared" si="10"/>
        <v>515.75</v>
      </c>
      <c r="K749" s="19"/>
      <c r="L749" s="19">
        <f t="shared" si="11"/>
        <v>498.65</v>
      </c>
      <c r="M749" s="19">
        <f t="shared" si="12"/>
        <v>523.4</v>
      </c>
      <c r="N749" s="19">
        <f t="shared" si="13"/>
        <v>489.2</v>
      </c>
    </row>
    <row r="750" ht="24.75" customHeight="1">
      <c r="A750" s="21" t="s">
        <v>713</v>
      </c>
      <c r="B750" s="13">
        <f>IFERROR(__xludf.DUMMYFUNCTION("GOOGLEFINANCE(A750,""PRICE"")"),62.34)</f>
        <v>62.34</v>
      </c>
      <c r="C750" s="14">
        <f>IFERROR(__xludf.DUMMYFUNCTION("GOOGLEFINANCE(A750,""PRICEOPEN"")"),59.38)</f>
        <v>59.38</v>
      </c>
      <c r="D750" s="14">
        <f>IFERROR(__xludf.DUMMYFUNCTION("GOOGLEFINANCE(A750,""HIGH"")"),62.34)</f>
        <v>62.34</v>
      </c>
      <c r="E750" s="14">
        <f>IFERROR(__xludf.DUMMYFUNCTION("GOOGLEFINANCE(A750,""LOW"")"),59.34)</f>
        <v>59.34</v>
      </c>
      <c r="F750" s="15" t="str">
        <f t="shared" si="8"/>
        <v/>
      </c>
      <c r="G750" s="16">
        <f>IFERROR(__xludf.DUMMYFUNCTION("GOOGLEFINANCE(A750,""CLOSEYEST"")"),59.38)</f>
        <v>59.38</v>
      </c>
      <c r="H750" s="17" t="str">
        <f t="shared" si="14"/>
        <v/>
      </c>
      <c r="I750" s="18">
        <f t="shared" si="9"/>
        <v>60.35333333</v>
      </c>
      <c r="J750" s="19">
        <f t="shared" si="10"/>
        <v>61.36666667</v>
      </c>
      <c r="K750" s="19"/>
      <c r="L750" s="19">
        <f t="shared" si="11"/>
        <v>58.36666667</v>
      </c>
      <c r="M750" s="19">
        <f t="shared" si="12"/>
        <v>63.35333333</v>
      </c>
      <c r="N750" s="19">
        <f t="shared" si="13"/>
        <v>57.35333333</v>
      </c>
    </row>
    <row r="751" ht="24.75" customHeight="1">
      <c r="A751" s="21" t="s">
        <v>714</v>
      </c>
      <c r="B751" s="13">
        <f>IFERROR(__xludf.DUMMYFUNCTION("GOOGLEFINANCE(A751,""PRICE"")"),427.4)</f>
        <v>427.4</v>
      </c>
      <c r="C751" s="14">
        <f>IFERROR(__xludf.DUMMYFUNCTION("GOOGLEFINANCE(A751,""PRICEOPEN"")"),424.1)</f>
        <v>424.1</v>
      </c>
      <c r="D751" s="14">
        <f>IFERROR(__xludf.DUMMYFUNCTION("GOOGLEFINANCE(A751,""HIGH"")"),430.15)</f>
        <v>430.15</v>
      </c>
      <c r="E751" s="14">
        <f>IFERROR(__xludf.DUMMYFUNCTION("GOOGLEFINANCE(A751,""LOW"")"),423.2)</f>
        <v>423.2</v>
      </c>
      <c r="F751" s="15" t="str">
        <f t="shared" si="8"/>
        <v/>
      </c>
      <c r="G751" s="16">
        <f>IFERROR(__xludf.DUMMYFUNCTION("GOOGLEFINANCE(A751,""CLOSEYEST"")"),424.1)</f>
        <v>424.1</v>
      </c>
      <c r="H751" s="17" t="str">
        <f t="shared" si="14"/>
        <v/>
      </c>
      <c r="I751" s="18">
        <f t="shared" si="9"/>
        <v>425.8166667</v>
      </c>
      <c r="J751" s="19">
        <f t="shared" si="10"/>
        <v>428.4333333</v>
      </c>
      <c r="K751" s="19"/>
      <c r="L751" s="19">
        <f t="shared" si="11"/>
        <v>421.4833333</v>
      </c>
      <c r="M751" s="19">
        <f t="shared" si="12"/>
        <v>432.7666667</v>
      </c>
      <c r="N751" s="19">
        <f t="shared" si="13"/>
        <v>418.8666667</v>
      </c>
    </row>
    <row r="752" ht="24.75" customHeight="1">
      <c r="A752" s="21" t="s">
        <v>715</v>
      </c>
      <c r="B752" s="13">
        <f>IFERROR(__xludf.DUMMYFUNCTION("GOOGLEFINANCE(A752,""PRICE"")"),1165.0)</f>
        <v>1165</v>
      </c>
      <c r="C752" s="14">
        <f>IFERROR(__xludf.DUMMYFUNCTION("GOOGLEFINANCE(A752,""PRICEOPEN"")"),1159.0)</f>
        <v>1159</v>
      </c>
      <c r="D752" s="14">
        <f>IFERROR(__xludf.DUMMYFUNCTION("GOOGLEFINANCE(A752,""HIGH"")"),1183.9)</f>
        <v>1183.9</v>
      </c>
      <c r="E752" s="14">
        <f>IFERROR(__xludf.DUMMYFUNCTION("GOOGLEFINANCE(A752,""LOW"")"),1136.3)</f>
        <v>1136.3</v>
      </c>
      <c r="F752" s="15" t="str">
        <f t="shared" si="8"/>
        <v/>
      </c>
      <c r="G752" s="16">
        <f>IFERROR(__xludf.DUMMYFUNCTION("GOOGLEFINANCE(A752,""CLOSEYEST"")"),1136.3)</f>
        <v>1136.3</v>
      </c>
      <c r="H752" s="17" t="str">
        <f t="shared" si="14"/>
        <v>GAP UP</v>
      </c>
      <c r="I752" s="18">
        <f t="shared" si="9"/>
        <v>1152.166667</v>
      </c>
      <c r="J752" s="19">
        <f t="shared" si="10"/>
        <v>1168.033333</v>
      </c>
      <c r="K752" s="19"/>
      <c r="L752" s="19">
        <f t="shared" si="11"/>
        <v>1120.433333</v>
      </c>
      <c r="M752" s="19">
        <f t="shared" si="12"/>
        <v>1199.766667</v>
      </c>
      <c r="N752" s="19">
        <f t="shared" si="13"/>
        <v>1104.566667</v>
      </c>
    </row>
    <row r="753" ht="24.75" customHeight="1">
      <c r="A753" s="21" t="s">
        <v>716</v>
      </c>
      <c r="B753" s="13">
        <f>IFERROR(__xludf.DUMMYFUNCTION("GOOGLEFINANCE(A753,""PRICE"")"),243.0)</f>
        <v>243</v>
      </c>
      <c r="C753" s="14">
        <f>IFERROR(__xludf.DUMMYFUNCTION("GOOGLEFINANCE(A753,""PRICEOPEN"")"),236.5)</f>
        <v>236.5</v>
      </c>
      <c r="D753" s="14">
        <f>IFERROR(__xludf.DUMMYFUNCTION("GOOGLEFINANCE(A753,""HIGH"")"),243.0)</f>
        <v>243</v>
      </c>
      <c r="E753" s="14">
        <f>IFERROR(__xludf.DUMMYFUNCTION("GOOGLEFINANCE(A753,""LOW"")"),232.4)</f>
        <v>232.4</v>
      </c>
      <c r="F753" s="15" t="str">
        <f t="shared" si="8"/>
        <v/>
      </c>
      <c r="G753" s="16">
        <f>IFERROR(__xludf.DUMMYFUNCTION("GOOGLEFINANCE(A753,""CLOSEYEST"")"),236.4)</f>
        <v>236.4</v>
      </c>
      <c r="H753" s="17" t="str">
        <f t="shared" si="14"/>
        <v/>
      </c>
      <c r="I753" s="18">
        <f t="shared" si="9"/>
        <v>237.2666667</v>
      </c>
      <c r="J753" s="19">
        <f t="shared" si="10"/>
        <v>242.1333333</v>
      </c>
      <c r="K753" s="19"/>
      <c r="L753" s="19">
        <f t="shared" si="11"/>
        <v>231.5333333</v>
      </c>
      <c r="M753" s="19">
        <f t="shared" si="12"/>
        <v>247.8666667</v>
      </c>
      <c r="N753" s="19">
        <f t="shared" si="13"/>
        <v>226.6666667</v>
      </c>
    </row>
    <row r="754" ht="24.75" customHeight="1">
      <c r="A754" s="21" t="s">
        <v>717</v>
      </c>
      <c r="B754" s="13" t="str">
        <f>IFERROR(__xludf.DUMMYFUNCTION("GOOGLEFINANCE(A754,""PRICE"")"),"#N/A")</f>
        <v>#N/A</v>
      </c>
      <c r="C754" s="14" t="str">
        <f>IFERROR(__xludf.DUMMYFUNCTION("GOOGLEFINANCE(A754,""PRICEOPEN"")"),"#N/A")</f>
        <v>#N/A</v>
      </c>
      <c r="D754" s="14" t="str">
        <f>IFERROR(__xludf.DUMMYFUNCTION("GOOGLEFINANCE(A754,""HIGH"")"),"#N/A")</f>
        <v>#N/A</v>
      </c>
      <c r="E754" s="14" t="str">
        <f>IFERROR(__xludf.DUMMYFUNCTION("GOOGLEFINANCE(A754,""LOW"")"),"#N/A")</f>
        <v>#N/A</v>
      </c>
      <c r="F754" s="15" t="str">
        <f t="shared" si="8"/>
        <v>#N/A</v>
      </c>
      <c r="G754" s="16" t="str">
        <f>IFERROR(__xludf.DUMMYFUNCTION("GOOGLEFINANCE(A754,""CLOSEYEST"")"),"#N/A")</f>
        <v>#N/A</v>
      </c>
      <c r="H754" s="17" t="str">
        <f t="shared" si="14"/>
        <v>#N/A</v>
      </c>
      <c r="I754" s="18" t="str">
        <f t="shared" si="9"/>
        <v>#N/A</v>
      </c>
      <c r="J754" s="19" t="str">
        <f t="shared" si="10"/>
        <v>#N/A</v>
      </c>
      <c r="K754" s="19"/>
      <c r="L754" s="19" t="str">
        <f t="shared" si="11"/>
        <v>#N/A</v>
      </c>
      <c r="M754" s="19" t="str">
        <f t="shared" si="12"/>
        <v>#N/A</v>
      </c>
      <c r="N754" s="19" t="str">
        <f t="shared" si="13"/>
        <v>#N/A</v>
      </c>
    </row>
    <row r="755" ht="24.75" customHeight="1">
      <c r="A755" s="21" t="s">
        <v>718</v>
      </c>
      <c r="B755" s="13">
        <f>IFERROR(__xludf.DUMMYFUNCTION("GOOGLEFINANCE(A755,""PRICE"")"),1224.4)</f>
        <v>1224.4</v>
      </c>
      <c r="C755" s="14">
        <f>IFERROR(__xludf.DUMMYFUNCTION("GOOGLEFINANCE(A755,""PRICEOPEN"")"),1230.1)</f>
        <v>1230.1</v>
      </c>
      <c r="D755" s="14">
        <f>IFERROR(__xludf.DUMMYFUNCTION("GOOGLEFINANCE(A755,""HIGH"")"),1237.7)</f>
        <v>1237.7</v>
      </c>
      <c r="E755" s="14">
        <f>IFERROR(__xludf.DUMMYFUNCTION("GOOGLEFINANCE(A755,""LOW"")"),1211.5)</f>
        <v>1211.5</v>
      </c>
      <c r="F755" s="15" t="str">
        <f t="shared" si="8"/>
        <v/>
      </c>
      <c r="G755" s="16">
        <f>IFERROR(__xludf.DUMMYFUNCTION("GOOGLEFINANCE(A755,""CLOSEYEST"")"),1244.0)</f>
        <v>1244</v>
      </c>
      <c r="H755" s="17" t="str">
        <f t="shared" si="14"/>
        <v>GAP DOWN</v>
      </c>
      <c r="I755" s="18">
        <f t="shared" si="9"/>
        <v>1231.066667</v>
      </c>
      <c r="J755" s="19">
        <f t="shared" si="10"/>
        <v>1250.633333</v>
      </c>
      <c r="K755" s="19"/>
      <c r="L755" s="19">
        <f t="shared" si="11"/>
        <v>1224.433333</v>
      </c>
      <c r="M755" s="19">
        <f t="shared" si="12"/>
        <v>1257.266667</v>
      </c>
      <c r="N755" s="19">
        <f t="shared" si="13"/>
        <v>1204.866667</v>
      </c>
    </row>
    <row r="756" ht="24.75" customHeight="1">
      <c r="A756" s="21" t="s">
        <v>719</v>
      </c>
      <c r="B756" s="13">
        <f>IFERROR(__xludf.DUMMYFUNCTION("GOOGLEFINANCE(A756,""PRICE"")"),1575.4)</f>
        <v>1575.4</v>
      </c>
      <c r="C756" s="14">
        <f>IFERROR(__xludf.DUMMYFUNCTION("GOOGLEFINANCE(A756,""PRICEOPEN"")"),1562.5)</f>
        <v>1562.5</v>
      </c>
      <c r="D756" s="14">
        <f>IFERROR(__xludf.DUMMYFUNCTION("GOOGLEFINANCE(A756,""HIGH"")"),1629.4)</f>
        <v>1629.4</v>
      </c>
      <c r="E756" s="14">
        <f>IFERROR(__xludf.DUMMYFUNCTION("GOOGLEFINANCE(A756,""LOW"")"),1562.1)</f>
        <v>1562.1</v>
      </c>
      <c r="F756" s="15" t="str">
        <f t="shared" si="8"/>
        <v/>
      </c>
      <c r="G756" s="16">
        <f>IFERROR(__xludf.DUMMYFUNCTION("GOOGLEFINANCE(A756,""CLOSEYEST"")"),1558.9)</f>
        <v>1558.9</v>
      </c>
      <c r="H756" s="17" t="str">
        <f t="shared" si="14"/>
        <v/>
      </c>
      <c r="I756" s="18">
        <f t="shared" si="9"/>
        <v>1583.466667</v>
      </c>
      <c r="J756" s="19">
        <f t="shared" si="10"/>
        <v>1604.833333</v>
      </c>
      <c r="K756" s="19"/>
      <c r="L756" s="19">
        <f t="shared" si="11"/>
        <v>1537.533333</v>
      </c>
      <c r="M756" s="19">
        <f t="shared" si="12"/>
        <v>1650.766667</v>
      </c>
      <c r="N756" s="19">
        <f t="shared" si="13"/>
        <v>1516.166667</v>
      </c>
    </row>
    <row r="757" ht="24.75" customHeight="1">
      <c r="A757" s="21" t="s">
        <v>720</v>
      </c>
      <c r="B757" s="13">
        <f>IFERROR(__xludf.DUMMYFUNCTION("GOOGLEFINANCE(A757,""PRICE"")"),778.65)</f>
        <v>778.65</v>
      </c>
      <c r="C757" s="14">
        <f>IFERROR(__xludf.DUMMYFUNCTION("GOOGLEFINANCE(A757,""PRICEOPEN"")"),778.0)</f>
        <v>778</v>
      </c>
      <c r="D757" s="14">
        <f>IFERROR(__xludf.DUMMYFUNCTION("GOOGLEFINANCE(A757,""HIGH"")"),794.0)</f>
        <v>794</v>
      </c>
      <c r="E757" s="14">
        <f>IFERROR(__xludf.DUMMYFUNCTION("GOOGLEFINANCE(A757,""LOW"")"),777.9)</f>
        <v>777.9</v>
      </c>
      <c r="F757" s="15" t="str">
        <f t="shared" si="8"/>
        <v/>
      </c>
      <c r="G757" s="16">
        <f>IFERROR(__xludf.DUMMYFUNCTION("GOOGLEFINANCE(A757,""CLOSEYEST"")"),778.7)</f>
        <v>778.7</v>
      </c>
      <c r="H757" s="17" t="str">
        <f t="shared" si="14"/>
        <v/>
      </c>
      <c r="I757" s="18">
        <f t="shared" si="9"/>
        <v>783.5333333</v>
      </c>
      <c r="J757" s="19">
        <f t="shared" si="10"/>
        <v>789.1666667</v>
      </c>
      <c r="K757" s="19"/>
      <c r="L757" s="19">
        <f t="shared" si="11"/>
        <v>773.0666667</v>
      </c>
      <c r="M757" s="19">
        <f t="shared" si="12"/>
        <v>799.6333333</v>
      </c>
      <c r="N757" s="19">
        <f t="shared" si="13"/>
        <v>767.4333333</v>
      </c>
    </row>
    <row r="758" ht="24.75" customHeight="1">
      <c r="A758" s="21" t="s">
        <v>721</v>
      </c>
      <c r="B758" s="13">
        <f>IFERROR(__xludf.DUMMYFUNCTION("GOOGLEFINANCE(A758,""PRICE"")"),586.0)</f>
        <v>586</v>
      </c>
      <c r="C758" s="14">
        <f>IFERROR(__xludf.DUMMYFUNCTION("GOOGLEFINANCE(A758,""PRICEOPEN"")"),586.85)</f>
        <v>586.85</v>
      </c>
      <c r="D758" s="14">
        <f>IFERROR(__xludf.DUMMYFUNCTION("GOOGLEFINANCE(A758,""HIGH"")"),591.6)</f>
        <v>591.6</v>
      </c>
      <c r="E758" s="14">
        <f>IFERROR(__xludf.DUMMYFUNCTION("GOOGLEFINANCE(A758,""LOW"")"),578.0)</f>
        <v>578</v>
      </c>
      <c r="F758" s="15" t="str">
        <f t="shared" si="8"/>
        <v/>
      </c>
      <c r="G758" s="16">
        <f>IFERROR(__xludf.DUMMYFUNCTION("GOOGLEFINANCE(A758,""CLOSEYEST"")"),586.85)</f>
        <v>586.85</v>
      </c>
      <c r="H758" s="17" t="str">
        <f t="shared" si="14"/>
        <v/>
      </c>
      <c r="I758" s="18">
        <f t="shared" si="9"/>
        <v>585.4833333</v>
      </c>
      <c r="J758" s="19">
        <f t="shared" si="10"/>
        <v>592.9666667</v>
      </c>
      <c r="K758" s="19"/>
      <c r="L758" s="19">
        <f t="shared" si="11"/>
        <v>579.3666667</v>
      </c>
      <c r="M758" s="19">
        <f t="shared" si="12"/>
        <v>599.0833333</v>
      </c>
      <c r="N758" s="19">
        <f t="shared" si="13"/>
        <v>571.8833333</v>
      </c>
    </row>
    <row r="759" ht="24.75" customHeight="1">
      <c r="A759" s="21" t="s">
        <v>722</v>
      </c>
      <c r="B759" s="13">
        <f>IFERROR(__xludf.DUMMYFUNCTION("GOOGLEFINANCE(A759,""PRICE"")"),330.55)</f>
        <v>330.55</v>
      </c>
      <c r="C759" s="14">
        <f>IFERROR(__xludf.DUMMYFUNCTION("GOOGLEFINANCE(A759,""PRICEOPEN"")"),333.15)</f>
        <v>333.15</v>
      </c>
      <c r="D759" s="14">
        <f>IFERROR(__xludf.DUMMYFUNCTION("GOOGLEFINANCE(A759,""HIGH"")"),334.25)</f>
        <v>334.25</v>
      </c>
      <c r="E759" s="14">
        <f>IFERROR(__xludf.DUMMYFUNCTION("GOOGLEFINANCE(A759,""LOW"")"),328.5)</f>
        <v>328.5</v>
      </c>
      <c r="F759" s="15" t="str">
        <f t="shared" si="8"/>
        <v/>
      </c>
      <c r="G759" s="16">
        <f>IFERROR(__xludf.DUMMYFUNCTION("GOOGLEFINANCE(A759,""CLOSEYEST"")"),331.15)</f>
        <v>331.15</v>
      </c>
      <c r="H759" s="17" t="str">
        <f t="shared" si="14"/>
        <v/>
      </c>
      <c r="I759" s="18">
        <f t="shared" si="9"/>
        <v>331.3</v>
      </c>
      <c r="J759" s="19">
        <f t="shared" si="10"/>
        <v>334.1</v>
      </c>
      <c r="K759" s="19"/>
      <c r="L759" s="19">
        <f t="shared" si="11"/>
        <v>328.35</v>
      </c>
      <c r="M759" s="19">
        <f t="shared" si="12"/>
        <v>337.05</v>
      </c>
      <c r="N759" s="19">
        <f t="shared" si="13"/>
        <v>325.55</v>
      </c>
    </row>
    <row r="760" ht="24.75" customHeight="1">
      <c r="A760" s="21" t="s">
        <v>723</v>
      </c>
      <c r="B760" s="13">
        <f>IFERROR(__xludf.DUMMYFUNCTION("GOOGLEFINANCE(A760,""PRICE"")"),1828.6)</f>
        <v>1828.6</v>
      </c>
      <c r="C760" s="14">
        <f>IFERROR(__xludf.DUMMYFUNCTION("GOOGLEFINANCE(A760,""PRICEOPEN"")"),1900.0)</f>
        <v>1900</v>
      </c>
      <c r="D760" s="14">
        <f>IFERROR(__xludf.DUMMYFUNCTION("GOOGLEFINANCE(A760,""HIGH"")"),1900.0)</f>
        <v>1900</v>
      </c>
      <c r="E760" s="14">
        <f>IFERROR(__xludf.DUMMYFUNCTION("GOOGLEFINANCE(A760,""LOW"")"),1820.0)</f>
        <v>1820</v>
      </c>
      <c r="F760" s="15" t="str">
        <f t="shared" si="8"/>
        <v>SELL</v>
      </c>
      <c r="G760" s="16">
        <f>IFERROR(__xludf.DUMMYFUNCTION("GOOGLEFINANCE(A760,""CLOSEYEST"")"),1875.1)</f>
        <v>1875.1</v>
      </c>
      <c r="H760" s="17" t="str">
        <f t="shared" si="14"/>
        <v>GAP UP</v>
      </c>
      <c r="I760" s="18">
        <f t="shared" si="9"/>
        <v>1865.033333</v>
      </c>
      <c r="J760" s="19">
        <f t="shared" si="10"/>
        <v>1910.066667</v>
      </c>
      <c r="K760" s="19"/>
      <c r="L760" s="19">
        <f t="shared" si="11"/>
        <v>1830.066667</v>
      </c>
      <c r="M760" s="19">
        <f t="shared" si="12"/>
        <v>1945.033333</v>
      </c>
      <c r="N760" s="19">
        <f t="shared" si="13"/>
        <v>1785.033333</v>
      </c>
    </row>
    <row r="761" ht="24.75" customHeight="1">
      <c r="A761" s="21" t="s">
        <v>724</v>
      </c>
      <c r="B761" s="13">
        <f>IFERROR(__xludf.DUMMYFUNCTION("GOOGLEFINANCE(A761,""PRICE"")"),195.0)</f>
        <v>195</v>
      </c>
      <c r="C761" s="14">
        <f>IFERROR(__xludf.DUMMYFUNCTION("GOOGLEFINANCE(A761,""PRICEOPEN"")"),192.49)</f>
        <v>192.49</v>
      </c>
      <c r="D761" s="14">
        <f>IFERROR(__xludf.DUMMYFUNCTION("GOOGLEFINANCE(A761,""HIGH"")"),196.27)</f>
        <v>196.27</v>
      </c>
      <c r="E761" s="14">
        <f>IFERROR(__xludf.DUMMYFUNCTION("GOOGLEFINANCE(A761,""LOW"")"),187.76)</f>
        <v>187.76</v>
      </c>
      <c r="F761" s="15" t="str">
        <f t="shared" si="8"/>
        <v/>
      </c>
      <c r="G761" s="16">
        <f>IFERROR(__xludf.DUMMYFUNCTION("GOOGLEFINANCE(A761,""CLOSEYEST"")"),190.38)</f>
        <v>190.38</v>
      </c>
      <c r="H761" s="17" t="str">
        <f t="shared" si="14"/>
        <v>GAP UP</v>
      </c>
      <c r="I761" s="18">
        <f t="shared" si="9"/>
        <v>191.47</v>
      </c>
      <c r="J761" s="19">
        <f t="shared" si="10"/>
        <v>195.18</v>
      </c>
      <c r="K761" s="19"/>
      <c r="L761" s="19">
        <f t="shared" si="11"/>
        <v>186.67</v>
      </c>
      <c r="M761" s="19">
        <f t="shared" si="12"/>
        <v>199.98</v>
      </c>
      <c r="N761" s="19">
        <f t="shared" si="13"/>
        <v>182.96</v>
      </c>
    </row>
    <row r="762" ht="24.75" customHeight="1">
      <c r="A762" s="21" t="s">
        <v>725</v>
      </c>
      <c r="B762" s="13">
        <f>IFERROR(__xludf.DUMMYFUNCTION("GOOGLEFINANCE(A762,""PRICE"")"),13.32)</f>
        <v>13.32</v>
      </c>
      <c r="C762" s="14">
        <f>IFERROR(__xludf.DUMMYFUNCTION("GOOGLEFINANCE(A762,""PRICEOPEN"")"),13.1)</f>
        <v>13.1</v>
      </c>
      <c r="D762" s="14">
        <f>IFERROR(__xludf.DUMMYFUNCTION("GOOGLEFINANCE(A762,""HIGH"")"),13.35)</f>
        <v>13.35</v>
      </c>
      <c r="E762" s="14">
        <f>IFERROR(__xludf.DUMMYFUNCTION("GOOGLEFINANCE(A762,""LOW"")"),13.05)</f>
        <v>13.05</v>
      </c>
      <c r="F762" s="15" t="str">
        <f t="shared" si="8"/>
        <v/>
      </c>
      <c r="G762" s="16">
        <f>IFERROR(__xludf.DUMMYFUNCTION("GOOGLEFINANCE(A762,""CLOSEYEST"")"),13.18)</f>
        <v>13.18</v>
      </c>
      <c r="H762" s="17" t="str">
        <f t="shared" si="14"/>
        <v/>
      </c>
      <c r="I762" s="18">
        <f t="shared" si="9"/>
        <v>13.19333333</v>
      </c>
      <c r="J762" s="19">
        <f t="shared" si="10"/>
        <v>13.33666667</v>
      </c>
      <c r="K762" s="19"/>
      <c r="L762" s="19">
        <f t="shared" si="11"/>
        <v>13.03666667</v>
      </c>
      <c r="M762" s="19">
        <f t="shared" si="12"/>
        <v>13.49333333</v>
      </c>
      <c r="N762" s="19">
        <f t="shared" si="13"/>
        <v>12.89333333</v>
      </c>
    </row>
    <row r="763" ht="24.75" customHeight="1">
      <c r="A763" s="21" t="s">
        <v>726</v>
      </c>
      <c r="B763" s="13">
        <f>IFERROR(__xludf.DUMMYFUNCTION("GOOGLEFINANCE(A763,""PRICE"")"),692.95)</f>
        <v>692.95</v>
      </c>
      <c r="C763" s="14">
        <f>IFERROR(__xludf.DUMMYFUNCTION("GOOGLEFINANCE(A763,""PRICEOPEN"")"),650.8)</f>
        <v>650.8</v>
      </c>
      <c r="D763" s="14">
        <f>IFERROR(__xludf.DUMMYFUNCTION("GOOGLEFINANCE(A763,""HIGH"")"),699.6)</f>
        <v>699.6</v>
      </c>
      <c r="E763" s="14">
        <f>IFERROR(__xludf.DUMMYFUNCTION("GOOGLEFINANCE(A763,""LOW"")"),650.8)</f>
        <v>650.8</v>
      </c>
      <c r="F763" s="15" t="str">
        <f t="shared" si="8"/>
        <v>BUY</v>
      </c>
      <c r="G763" s="16">
        <f>IFERROR(__xludf.DUMMYFUNCTION("GOOGLEFINANCE(A763,""CLOSEYEST"")"),651.45)</f>
        <v>651.45</v>
      </c>
      <c r="H763" s="17" t="str">
        <f t="shared" si="14"/>
        <v/>
      </c>
      <c r="I763" s="18">
        <f t="shared" si="9"/>
        <v>667.2833333</v>
      </c>
      <c r="J763" s="19">
        <f t="shared" si="10"/>
        <v>683.7666667</v>
      </c>
      <c r="K763" s="19"/>
      <c r="L763" s="19">
        <f t="shared" si="11"/>
        <v>634.9666667</v>
      </c>
      <c r="M763" s="19">
        <f t="shared" si="12"/>
        <v>716.0833333</v>
      </c>
      <c r="N763" s="19">
        <f t="shared" si="13"/>
        <v>618.4833333</v>
      </c>
    </row>
    <row r="764" ht="24.75" customHeight="1">
      <c r="A764" s="21" t="s">
        <v>727</v>
      </c>
      <c r="B764" s="13">
        <f>IFERROR(__xludf.DUMMYFUNCTION("GOOGLEFINANCE(A764,""PRICE"")"),5610.0)</f>
        <v>5610</v>
      </c>
      <c r="C764" s="14">
        <f>IFERROR(__xludf.DUMMYFUNCTION("GOOGLEFINANCE(A764,""PRICEOPEN"")"),5405.0)</f>
        <v>5405</v>
      </c>
      <c r="D764" s="14">
        <f>IFERROR(__xludf.DUMMYFUNCTION("GOOGLEFINANCE(A764,""HIGH"")"),5666.0)</f>
        <v>5666</v>
      </c>
      <c r="E764" s="14">
        <f>IFERROR(__xludf.DUMMYFUNCTION("GOOGLEFINANCE(A764,""LOW"")"),5381.0)</f>
        <v>5381</v>
      </c>
      <c r="F764" s="15" t="str">
        <f t="shared" si="8"/>
        <v/>
      </c>
      <c r="G764" s="16">
        <f>IFERROR(__xludf.DUMMYFUNCTION("GOOGLEFINANCE(A764,""CLOSEYEST"")"),5405.0)</f>
        <v>5405</v>
      </c>
      <c r="H764" s="17" t="str">
        <f t="shared" si="14"/>
        <v/>
      </c>
      <c r="I764" s="18">
        <f t="shared" si="9"/>
        <v>5484</v>
      </c>
      <c r="J764" s="19">
        <f t="shared" si="10"/>
        <v>5587</v>
      </c>
      <c r="K764" s="19"/>
      <c r="L764" s="19">
        <f t="shared" si="11"/>
        <v>5302</v>
      </c>
      <c r="M764" s="19">
        <f t="shared" si="12"/>
        <v>5769</v>
      </c>
      <c r="N764" s="19">
        <f t="shared" si="13"/>
        <v>5199</v>
      </c>
    </row>
    <row r="765" ht="24.75" customHeight="1">
      <c r="A765" s="21" t="s">
        <v>728</v>
      </c>
      <c r="B765" s="13">
        <f>IFERROR(__xludf.DUMMYFUNCTION("GOOGLEFINANCE(A765,""PRICE"")"),745.0)</f>
        <v>745</v>
      </c>
      <c r="C765" s="14">
        <f>IFERROR(__xludf.DUMMYFUNCTION("GOOGLEFINANCE(A765,""PRICEOPEN"")"),718.8)</f>
        <v>718.8</v>
      </c>
      <c r="D765" s="14">
        <f>IFERROR(__xludf.DUMMYFUNCTION("GOOGLEFINANCE(A765,""HIGH"")"),748.95)</f>
        <v>748.95</v>
      </c>
      <c r="E765" s="14">
        <f>IFERROR(__xludf.DUMMYFUNCTION("GOOGLEFINANCE(A765,""LOW"")"),716.1)</f>
        <v>716.1</v>
      </c>
      <c r="F765" s="15" t="str">
        <f t="shared" si="8"/>
        <v/>
      </c>
      <c r="G765" s="16">
        <f>IFERROR(__xludf.DUMMYFUNCTION("GOOGLEFINANCE(A765,""CLOSEYEST"")"),712.45)</f>
        <v>712.45</v>
      </c>
      <c r="H765" s="17" t="str">
        <f t="shared" si="14"/>
        <v/>
      </c>
      <c r="I765" s="18">
        <f t="shared" si="9"/>
        <v>725.8333333</v>
      </c>
      <c r="J765" s="19">
        <f t="shared" si="10"/>
        <v>735.5666667</v>
      </c>
      <c r="K765" s="19"/>
      <c r="L765" s="19">
        <f t="shared" si="11"/>
        <v>702.7166667</v>
      </c>
      <c r="M765" s="19">
        <f t="shared" si="12"/>
        <v>758.6833333</v>
      </c>
      <c r="N765" s="19">
        <f t="shared" si="13"/>
        <v>692.9833333</v>
      </c>
    </row>
    <row r="766" ht="24.75" customHeight="1">
      <c r="A766" s="21" t="s">
        <v>729</v>
      </c>
      <c r="B766" s="13">
        <f>IFERROR(__xludf.DUMMYFUNCTION("GOOGLEFINANCE(A766,""PRICE"")"),43.53)</f>
        <v>43.53</v>
      </c>
      <c r="C766" s="14">
        <f>IFERROR(__xludf.DUMMYFUNCTION("GOOGLEFINANCE(A766,""PRICEOPEN"")"),43.25)</f>
        <v>43.25</v>
      </c>
      <c r="D766" s="14">
        <f>IFERROR(__xludf.DUMMYFUNCTION("GOOGLEFINANCE(A766,""HIGH"")"),43.7)</f>
        <v>43.7</v>
      </c>
      <c r="E766" s="14">
        <f>IFERROR(__xludf.DUMMYFUNCTION("GOOGLEFINANCE(A766,""LOW"")"),43.21)</f>
        <v>43.21</v>
      </c>
      <c r="F766" s="15" t="str">
        <f t="shared" si="8"/>
        <v/>
      </c>
      <c r="G766" s="16">
        <f>IFERROR(__xludf.DUMMYFUNCTION("GOOGLEFINANCE(A766,""CLOSEYEST"")"),43.08)</f>
        <v>43.08</v>
      </c>
      <c r="H766" s="17" t="str">
        <f t="shared" si="14"/>
        <v/>
      </c>
      <c r="I766" s="18">
        <f t="shared" si="9"/>
        <v>43.33</v>
      </c>
      <c r="J766" s="19">
        <f t="shared" si="10"/>
        <v>43.45</v>
      </c>
      <c r="K766" s="19"/>
      <c r="L766" s="19">
        <f t="shared" si="11"/>
        <v>42.96</v>
      </c>
      <c r="M766" s="19">
        <f t="shared" si="12"/>
        <v>43.82</v>
      </c>
      <c r="N766" s="19">
        <f t="shared" si="13"/>
        <v>42.84</v>
      </c>
    </row>
    <row r="767" ht="24.75" customHeight="1">
      <c r="A767" s="21" t="s">
        <v>730</v>
      </c>
      <c r="B767" s="13">
        <f>IFERROR(__xludf.DUMMYFUNCTION("GOOGLEFINANCE(A767,""PRICE"")"),1414.9)</f>
        <v>1414.9</v>
      </c>
      <c r="C767" s="14">
        <f>IFERROR(__xludf.DUMMYFUNCTION("GOOGLEFINANCE(A767,""PRICEOPEN"")"),1397.0)</f>
        <v>1397</v>
      </c>
      <c r="D767" s="14">
        <f>IFERROR(__xludf.DUMMYFUNCTION("GOOGLEFINANCE(A767,""HIGH"")"),1416.8)</f>
        <v>1416.8</v>
      </c>
      <c r="E767" s="14">
        <f>IFERROR(__xludf.DUMMYFUNCTION("GOOGLEFINANCE(A767,""LOW"")"),1382.3)</f>
        <v>1382.3</v>
      </c>
      <c r="F767" s="15" t="str">
        <f t="shared" si="8"/>
        <v/>
      </c>
      <c r="G767" s="16">
        <f>IFERROR(__xludf.DUMMYFUNCTION("GOOGLEFINANCE(A767,""CLOSEYEST"")"),1380.3)</f>
        <v>1380.3</v>
      </c>
      <c r="H767" s="17" t="str">
        <f t="shared" si="14"/>
        <v>GAP UP</v>
      </c>
      <c r="I767" s="18">
        <f t="shared" si="9"/>
        <v>1393.133333</v>
      </c>
      <c r="J767" s="19">
        <f t="shared" si="10"/>
        <v>1403.966667</v>
      </c>
      <c r="K767" s="19"/>
      <c r="L767" s="19">
        <f t="shared" si="11"/>
        <v>1369.466667</v>
      </c>
      <c r="M767" s="19">
        <f t="shared" si="12"/>
        <v>1427.633333</v>
      </c>
      <c r="N767" s="19">
        <f t="shared" si="13"/>
        <v>1358.633333</v>
      </c>
    </row>
    <row r="768" ht="24.75" customHeight="1">
      <c r="A768" s="21" t="s">
        <v>731</v>
      </c>
      <c r="B768" s="13">
        <f>IFERROR(__xludf.DUMMYFUNCTION("GOOGLEFINANCE(A768,""PRICE"")"),65.9)</f>
        <v>65.9</v>
      </c>
      <c r="C768" s="14">
        <f>IFERROR(__xludf.DUMMYFUNCTION("GOOGLEFINANCE(A768,""PRICEOPEN"")"),66.23)</f>
        <v>66.23</v>
      </c>
      <c r="D768" s="14">
        <f>IFERROR(__xludf.DUMMYFUNCTION("GOOGLEFINANCE(A768,""HIGH"")"),66.36)</f>
        <v>66.36</v>
      </c>
      <c r="E768" s="14">
        <f>IFERROR(__xludf.DUMMYFUNCTION("GOOGLEFINANCE(A768,""LOW"")"),64.83)</f>
        <v>64.83</v>
      </c>
      <c r="F768" s="15" t="str">
        <f t="shared" si="8"/>
        <v/>
      </c>
      <c r="G768" s="16">
        <f>IFERROR(__xludf.DUMMYFUNCTION("GOOGLEFINANCE(A768,""CLOSEYEST"")"),64.94)</f>
        <v>64.94</v>
      </c>
      <c r="H768" s="17" t="str">
        <f t="shared" si="14"/>
        <v>GAP UP</v>
      </c>
      <c r="I768" s="18">
        <f t="shared" si="9"/>
        <v>65.37666667</v>
      </c>
      <c r="J768" s="19">
        <f t="shared" si="10"/>
        <v>65.92333333</v>
      </c>
      <c r="K768" s="19"/>
      <c r="L768" s="19">
        <f t="shared" si="11"/>
        <v>64.39333333</v>
      </c>
      <c r="M768" s="19">
        <f t="shared" si="12"/>
        <v>66.90666667</v>
      </c>
      <c r="N768" s="19">
        <f t="shared" si="13"/>
        <v>63.84666667</v>
      </c>
    </row>
    <row r="769" ht="24.75" customHeight="1">
      <c r="A769" s="21" t="s">
        <v>732</v>
      </c>
      <c r="B769" s="13">
        <f>IFERROR(__xludf.DUMMYFUNCTION("GOOGLEFINANCE(A769,""PRICE"")"),45.9)</f>
        <v>45.9</v>
      </c>
      <c r="C769" s="14">
        <f>IFERROR(__xludf.DUMMYFUNCTION("GOOGLEFINANCE(A769,""PRICEOPEN"")"),45.9)</f>
        <v>45.9</v>
      </c>
      <c r="D769" s="14">
        <f>IFERROR(__xludf.DUMMYFUNCTION("GOOGLEFINANCE(A769,""HIGH"")"),46.1)</f>
        <v>46.1</v>
      </c>
      <c r="E769" s="14">
        <f>IFERROR(__xludf.DUMMYFUNCTION("GOOGLEFINANCE(A769,""LOW"")"),45.58)</f>
        <v>45.58</v>
      </c>
      <c r="F769" s="15" t="str">
        <f t="shared" si="8"/>
        <v/>
      </c>
      <c r="G769" s="16">
        <f>IFERROR(__xludf.DUMMYFUNCTION("GOOGLEFINANCE(A769,""CLOSEYEST"")"),45.68)</f>
        <v>45.68</v>
      </c>
      <c r="H769" s="17" t="str">
        <f t="shared" si="14"/>
        <v/>
      </c>
      <c r="I769" s="18">
        <f t="shared" si="9"/>
        <v>45.78666667</v>
      </c>
      <c r="J769" s="19">
        <f t="shared" si="10"/>
        <v>45.99333333</v>
      </c>
      <c r="K769" s="19"/>
      <c r="L769" s="19">
        <f t="shared" si="11"/>
        <v>45.47333333</v>
      </c>
      <c r="M769" s="19">
        <f t="shared" si="12"/>
        <v>46.30666667</v>
      </c>
      <c r="N769" s="19">
        <f t="shared" si="13"/>
        <v>45.26666667</v>
      </c>
    </row>
    <row r="770" ht="24.75" customHeight="1">
      <c r="A770" s="21" t="s">
        <v>733</v>
      </c>
      <c r="B770" s="13">
        <f>IFERROR(__xludf.DUMMYFUNCTION("GOOGLEFINANCE(A770,""PRICE"")"),889.8)</f>
        <v>889.8</v>
      </c>
      <c r="C770" s="14">
        <f>IFERROR(__xludf.DUMMYFUNCTION("GOOGLEFINANCE(A770,""PRICEOPEN"")"),854.45)</f>
        <v>854.45</v>
      </c>
      <c r="D770" s="14">
        <f>IFERROR(__xludf.DUMMYFUNCTION("GOOGLEFINANCE(A770,""HIGH"")"),892.35)</f>
        <v>892.35</v>
      </c>
      <c r="E770" s="14">
        <f>IFERROR(__xludf.DUMMYFUNCTION("GOOGLEFINANCE(A770,""LOW"")"),850.95)</f>
        <v>850.95</v>
      </c>
      <c r="F770" s="15" t="str">
        <f t="shared" si="8"/>
        <v/>
      </c>
      <c r="G770" s="16">
        <f>IFERROR(__xludf.DUMMYFUNCTION("GOOGLEFINANCE(A770,""CLOSEYEST"")"),854.45)</f>
        <v>854.45</v>
      </c>
      <c r="H770" s="17" t="str">
        <f t="shared" si="14"/>
        <v/>
      </c>
      <c r="I770" s="18">
        <f t="shared" si="9"/>
        <v>865.9166667</v>
      </c>
      <c r="J770" s="19">
        <f t="shared" si="10"/>
        <v>880.8833333</v>
      </c>
      <c r="K770" s="19"/>
      <c r="L770" s="19">
        <f t="shared" si="11"/>
        <v>839.4833333</v>
      </c>
      <c r="M770" s="19">
        <f t="shared" si="12"/>
        <v>907.3166667</v>
      </c>
      <c r="N770" s="19">
        <f t="shared" si="13"/>
        <v>824.5166667</v>
      </c>
    </row>
    <row r="771" ht="24.75" customHeight="1">
      <c r="A771" s="21" t="s">
        <v>734</v>
      </c>
      <c r="B771" s="13">
        <f>IFERROR(__xludf.DUMMYFUNCTION("GOOGLEFINANCE(A771,""PRICE"")"),10.41)</f>
        <v>10.41</v>
      </c>
      <c r="C771" s="14">
        <f>IFERROR(__xludf.DUMMYFUNCTION("GOOGLEFINANCE(A771,""PRICEOPEN"")"),10.2)</f>
        <v>10.2</v>
      </c>
      <c r="D771" s="14">
        <f>IFERROR(__xludf.DUMMYFUNCTION("GOOGLEFINANCE(A771,""HIGH"")"),10.54)</f>
        <v>10.54</v>
      </c>
      <c r="E771" s="14">
        <f>IFERROR(__xludf.DUMMYFUNCTION("GOOGLEFINANCE(A771,""LOW"")"),10.15)</f>
        <v>10.15</v>
      </c>
      <c r="F771" s="15" t="str">
        <f t="shared" si="8"/>
        <v/>
      </c>
      <c r="G771" s="16">
        <f>IFERROR(__xludf.DUMMYFUNCTION("GOOGLEFINANCE(A771,""CLOSEYEST"")"),10.27)</f>
        <v>10.27</v>
      </c>
      <c r="H771" s="17" t="str">
        <f t="shared" si="14"/>
        <v/>
      </c>
      <c r="I771" s="18">
        <f t="shared" si="9"/>
        <v>10.32</v>
      </c>
      <c r="J771" s="19">
        <f t="shared" si="10"/>
        <v>10.49</v>
      </c>
      <c r="K771" s="19"/>
      <c r="L771" s="19">
        <f t="shared" si="11"/>
        <v>10.1</v>
      </c>
      <c r="M771" s="19">
        <f t="shared" si="12"/>
        <v>10.71</v>
      </c>
      <c r="N771" s="19">
        <f t="shared" si="13"/>
        <v>9.93</v>
      </c>
    </row>
    <row r="772" ht="24.75" customHeight="1">
      <c r="A772" s="21" t="s">
        <v>735</v>
      </c>
      <c r="B772" s="13">
        <f>IFERROR(__xludf.DUMMYFUNCTION("GOOGLEFINANCE(A772,""PRICE"")"),17.5)</f>
        <v>17.5</v>
      </c>
      <c r="C772" s="14">
        <f>IFERROR(__xludf.DUMMYFUNCTION("GOOGLEFINANCE(A772,""PRICEOPEN"")"),17.5)</f>
        <v>17.5</v>
      </c>
      <c r="D772" s="14">
        <f>IFERROR(__xludf.DUMMYFUNCTION("GOOGLEFINANCE(A772,""HIGH"")"),17.5)</f>
        <v>17.5</v>
      </c>
      <c r="E772" s="14">
        <f>IFERROR(__xludf.DUMMYFUNCTION("GOOGLEFINANCE(A772,""LOW"")"),17.5)</f>
        <v>17.5</v>
      </c>
      <c r="F772" s="15" t="str">
        <f t="shared" si="8"/>
        <v>SELL</v>
      </c>
      <c r="G772" s="16">
        <f>IFERROR(__xludf.DUMMYFUNCTION("GOOGLEFINANCE(A772,""CLOSEYEST"")"),17.7)</f>
        <v>17.7</v>
      </c>
      <c r="H772" s="17" t="str">
        <f t="shared" si="14"/>
        <v>GAP DOWN</v>
      </c>
      <c r="I772" s="18">
        <f t="shared" si="9"/>
        <v>17.56666667</v>
      </c>
      <c r="J772" s="19">
        <f t="shared" si="10"/>
        <v>17.63333333</v>
      </c>
      <c r="K772" s="19"/>
      <c r="L772" s="19">
        <f t="shared" si="11"/>
        <v>17.63333333</v>
      </c>
      <c r="M772" s="19">
        <f t="shared" si="12"/>
        <v>17.56666667</v>
      </c>
      <c r="N772" s="19">
        <f t="shared" si="13"/>
        <v>17.56666667</v>
      </c>
    </row>
    <row r="773" ht="24.75" customHeight="1">
      <c r="A773" s="21" t="s">
        <v>736</v>
      </c>
      <c r="B773" s="13">
        <f>IFERROR(__xludf.DUMMYFUNCTION("GOOGLEFINANCE(A773,""PRICE"")"),20.69)</f>
        <v>20.69</v>
      </c>
      <c r="C773" s="14">
        <f>IFERROR(__xludf.DUMMYFUNCTION("GOOGLEFINANCE(A773,""PRICEOPEN"")"),20.26)</f>
        <v>20.26</v>
      </c>
      <c r="D773" s="14">
        <f>IFERROR(__xludf.DUMMYFUNCTION("GOOGLEFINANCE(A773,""HIGH"")"),20.79)</f>
        <v>20.79</v>
      </c>
      <c r="E773" s="14">
        <f>IFERROR(__xludf.DUMMYFUNCTION("GOOGLEFINANCE(A773,""LOW"")"),20.26)</f>
        <v>20.26</v>
      </c>
      <c r="F773" s="15" t="str">
        <f t="shared" si="8"/>
        <v>BUY</v>
      </c>
      <c r="G773" s="16">
        <f>IFERROR(__xludf.DUMMYFUNCTION("GOOGLEFINANCE(A773,""CLOSEYEST"")"),20.23)</f>
        <v>20.23</v>
      </c>
      <c r="H773" s="17" t="str">
        <f t="shared" si="14"/>
        <v/>
      </c>
      <c r="I773" s="18">
        <f t="shared" si="9"/>
        <v>20.42666667</v>
      </c>
      <c r="J773" s="19">
        <f t="shared" si="10"/>
        <v>20.59333333</v>
      </c>
      <c r="K773" s="19"/>
      <c r="L773" s="19">
        <f t="shared" si="11"/>
        <v>20.06333333</v>
      </c>
      <c r="M773" s="19">
        <f t="shared" si="12"/>
        <v>20.95666667</v>
      </c>
      <c r="N773" s="19">
        <f t="shared" si="13"/>
        <v>19.89666667</v>
      </c>
    </row>
    <row r="774" ht="24.75" customHeight="1">
      <c r="A774" s="21" t="s">
        <v>737</v>
      </c>
      <c r="B774" s="13">
        <f>IFERROR(__xludf.DUMMYFUNCTION("GOOGLEFINANCE(A774,""PRICE"")"),2168.4)</f>
        <v>2168.4</v>
      </c>
      <c r="C774" s="14">
        <f>IFERROR(__xludf.DUMMYFUNCTION("GOOGLEFINANCE(A774,""PRICEOPEN"")"),2210.0)</f>
        <v>2210</v>
      </c>
      <c r="D774" s="14">
        <f>IFERROR(__xludf.DUMMYFUNCTION("GOOGLEFINANCE(A774,""HIGH"")"),2210.0)</f>
        <v>2210</v>
      </c>
      <c r="E774" s="14">
        <f>IFERROR(__xludf.DUMMYFUNCTION("GOOGLEFINANCE(A774,""LOW"")"),2158.0)</f>
        <v>2158</v>
      </c>
      <c r="F774" s="15" t="str">
        <f t="shared" si="8"/>
        <v>SELL</v>
      </c>
      <c r="G774" s="16">
        <f>IFERROR(__xludf.DUMMYFUNCTION("GOOGLEFINANCE(A774,""CLOSEYEST"")"),2183.2)</f>
        <v>2183.2</v>
      </c>
      <c r="H774" s="17" t="str">
        <f t="shared" si="14"/>
        <v>GAP UP</v>
      </c>
      <c r="I774" s="18">
        <f t="shared" si="9"/>
        <v>2183.733333</v>
      </c>
      <c r="J774" s="19">
        <f t="shared" si="10"/>
        <v>2209.466667</v>
      </c>
      <c r="K774" s="19"/>
      <c r="L774" s="19">
        <f t="shared" si="11"/>
        <v>2157.466667</v>
      </c>
      <c r="M774" s="19">
        <f t="shared" si="12"/>
        <v>2235.733333</v>
      </c>
      <c r="N774" s="19">
        <f t="shared" si="13"/>
        <v>2131.733333</v>
      </c>
    </row>
    <row r="775" ht="24.75" customHeight="1">
      <c r="A775" s="21" t="s">
        <v>738</v>
      </c>
      <c r="B775" s="13">
        <f>IFERROR(__xludf.DUMMYFUNCTION("GOOGLEFINANCE(A775,""PRICE"")"),451.05)</f>
        <v>451.05</v>
      </c>
      <c r="C775" s="14">
        <f>IFERROR(__xludf.DUMMYFUNCTION("GOOGLEFINANCE(A775,""PRICEOPEN"")"),449.35)</f>
        <v>449.35</v>
      </c>
      <c r="D775" s="14">
        <f>IFERROR(__xludf.DUMMYFUNCTION("GOOGLEFINANCE(A775,""HIGH"")"),454.65)</f>
        <v>454.65</v>
      </c>
      <c r="E775" s="14">
        <f>IFERROR(__xludf.DUMMYFUNCTION("GOOGLEFINANCE(A775,""LOW"")"),448.25)</f>
        <v>448.25</v>
      </c>
      <c r="F775" s="15" t="str">
        <f t="shared" si="8"/>
        <v/>
      </c>
      <c r="G775" s="16">
        <f>IFERROR(__xludf.DUMMYFUNCTION("GOOGLEFINANCE(A775,""CLOSEYEST"")"),448.25)</f>
        <v>448.25</v>
      </c>
      <c r="H775" s="17" t="str">
        <f t="shared" si="14"/>
        <v/>
      </c>
      <c r="I775" s="18">
        <f t="shared" si="9"/>
        <v>450.3833333</v>
      </c>
      <c r="J775" s="19">
        <f t="shared" si="10"/>
        <v>452.5166667</v>
      </c>
      <c r="K775" s="19"/>
      <c r="L775" s="19">
        <f t="shared" si="11"/>
        <v>446.1166667</v>
      </c>
      <c r="M775" s="19">
        <f t="shared" si="12"/>
        <v>456.7833333</v>
      </c>
      <c r="N775" s="19">
        <f t="shared" si="13"/>
        <v>443.9833333</v>
      </c>
    </row>
    <row r="776" ht="24.75" customHeight="1">
      <c r="A776" s="21" t="s">
        <v>739</v>
      </c>
      <c r="B776" s="13">
        <f>IFERROR(__xludf.DUMMYFUNCTION("GOOGLEFINANCE(A776,""PRICE"")"),1409.0)</f>
        <v>1409</v>
      </c>
      <c r="C776" s="14">
        <f>IFERROR(__xludf.DUMMYFUNCTION("GOOGLEFINANCE(A776,""PRICEOPEN"")"),1440.0)</f>
        <v>1440</v>
      </c>
      <c r="D776" s="14">
        <f>IFERROR(__xludf.DUMMYFUNCTION("GOOGLEFINANCE(A776,""HIGH"")"),1440.9)</f>
        <v>1440.9</v>
      </c>
      <c r="E776" s="14">
        <f>IFERROR(__xludf.DUMMYFUNCTION("GOOGLEFINANCE(A776,""LOW"")"),1403.0)</f>
        <v>1403</v>
      </c>
      <c r="F776" s="15" t="str">
        <f t="shared" si="8"/>
        <v/>
      </c>
      <c r="G776" s="16">
        <f>IFERROR(__xludf.DUMMYFUNCTION("GOOGLEFINANCE(A776,""CLOSEYEST"")"),1431.6)</f>
        <v>1431.6</v>
      </c>
      <c r="H776" s="17" t="str">
        <f t="shared" si="14"/>
        <v/>
      </c>
      <c r="I776" s="18">
        <f t="shared" si="9"/>
        <v>1425.166667</v>
      </c>
      <c r="J776" s="19">
        <f t="shared" si="10"/>
        <v>1447.333333</v>
      </c>
      <c r="K776" s="19"/>
      <c r="L776" s="19">
        <f t="shared" si="11"/>
        <v>1409.433333</v>
      </c>
      <c r="M776" s="19">
        <f t="shared" si="12"/>
        <v>1463.066667</v>
      </c>
      <c r="N776" s="19">
        <f t="shared" si="13"/>
        <v>1387.266667</v>
      </c>
    </row>
    <row r="777" ht="24.75" customHeight="1">
      <c r="A777" s="21" t="s">
        <v>740</v>
      </c>
      <c r="B777" s="13">
        <f>IFERROR(__xludf.DUMMYFUNCTION("GOOGLEFINANCE(A777,""PRICE"")"),174.25)</f>
        <v>174.25</v>
      </c>
      <c r="C777" s="14">
        <f>IFERROR(__xludf.DUMMYFUNCTION("GOOGLEFINANCE(A777,""PRICEOPEN"")"),173.4)</f>
        <v>173.4</v>
      </c>
      <c r="D777" s="14">
        <f>IFERROR(__xludf.DUMMYFUNCTION("GOOGLEFINANCE(A777,""HIGH"")"),174.3)</f>
        <v>174.3</v>
      </c>
      <c r="E777" s="14">
        <f>IFERROR(__xludf.DUMMYFUNCTION("GOOGLEFINANCE(A777,""LOW"")"),172.58)</f>
        <v>172.58</v>
      </c>
      <c r="F777" s="15" t="str">
        <f t="shared" si="8"/>
        <v/>
      </c>
      <c r="G777" s="16">
        <f>IFERROR(__xludf.DUMMYFUNCTION("GOOGLEFINANCE(A777,""CLOSEYEST"")"),173.08)</f>
        <v>173.08</v>
      </c>
      <c r="H777" s="17" t="str">
        <f t="shared" si="14"/>
        <v/>
      </c>
      <c r="I777" s="18">
        <f t="shared" si="9"/>
        <v>173.32</v>
      </c>
      <c r="J777" s="19">
        <f t="shared" si="10"/>
        <v>174.06</v>
      </c>
      <c r="K777" s="19"/>
      <c r="L777" s="19">
        <f t="shared" si="11"/>
        <v>172.34</v>
      </c>
      <c r="M777" s="19">
        <f t="shared" si="12"/>
        <v>175.04</v>
      </c>
      <c r="N777" s="19">
        <f t="shared" si="13"/>
        <v>171.6</v>
      </c>
    </row>
    <row r="778" ht="24.75" customHeight="1">
      <c r="A778" s="21" t="s">
        <v>741</v>
      </c>
      <c r="B778" s="13">
        <f>IFERROR(__xludf.DUMMYFUNCTION("GOOGLEFINANCE(A778,""PRICE"")"),7175.5)</f>
        <v>7175.5</v>
      </c>
      <c r="C778" s="14">
        <f>IFERROR(__xludf.DUMMYFUNCTION("GOOGLEFINANCE(A778,""PRICEOPEN"")"),7235.0)</f>
        <v>7235</v>
      </c>
      <c r="D778" s="14">
        <f>IFERROR(__xludf.DUMMYFUNCTION("GOOGLEFINANCE(A778,""HIGH"")"),7235.0)</f>
        <v>7235</v>
      </c>
      <c r="E778" s="14">
        <f>IFERROR(__xludf.DUMMYFUNCTION("GOOGLEFINANCE(A778,""LOW"")"),7159.0)</f>
        <v>7159</v>
      </c>
      <c r="F778" s="15" t="str">
        <f t="shared" si="8"/>
        <v>SELL</v>
      </c>
      <c r="G778" s="16">
        <f>IFERROR(__xludf.DUMMYFUNCTION("GOOGLEFINANCE(A778,""CLOSEYEST"")"),7183.5)</f>
        <v>7183.5</v>
      </c>
      <c r="H778" s="17" t="str">
        <f t="shared" si="14"/>
        <v/>
      </c>
      <c r="I778" s="18">
        <f t="shared" si="9"/>
        <v>7192.5</v>
      </c>
      <c r="J778" s="19">
        <f t="shared" si="10"/>
        <v>7226</v>
      </c>
      <c r="K778" s="19"/>
      <c r="L778" s="19">
        <f t="shared" si="11"/>
        <v>7150</v>
      </c>
      <c r="M778" s="19">
        <f t="shared" si="12"/>
        <v>7268.5</v>
      </c>
      <c r="N778" s="19">
        <f t="shared" si="13"/>
        <v>7116.5</v>
      </c>
    </row>
    <row r="779" ht="24.75" customHeight="1">
      <c r="A779" s="21" t="s">
        <v>742</v>
      </c>
      <c r="B779" s="13">
        <f>IFERROR(__xludf.DUMMYFUNCTION("GOOGLEFINANCE(A779,""PRICE"")"),1013.5)</f>
        <v>1013.5</v>
      </c>
      <c r="C779" s="14">
        <f>IFERROR(__xludf.DUMMYFUNCTION("GOOGLEFINANCE(A779,""PRICEOPEN"")"),1016.9)</f>
        <v>1016.9</v>
      </c>
      <c r="D779" s="14">
        <f>IFERROR(__xludf.DUMMYFUNCTION("GOOGLEFINANCE(A779,""HIGH"")"),1028.3)</f>
        <v>1028.3</v>
      </c>
      <c r="E779" s="14">
        <f>IFERROR(__xludf.DUMMYFUNCTION("GOOGLEFINANCE(A779,""LOW"")"),1013.5)</f>
        <v>1013.5</v>
      </c>
      <c r="F779" s="15" t="str">
        <f t="shared" si="8"/>
        <v/>
      </c>
      <c r="G779" s="16">
        <f>IFERROR(__xludf.DUMMYFUNCTION("GOOGLEFINANCE(A779,""CLOSEYEST"")"),1023.8)</f>
        <v>1023.8</v>
      </c>
      <c r="H779" s="17" t="str">
        <f t="shared" si="14"/>
        <v/>
      </c>
      <c r="I779" s="18">
        <f t="shared" si="9"/>
        <v>1021.866667</v>
      </c>
      <c r="J779" s="19">
        <f t="shared" si="10"/>
        <v>1030.233333</v>
      </c>
      <c r="K779" s="19"/>
      <c r="L779" s="19">
        <f t="shared" si="11"/>
        <v>1015.433333</v>
      </c>
      <c r="M779" s="19">
        <f t="shared" si="12"/>
        <v>1036.666667</v>
      </c>
      <c r="N779" s="19">
        <f t="shared" si="13"/>
        <v>1007.066667</v>
      </c>
    </row>
    <row r="780" ht="24.75" customHeight="1">
      <c r="A780" s="21" t="s">
        <v>743</v>
      </c>
      <c r="B780" s="13">
        <f>IFERROR(__xludf.DUMMYFUNCTION("GOOGLEFINANCE(A780,""PRICE"")"),2257.0)</f>
        <v>2257</v>
      </c>
      <c r="C780" s="14">
        <f>IFERROR(__xludf.DUMMYFUNCTION("GOOGLEFINANCE(A780,""PRICEOPEN"")"),2290.0)</f>
        <v>2290</v>
      </c>
      <c r="D780" s="14">
        <f>IFERROR(__xludf.DUMMYFUNCTION("GOOGLEFINANCE(A780,""HIGH"")"),2290.0)</f>
        <v>2290</v>
      </c>
      <c r="E780" s="14">
        <f>IFERROR(__xludf.DUMMYFUNCTION("GOOGLEFINANCE(A780,""LOW"")"),2238.2)</f>
        <v>2238.2</v>
      </c>
      <c r="F780" s="15" t="str">
        <f t="shared" si="8"/>
        <v>SELL</v>
      </c>
      <c r="G780" s="16">
        <f>IFERROR(__xludf.DUMMYFUNCTION("GOOGLEFINANCE(A780,""CLOSEYEST"")"),2261.4)</f>
        <v>2261.4</v>
      </c>
      <c r="H780" s="17" t="str">
        <f t="shared" si="14"/>
        <v>GAP UP</v>
      </c>
      <c r="I780" s="18">
        <f t="shared" si="9"/>
        <v>2263.2</v>
      </c>
      <c r="J780" s="19">
        <f t="shared" si="10"/>
        <v>2288.2</v>
      </c>
      <c r="K780" s="19"/>
      <c r="L780" s="19">
        <f t="shared" si="11"/>
        <v>2236.4</v>
      </c>
      <c r="M780" s="19">
        <f t="shared" si="12"/>
        <v>2315</v>
      </c>
      <c r="N780" s="19">
        <f t="shared" si="13"/>
        <v>2211.4</v>
      </c>
    </row>
    <row r="781" ht="24.75" customHeight="1">
      <c r="A781" s="21" t="s">
        <v>744</v>
      </c>
      <c r="B781" s="13">
        <f>IFERROR(__xludf.DUMMYFUNCTION("GOOGLEFINANCE(A781,""PRICE"")"),1116.0)</f>
        <v>1116</v>
      </c>
      <c r="C781" s="14">
        <f>IFERROR(__xludf.DUMMYFUNCTION("GOOGLEFINANCE(A781,""PRICEOPEN"")"),1012.05)</f>
        <v>1012.05</v>
      </c>
      <c r="D781" s="14">
        <f>IFERROR(__xludf.DUMMYFUNCTION("GOOGLEFINANCE(A781,""HIGH"")"),1136.45)</f>
        <v>1136.45</v>
      </c>
      <c r="E781" s="14">
        <f>IFERROR(__xludf.DUMMYFUNCTION("GOOGLEFINANCE(A781,""LOW"")"),1006.1)</f>
        <v>1006.1</v>
      </c>
      <c r="F781" s="15" t="str">
        <f t="shared" si="8"/>
        <v/>
      </c>
      <c r="G781" s="16">
        <f>IFERROR(__xludf.DUMMYFUNCTION("GOOGLEFINANCE(A781,""CLOSEYEST"")"),1003.5)</f>
        <v>1003.5</v>
      </c>
      <c r="H781" s="17" t="str">
        <f t="shared" si="14"/>
        <v/>
      </c>
      <c r="I781" s="18">
        <f t="shared" si="9"/>
        <v>1048.683333</v>
      </c>
      <c r="J781" s="19">
        <f t="shared" si="10"/>
        <v>1091.266667</v>
      </c>
      <c r="K781" s="19"/>
      <c r="L781" s="19">
        <f t="shared" si="11"/>
        <v>960.9166667</v>
      </c>
      <c r="M781" s="19">
        <f t="shared" si="12"/>
        <v>1179.033333</v>
      </c>
      <c r="N781" s="19">
        <f t="shared" si="13"/>
        <v>918.3333333</v>
      </c>
    </row>
    <row r="782" ht="24.75" customHeight="1">
      <c r="A782" s="21" t="s">
        <v>745</v>
      </c>
      <c r="B782" s="13">
        <f>IFERROR(__xludf.DUMMYFUNCTION("GOOGLEFINANCE(A782,""PRICE"")"),15196.0)</f>
        <v>15196</v>
      </c>
      <c r="C782" s="14">
        <f>IFERROR(__xludf.DUMMYFUNCTION("GOOGLEFINANCE(A782,""PRICEOPEN"")"),15440.0)</f>
        <v>15440</v>
      </c>
      <c r="D782" s="14">
        <f>IFERROR(__xludf.DUMMYFUNCTION("GOOGLEFINANCE(A782,""HIGH"")"),15940.0)</f>
        <v>15940</v>
      </c>
      <c r="E782" s="14">
        <f>IFERROR(__xludf.DUMMYFUNCTION("GOOGLEFINANCE(A782,""LOW"")"),15110.0)</f>
        <v>15110</v>
      </c>
      <c r="F782" s="15" t="str">
        <f t="shared" si="8"/>
        <v/>
      </c>
      <c r="G782" s="16">
        <f>IFERROR(__xludf.DUMMYFUNCTION("GOOGLEFINANCE(A782,""CLOSEYEST"")"),15386.0)</f>
        <v>15386</v>
      </c>
      <c r="H782" s="17" t="str">
        <f t="shared" si="14"/>
        <v/>
      </c>
      <c r="I782" s="18">
        <f t="shared" si="9"/>
        <v>15478.66667</v>
      </c>
      <c r="J782" s="19">
        <f t="shared" si="10"/>
        <v>15847.33333</v>
      </c>
      <c r="K782" s="19"/>
      <c r="L782" s="19">
        <f t="shared" si="11"/>
        <v>15017.33333</v>
      </c>
      <c r="M782" s="19">
        <f t="shared" si="12"/>
        <v>16308.66667</v>
      </c>
      <c r="N782" s="19">
        <f t="shared" si="13"/>
        <v>14648.66667</v>
      </c>
    </row>
    <row r="783" ht="24.75" customHeight="1">
      <c r="A783" s="21" t="s">
        <v>746</v>
      </c>
      <c r="B783" s="13">
        <f>IFERROR(__xludf.DUMMYFUNCTION("GOOGLEFINANCE(A783,""PRICE"")"),520.8)</f>
        <v>520.8</v>
      </c>
      <c r="C783" s="14">
        <f>IFERROR(__xludf.DUMMYFUNCTION("GOOGLEFINANCE(A783,""PRICEOPEN"")"),521.0)</f>
        <v>521</v>
      </c>
      <c r="D783" s="14">
        <f>IFERROR(__xludf.DUMMYFUNCTION("GOOGLEFINANCE(A783,""HIGH"")"),529.6)</f>
        <v>529.6</v>
      </c>
      <c r="E783" s="14">
        <f>IFERROR(__xludf.DUMMYFUNCTION("GOOGLEFINANCE(A783,""LOW"")"),519.75)</f>
        <v>519.75</v>
      </c>
      <c r="F783" s="15" t="str">
        <f t="shared" si="8"/>
        <v/>
      </c>
      <c r="G783" s="16">
        <f>IFERROR(__xludf.DUMMYFUNCTION("GOOGLEFINANCE(A783,""CLOSEYEST"")"),526.5)</f>
        <v>526.5</v>
      </c>
      <c r="H783" s="17" t="str">
        <f t="shared" si="14"/>
        <v>GAP DOWN</v>
      </c>
      <c r="I783" s="18">
        <f t="shared" si="9"/>
        <v>525.2833333</v>
      </c>
      <c r="J783" s="19">
        <f t="shared" si="10"/>
        <v>530.8166667</v>
      </c>
      <c r="K783" s="19"/>
      <c r="L783" s="19">
        <f t="shared" si="11"/>
        <v>520.9666667</v>
      </c>
      <c r="M783" s="19">
        <f t="shared" si="12"/>
        <v>535.1333333</v>
      </c>
      <c r="N783" s="19">
        <f t="shared" si="13"/>
        <v>515.4333333</v>
      </c>
    </row>
    <row r="784" ht="24.75" customHeight="1">
      <c r="A784" s="21" t="s">
        <v>747</v>
      </c>
      <c r="B784" s="13">
        <f>IFERROR(__xludf.DUMMYFUNCTION("GOOGLEFINANCE(A784,""PRICE"")"),1277.0)</f>
        <v>1277</v>
      </c>
      <c r="C784" s="14">
        <f>IFERROR(__xludf.DUMMYFUNCTION("GOOGLEFINANCE(A784,""PRICEOPEN"")"),1228.1)</f>
        <v>1228.1</v>
      </c>
      <c r="D784" s="14">
        <f>IFERROR(__xludf.DUMMYFUNCTION("GOOGLEFINANCE(A784,""HIGH"")"),1300.0)</f>
        <v>1300</v>
      </c>
      <c r="E784" s="14">
        <f>IFERROR(__xludf.DUMMYFUNCTION("GOOGLEFINANCE(A784,""LOW"")"),1228.0)</f>
        <v>1228</v>
      </c>
      <c r="F784" s="15" t="str">
        <f t="shared" si="8"/>
        <v/>
      </c>
      <c r="G784" s="16">
        <f>IFERROR(__xludf.DUMMYFUNCTION("GOOGLEFINANCE(A784,""CLOSEYEST"")"),1241.1)</f>
        <v>1241.1</v>
      </c>
      <c r="H784" s="17" t="str">
        <f t="shared" si="14"/>
        <v>GAP DOWN</v>
      </c>
      <c r="I784" s="18">
        <f t="shared" si="9"/>
        <v>1256.366667</v>
      </c>
      <c r="J784" s="19">
        <f t="shared" si="10"/>
        <v>1284.733333</v>
      </c>
      <c r="K784" s="19"/>
      <c r="L784" s="19">
        <f t="shared" si="11"/>
        <v>1212.733333</v>
      </c>
      <c r="M784" s="19">
        <f t="shared" si="12"/>
        <v>1328.366667</v>
      </c>
      <c r="N784" s="19">
        <f t="shared" si="13"/>
        <v>1184.366667</v>
      </c>
    </row>
    <row r="785" ht="24.75" customHeight="1">
      <c r="A785" s="21" t="s">
        <v>748</v>
      </c>
      <c r="B785" s="13">
        <f>IFERROR(__xludf.DUMMYFUNCTION("GOOGLEFINANCE(A785,""PRICE"")"),176.0)</f>
        <v>176</v>
      </c>
      <c r="C785" s="14">
        <f>IFERROR(__xludf.DUMMYFUNCTION("GOOGLEFINANCE(A785,""PRICEOPEN"")"),174.99)</f>
        <v>174.99</v>
      </c>
      <c r="D785" s="14">
        <f>IFERROR(__xludf.DUMMYFUNCTION("GOOGLEFINANCE(A785,""HIGH"")"),181.0)</f>
        <v>181</v>
      </c>
      <c r="E785" s="14">
        <f>IFERROR(__xludf.DUMMYFUNCTION("GOOGLEFINANCE(A785,""LOW"")"),172.16)</f>
        <v>172.16</v>
      </c>
      <c r="F785" s="15" t="str">
        <f t="shared" si="8"/>
        <v/>
      </c>
      <c r="G785" s="16">
        <f>IFERROR(__xludf.DUMMYFUNCTION("GOOGLEFINANCE(A785,""CLOSEYEST"")"),173.38)</f>
        <v>173.38</v>
      </c>
      <c r="H785" s="17" t="str">
        <f t="shared" si="14"/>
        <v/>
      </c>
      <c r="I785" s="18">
        <f t="shared" si="9"/>
        <v>175.5133333</v>
      </c>
      <c r="J785" s="19">
        <f t="shared" si="10"/>
        <v>178.8666667</v>
      </c>
      <c r="K785" s="19"/>
      <c r="L785" s="19">
        <f t="shared" si="11"/>
        <v>170.0266667</v>
      </c>
      <c r="M785" s="19">
        <f t="shared" si="12"/>
        <v>184.3533333</v>
      </c>
      <c r="N785" s="19">
        <f t="shared" si="13"/>
        <v>166.6733333</v>
      </c>
    </row>
    <row r="786" ht="24.75" customHeight="1">
      <c r="A786" s="21" t="s">
        <v>749</v>
      </c>
      <c r="B786" s="13">
        <f>IFERROR(__xludf.DUMMYFUNCTION("GOOGLEFINANCE(A786,""PRICE"")"),853.0)</f>
        <v>853</v>
      </c>
      <c r="C786" s="14">
        <f>IFERROR(__xludf.DUMMYFUNCTION("GOOGLEFINANCE(A786,""PRICEOPEN"")"),847.4)</f>
        <v>847.4</v>
      </c>
      <c r="D786" s="14">
        <f>IFERROR(__xludf.DUMMYFUNCTION("GOOGLEFINANCE(A786,""HIGH"")"),858.0)</f>
        <v>858</v>
      </c>
      <c r="E786" s="14">
        <f>IFERROR(__xludf.DUMMYFUNCTION("GOOGLEFINANCE(A786,""LOW"")"),840.0)</f>
        <v>840</v>
      </c>
      <c r="F786" s="15" t="str">
        <f t="shared" si="8"/>
        <v/>
      </c>
      <c r="G786" s="16">
        <f>IFERROR(__xludf.DUMMYFUNCTION("GOOGLEFINANCE(A786,""CLOSEYEST"")"),835.15)</f>
        <v>835.15</v>
      </c>
      <c r="H786" s="17" t="str">
        <f t="shared" si="14"/>
        <v>GAP UP</v>
      </c>
      <c r="I786" s="18">
        <f t="shared" si="9"/>
        <v>844.3833333</v>
      </c>
      <c r="J786" s="19">
        <f t="shared" si="10"/>
        <v>848.7666667</v>
      </c>
      <c r="K786" s="19"/>
      <c r="L786" s="19">
        <f t="shared" si="11"/>
        <v>830.7666667</v>
      </c>
      <c r="M786" s="19">
        <f t="shared" si="12"/>
        <v>862.3833333</v>
      </c>
      <c r="N786" s="19">
        <f t="shared" si="13"/>
        <v>826.3833333</v>
      </c>
    </row>
    <row r="787" ht="24.75" customHeight="1">
      <c r="A787" s="21" t="s">
        <v>750</v>
      </c>
      <c r="B787" s="13">
        <f>IFERROR(__xludf.DUMMYFUNCTION("GOOGLEFINANCE(A787,""PRICE"")"),379.2)</f>
        <v>379.2</v>
      </c>
      <c r="C787" s="14">
        <f>IFERROR(__xludf.DUMMYFUNCTION("GOOGLEFINANCE(A787,""PRICEOPEN"")"),387.0)</f>
        <v>387</v>
      </c>
      <c r="D787" s="14">
        <f>IFERROR(__xludf.DUMMYFUNCTION("GOOGLEFINANCE(A787,""HIGH"")"),393.9)</f>
        <v>393.9</v>
      </c>
      <c r="E787" s="14">
        <f>IFERROR(__xludf.DUMMYFUNCTION("GOOGLEFINANCE(A787,""LOW"")"),377.0)</f>
        <v>377</v>
      </c>
      <c r="F787" s="15" t="str">
        <f t="shared" si="8"/>
        <v/>
      </c>
      <c r="G787" s="16">
        <f>IFERROR(__xludf.DUMMYFUNCTION("GOOGLEFINANCE(A787,""CLOSEYEST"")"),387.0)</f>
        <v>387</v>
      </c>
      <c r="H787" s="17" t="str">
        <f t="shared" si="14"/>
        <v/>
      </c>
      <c r="I787" s="18">
        <f t="shared" si="9"/>
        <v>385.9666667</v>
      </c>
      <c r="J787" s="19">
        <f t="shared" si="10"/>
        <v>394.9333333</v>
      </c>
      <c r="K787" s="19"/>
      <c r="L787" s="19">
        <f t="shared" si="11"/>
        <v>378.0333333</v>
      </c>
      <c r="M787" s="19">
        <f t="shared" si="12"/>
        <v>402.8666667</v>
      </c>
      <c r="N787" s="19">
        <f t="shared" si="13"/>
        <v>369.0666667</v>
      </c>
    </row>
    <row r="788" ht="24.75" customHeight="1">
      <c r="A788" s="21" t="s">
        <v>751</v>
      </c>
      <c r="B788" s="13">
        <f>IFERROR(__xludf.DUMMYFUNCTION("GOOGLEFINANCE(A788,""PRICE"")"),1390.0)</f>
        <v>1390</v>
      </c>
      <c r="C788" s="14">
        <f>IFERROR(__xludf.DUMMYFUNCTION("GOOGLEFINANCE(A788,""PRICEOPEN"")"),1413.7)</f>
        <v>1413.7</v>
      </c>
      <c r="D788" s="14">
        <f>IFERROR(__xludf.DUMMYFUNCTION("GOOGLEFINANCE(A788,""HIGH"")"),1416.1)</f>
        <v>1416.1</v>
      </c>
      <c r="E788" s="14">
        <f>IFERROR(__xludf.DUMMYFUNCTION("GOOGLEFINANCE(A788,""LOW"")"),1380.5)</f>
        <v>1380.5</v>
      </c>
      <c r="F788" s="15" t="str">
        <f t="shared" si="8"/>
        <v/>
      </c>
      <c r="G788" s="16">
        <f>IFERROR(__xludf.DUMMYFUNCTION("GOOGLEFINANCE(A788,""CLOSEYEST"")"),1406.3)</f>
        <v>1406.3</v>
      </c>
      <c r="H788" s="17" t="str">
        <f t="shared" si="14"/>
        <v/>
      </c>
      <c r="I788" s="18">
        <f t="shared" si="9"/>
        <v>1400.966667</v>
      </c>
      <c r="J788" s="19">
        <f t="shared" si="10"/>
        <v>1421.433333</v>
      </c>
      <c r="K788" s="19"/>
      <c r="L788" s="19">
        <f t="shared" si="11"/>
        <v>1385.833333</v>
      </c>
      <c r="M788" s="19">
        <f t="shared" si="12"/>
        <v>1436.566667</v>
      </c>
      <c r="N788" s="19">
        <f t="shared" si="13"/>
        <v>1365.366667</v>
      </c>
    </row>
    <row r="789" ht="24.75" customHeight="1">
      <c r="A789" s="21" t="s">
        <v>752</v>
      </c>
      <c r="B789" s="13">
        <f>IFERROR(__xludf.DUMMYFUNCTION("GOOGLEFINANCE(A789,""PRICE"")"),162.0)</f>
        <v>162</v>
      </c>
      <c r="C789" s="14">
        <f>IFERROR(__xludf.DUMMYFUNCTION("GOOGLEFINANCE(A789,""PRICEOPEN"")"),157.25)</f>
        <v>157.25</v>
      </c>
      <c r="D789" s="14">
        <f>IFERROR(__xludf.DUMMYFUNCTION("GOOGLEFINANCE(A789,""HIGH"")"),163.0)</f>
        <v>163</v>
      </c>
      <c r="E789" s="14">
        <f>IFERROR(__xludf.DUMMYFUNCTION("GOOGLEFINANCE(A789,""LOW"")"),155.22)</f>
        <v>155.22</v>
      </c>
      <c r="F789" s="15" t="str">
        <f t="shared" si="8"/>
        <v/>
      </c>
      <c r="G789" s="16">
        <f>IFERROR(__xludf.DUMMYFUNCTION("GOOGLEFINANCE(A789,""CLOSEYEST"")"),154.93)</f>
        <v>154.93</v>
      </c>
      <c r="H789" s="17" t="str">
        <f t="shared" si="14"/>
        <v>GAP UP</v>
      </c>
      <c r="I789" s="18">
        <f t="shared" si="9"/>
        <v>157.7166667</v>
      </c>
      <c r="J789" s="19">
        <f t="shared" si="10"/>
        <v>160.2133333</v>
      </c>
      <c r="K789" s="19"/>
      <c r="L789" s="19">
        <f t="shared" si="11"/>
        <v>152.4333333</v>
      </c>
      <c r="M789" s="19">
        <f t="shared" si="12"/>
        <v>165.4966667</v>
      </c>
      <c r="N789" s="19">
        <f t="shared" si="13"/>
        <v>149.9366667</v>
      </c>
    </row>
    <row r="790" ht="24.75" customHeight="1">
      <c r="A790" s="21" t="s">
        <v>753</v>
      </c>
      <c r="B790" s="13">
        <f>IFERROR(__xludf.DUMMYFUNCTION("GOOGLEFINANCE(A790,""PRICE"")"),358.9)</f>
        <v>358.9</v>
      </c>
      <c r="C790" s="14">
        <f>IFERROR(__xludf.DUMMYFUNCTION("GOOGLEFINANCE(A790,""PRICEOPEN"")"),355.4)</f>
        <v>355.4</v>
      </c>
      <c r="D790" s="14">
        <f>IFERROR(__xludf.DUMMYFUNCTION("GOOGLEFINANCE(A790,""HIGH"")"),364.9)</f>
        <v>364.9</v>
      </c>
      <c r="E790" s="14">
        <f>IFERROR(__xludf.DUMMYFUNCTION("GOOGLEFINANCE(A790,""LOW"")"),355.0)</f>
        <v>355</v>
      </c>
      <c r="F790" s="15" t="str">
        <f t="shared" si="8"/>
        <v/>
      </c>
      <c r="G790" s="16">
        <f>IFERROR(__xludf.DUMMYFUNCTION("GOOGLEFINANCE(A790,""CLOSEYEST"")"),354.4)</f>
        <v>354.4</v>
      </c>
      <c r="H790" s="17" t="str">
        <f t="shared" si="14"/>
        <v/>
      </c>
      <c r="I790" s="18">
        <f t="shared" si="9"/>
        <v>358.1</v>
      </c>
      <c r="J790" s="19">
        <f t="shared" si="10"/>
        <v>361.2</v>
      </c>
      <c r="K790" s="19"/>
      <c r="L790" s="19">
        <f t="shared" si="11"/>
        <v>351.3</v>
      </c>
      <c r="M790" s="19">
        <f t="shared" si="12"/>
        <v>368</v>
      </c>
      <c r="N790" s="19">
        <f t="shared" si="13"/>
        <v>348.2</v>
      </c>
    </row>
    <row r="791" ht="24.75" customHeight="1">
      <c r="A791" s="21" t="s">
        <v>754</v>
      </c>
      <c r="B791" s="13">
        <f>IFERROR(__xludf.DUMMYFUNCTION("GOOGLEFINANCE(A791,""PRICE"")"),388.0)</f>
        <v>388</v>
      </c>
      <c r="C791" s="14">
        <f>IFERROR(__xludf.DUMMYFUNCTION("GOOGLEFINANCE(A791,""PRICEOPEN"")"),382.5)</f>
        <v>382.5</v>
      </c>
      <c r="D791" s="14">
        <f>IFERROR(__xludf.DUMMYFUNCTION("GOOGLEFINANCE(A791,""HIGH"")"),392.95)</f>
        <v>392.95</v>
      </c>
      <c r="E791" s="14">
        <f>IFERROR(__xludf.DUMMYFUNCTION("GOOGLEFINANCE(A791,""LOW"")"),378.0)</f>
        <v>378</v>
      </c>
      <c r="F791" s="15" t="str">
        <f t="shared" si="8"/>
        <v/>
      </c>
      <c r="G791" s="16">
        <f>IFERROR(__xludf.DUMMYFUNCTION("GOOGLEFINANCE(A791,""CLOSEYEST"")"),382.4)</f>
        <v>382.4</v>
      </c>
      <c r="H791" s="17" t="str">
        <f t="shared" si="14"/>
        <v/>
      </c>
      <c r="I791" s="18">
        <f t="shared" si="9"/>
        <v>384.45</v>
      </c>
      <c r="J791" s="19">
        <f t="shared" si="10"/>
        <v>390.9</v>
      </c>
      <c r="K791" s="19"/>
      <c r="L791" s="19">
        <f t="shared" si="11"/>
        <v>375.95</v>
      </c>
      <c r="M791" s="19">
        <f t="shared" si="12"/>
        <v>399.4</v>
      </c>
      <c r="N791" s="19">
        <f t="shared" si="13"/>
        <v>369.5</v>
      </c>
    </row>
    <row r="792" ht="24.75" customHeight="1">
      <c r="A792" s="21" t="s">
        <v>755</v>
      </c>
      <c r="B792" s="13" t="str">
        <f>IFERROR(__xludf.DUMMYFUNCTION("GOOGLEFINANCE(A792,""PRICE"")"),"#N/A")</f>
        <v>#N/A</v>
      </c>
      <c r="C792" s="14" t="str">
        <f>IFERROR(__xludf.DUMMYFUNCTION("GOOGLEFINANCE(A792,""PRICEOPEN"")"),"#N/A")</f>
        <v>#N/A</v>
      </c>
      <c r="D792" s="14" t="str">
        <f>IFERROR(__xludf.DUMMYFUNCTION("GOOGLEFINANCE(A792,""HIGH"")"),"#N/A")</f>
        <v>#N/A</v>
      </c>
      <c r="E792" s="14" t="str">
        <f>IFERROR(__xludf.DUMMYFUNCTION("GOOGLEFINANCE(A792,""LOW"")"),"#N/A")</f>
        <v>#N/A</v>
      </c>
      <c r="F792" s="15" t="str">
        <f t="shared" si="8"/>
        <v>#N/A</v>
      </c>
      <c r="G792" s="16" t="str">
        <f>IFERROR(__xludf.DUMMYFUNCTION("GOOGLEFINANCE(A792,""CLOSEYEST"")"),"#N/A")</f>
        <v>#N/A</v>
      </c>
      <c r="H792" s="17" t="str">
        <f t="shared" si="14"/>
        <v>#N/A</v>
      </c>
      <c r="I792" s="18" t="str">
        <f t="shared" si="9"/>
        <v>#N/A</v>
      </c>
      <c r="J792" s="19" t="str">
        <f t="shared" si="10"/>
        <v>#N/A</v>
      </c>
      <c r="K792" s="19"/>
      <c r="L792" s="19" t="str">
        <f t="shared" si="11"/>
        <v>#N/A</v>
      </c>
      <c r="M792" s="19" t="str">
        <f t="shared" si="12"/>
        <v>#N/A</v>
      </c>
      <c r="N792" s="19" t="str">
        <f t="shared" si="13"/>
        <v>#N/A</v>
      </c>
    </row>
    <row r="793" ht="24.75" customHeight="1">
      <c r="A793" s="21" t="s">
        <v>756</v>
      </c>
      <c r="B793" s="13">
        <f>IFERROR(__xludf.DUMMYFUNCTION("GOOGLEFINANCE(A793,""PRICE"")"),493.4)</f>
        <v>493.4</v>
      </c>
      <c r="C793" s="14">
        <f>IFERROR(__xludf.DUMMYFUNCTION("GOOGLEFINANCE(A793,""PRICEOPEN"")"),489.0)</f>
        <v>489</v>
      </c>
      <c r="D793" s="14">
        <f>IFERROR(__xludf.DUMMYFUNCTION("GOOGLEFINANCE(A793,""HIGH"")"),494.0)</f>
        <v>494</v>
      </c>
      <c r="E793" s="14">
        <f>IFERROR(__xludf.DUMMYFUNCTION("GOOGLEFINANCE(A793,""LOW"")"),482.4)</f>
        <v>482.4</v>
      </c>
      <c r="F793" s="15" t="str">
        <f t="shared" si="8"/>
        <v/>
      </c>
      <c r="G793" s="16">
        <f>IFERROR(__xludf.DUMMYFUNCTION("GOOGLEFINANCE(A793,""CLOSEYEST"")"),482.4)</f>
        <v>482.4</v>
      </c>
      <c r="H793" s="17" t="str">
        <f t="shared" si="14"/>
        <v>GAP UP</v>
      </c>
      <c r="I793" s="18">
        <f t="shared" si="9"/>
        <v>486.2666667</v>
      </c>
      <c r="J793" s="19">
        <f t="shared" si="10"/>
        <v>490.1333333</v>
      </c>
      <c r="K793" s="19"/>
      <c r="L793" s="19">
        <f t="shared" si="11"/>
        <v>478.5333333</v>
      </c>
      <c r="M793" s="19">
        <f t="shared" si="12"/>
        <v>497.8666667</v>
      </c>
      <c r="N793" s="19">
        <f t="shared" si="13"/>
        <v>474.6666667</v>
      </c>
    </row>
    <row r="794" ht="24.75" customHeight="1">
      <c r="A794" s="21" t="s">
        <v>757</v>
      </c>
      <c r="B794" s="13">
        <f>IFERROR(__xludf.DUMMYFUNCTION("GOOGLEFINANCE(A794,""PRICE"")"),4165.2)</f>
        <v>4165.2</v>
      </c>
      <c r="C794" s="14">
        <f>IFERROR(__xludf.DUMMYFUNCTION("GOOGLEFINANCE(A794,""PRICEOPEN"")"),4130.0)</f>
        <v>4130</v>
      </c>
      <c r="D794" s="14">
        <f>IFERROR(__xludf.DUMMYFUNCTION("GOOGLEFINANCE(A794,""HIGH"")"),4224.0)</f>
        <v>4224</v>
      </c>
      <c r="E794" s="14">
        <f>IFERROR(__xludf.DUMMYFUNCTION("GOOGLEFINANCE(A794,""LOW"")"),4129.7)</f>
        <v>4129.7</v>
      </c>
      <c r="F794" s="15" t="str">
        <f t="shared" si="8"/>
        <v/>
      </c>
      <c r="G794" s="16">
        <f>IFERROR(__xludf.DUMMYFUNCTION("GOOGLEFINANCE(A794,""CLOSEYEST"")"),4129.7)</f>
        <v>4129.7</v>
      </c>
      <c r="H794" s="17" t="str">
        <f t="shared" si="14"/>
        <v/>
      </c>
      <c r="I794" s="18">
        <f t="shared" si="9"/>
        <v>4161.133333</v>
      </c>
      <c r="J794" s="19">
        <f t="shared" si="10"/>
        <v>4192.566667</v>
      </c>
      <c r="K794" s="19"/>
      <c r="L794" s="19">
        <f t="shared" si="11"/>
        <v>4098.266667</v>
      </c>
      <c r="M794" s="19">
        <f t="shared" si="12"/>
        <v>4255.433333</v>
      </c>
      <c r="N794" s="19">
        <f t="shared" si="13"/>
        <v>4066.833333</v>
      </c>
    </row>
    <row r="795" ht="24.75" customHeight="1">
      <c r="A795" s="21" t="s">
        <v>758</v>
      </c>
      <c r="B795" s="13">
        <f>IFERROR(__xludf.DUMMYFUNCTION("GOOGLEFINANCE(A795,""PRICE"")"),598.6)</f>
        <v>598.6</v>
      </c>
      <c r="C795" s="14">
        <f>IFERROR(__xludf.DUMMYFUNCTION("GOOGLEFINANCE(A795,""PRICEOPEN"")"),569.0)</f>
        <v>569</v>
      </c>
      <c r="D795" s="14">
        <f>IFERROR(__xludf.DUMMYFUNCTION("GOOGLEFINANCE(A795,""HIGH"")"),616.8)</f>
        <v>616.8</v>
      </c>
      <c r="E795" s="14">
        <f>IFERROR(__xludf.DUMMYFUNCTION("GOOGLEFINANCE(A795,""LOW"")"),565.05)</f>
        <v>565.05</v>
      </c>
      <c r="F795" s="15" t="str">
        <f t="shared" si="8"/>
        <v/>
      </c>
      <c r="G795" s="16">
        <f>IFERROR(__xludf.DUMMYFUNCTION("GOOGLEFINANCE(A795,""CLOSEYEST"")"),567.1)</f>
        <v>567.1</v>
      </c>
      <c r="H795" s="17" t="str">
        <f t="shared" si="14"/>
        <v/>
      </c>
      <c r="I795" s="18">
        <f t="shared" si="9"/>
        <v>582.9833333</v>
      </c>
      <c r="J795" s="19">
        <f t="shared" si="10"/>
        <v>600.9166667</v>
      </c>
      <c r="K795" s="19"/>
      <c r="L795" s="19">
        <f t="shared" si="11"/>
        <v>549.1666667</v>
      </c>
      <c r="M795" s="19">
        <f t="shared" si="12"/>
        <v>634.7333333</v>
      </c>
      <c r="N795" s="19">
        <f t="shared" si="13"/>
        <v>531.2333333</v>
      </c>
    </row>
    <row r="796" ht="24.75" customHeight="1">
      <c r="A796" s="21" t="s">
        <v>759</v>
      </c>
      <c r="B796" s="13">
        <f>IFERROR(__xludf.DUMMYFUNCTION("GOOGLEFINANCE(A796,""PRICE"")"),2733.7)</f>
        <v>2733.7</v>
      </c>
      <c r="C796" s="14">
        <f>IFERROR(__xludf.DUMMYFUNCTION("GOOGLEFINANCE(A796,""PRICEOPEN"")"),2760.0)</f>
        <v>2760</v>
      </c>
      <c r="D796" s="14">
        <f>IFERROR(__xludf.DUMMYFUNCTION("GOOGLEFINANCE(A796,""HIGH"")"),2768.8)</f>
        <v>2768.8</v>
      </c>
      <c r="E796" s="14">
        <f>IFERROR(__xludf.DUMMYFUNCTION("GOOGLEFINANCE(A796,""LOW"")"),2695.0)</f>
        <v>2695</v>
      </c>
      <c r="F796" s="15" t="str">
        <f t="shared" si="8"/>
        <v/>
      </c>
      <c r="G796" s="16">
        <f>IFERROR(__xludf.DUMMYFUNCTION("GOOGLEFINANCE(A796,""CLOSEYEST"")"),2737.4)</f>
        <v>2737.4</v>
      </c>
      <c r="H796" s="17" t="str">
        <f t="shared" si="14"/>
        <v/>
      </c>
      <c r="I796" s="18">
        <f t="shared" si="9"/>
        <v>2733.733333</v>
      </c>
      <c r="J796" s="19">
        <f t="shared" si="10"/>
        <v>2772.466667</v>
      </c>
      <c r="K796" s="19"/>
      <c r="L796" s="19">
        <f t="shared" si="11"/>
        <v>2698.666667</v>
      </c>
      <c r="M796" s="19">
        <f t="shared" si="12"/>
        <v>2807.533333</v>
      </c>
      <c r="N796" s="19">
        <f t="shared" si="13"/>
        <v>2659.933333</v>
      </c>
    </row>
    <row r="797" ht="24.75" customHeight="1">
      <c r="A797" s="21" t="s">
        <v>760</v>
      </c>
      <c r="B797" s="13" t="str">
        <f>IFERROR(__xludf.DUMMYFUNCTION("GOOGLEFINANCE(A797,""PRICE"")"),"#N/A")</f>
        <v>#N/A</v>
      </c>
      <c r="C797" s="14" t="str">
        <f>IFERROR(__xludf.DUMMYFUNCTION("GOOGLEFINANCE(A797,""PRICEOPEN"")"),"#N/A")</f>
        <v>#N/A</v>
      </c>
      <c r="D797" s="14" t="str">
        <f>IFERROR(__xludf.DUMMYFUNCTION("GOOGLEFINANCE(A797,""HIGH"")"),"#N/A")</f>
        <v>#N/A</v>
      </c>
      <c r="E797" s="14" t="str">
        <f>IFERROR(__xludf.DUMMYFUNCTION("GOOGLEFINANCE(A797,""LOW"")"),"#N/A")</f>
        <v>#N/A</v>
      </c>
      <c r="F797" s="15" t="str">
        <f t="shared" si="8"/>
        <v>#N/A</v>
      </c>
      <c r="G797" s="16" t="str">
        <f>IFERROR(__xludf.DUMMYFUNCTION("GOOGLEFINANCE(A797,""CLOSEYEST"")"),"#N/A")</f>
        <v>#N/A</v>
      </c>
      <c r="H797" s="17" t="str">
        <f t="shared" si="14"/>
        <v>#N/A</v>
      </c>
      <c r="I797" s="18" t="str">
        <f t="shared" si="9"/>
        <v>#N/A</v>
      </c>
      <c r="J797" s="19" t="str">
        <f t="shared" si="10"/>
        <v>#N/A</v>
      </c>
      <c r="K797" s="19"/>
      <c r="L797" s="19" t="str">
        <f t="shared" si="11"/>
        <v>#N/A</v>
      </c>
      <c r="M797" s="19" t="str">
        <f t="shared" si="12"/>
        <v>#N/A</v>
      </c>
      <c r="N797" s="19" t="str">
        <f t="shared" si="13"/>
        <v>#N/A</v>
      </c>
    </row>
    <row r="798" ht="24.75" customHeight="1">
      <c r="A798" s="21" t="s">
        <v>761</v>
      </c>
      <c r="B798" s="13">
        <f>IFERROR(__xludf.DUMMYFUNCTION("GOOGLEFINANCE(A798,""PRICE"")"),286.95)</f>
        <v>286.95</v>
      </c>
      <c r="C798" s="14">
        <f>IFERROR(__xludf.DUMMYFUNCTION("GOOGLEFINANCE(A798,""PRICEOPEN"")"),286.3)</f>
        <v>286.3</v>
      </c>
      <c r="D798" s="14">
        <f>IFERROR(__xludf.DUMMYFUNCTION("GOOGLEFINANCE(A798,""HIGH"")"),287.45)</f>
        <v>287.45</v>
      </c>
      <c r="E798" s="14">
        <f>IFERROR(__xludf.DUMMYFUNCTION("GOOGLEFINANCE(A798,""LOW"")"),279.55)</f>
        <v>279.55</v>
      </c>
      <c r="F798" s="15" t="str">
        <f t="shared" si="8"/>
        <v/>
      </c>
      <c r="G798" s="16">
        <f>IFERROR(__xludf.DUMMYFUNCTION("GOOGLEFINANCE(A798,""CLOSEYEST"")"),282.9)</f>
        <v>282.9</v>
      </c>
      <c r="H798" s="17" t="str">
        <f t="shared" si="14"/>
        <v>GAP UP</v>
      </c>
      <c r="I798" s="18">
        <f t="shared" si="9"/>
        <v>283.3</v>
      </c>
      <c r="J798" s="19">
        <f t="shared" si="10"/>
        <v>287.05</v>
      </c>
      <c r="K798" s="19"/>
      <c r="L798" s="19">
        <f t="shared" si="11"/>
        <v>279.15</v>
      </c>
      <c r="M798" s="19">
        <f t="shared" si="12"/>
        <v>291.2</v>
      </c>
      <c r="N798" s="19">
        <f t="shared" si="13"/>
        <v>275.4</v>
      </c>
    </row>
    <row r="799" ht="24.75" customHeight="1">
      <c r="A799" s="21" t="s">
        <v>762</v>
      </c>
      <c r="B799" s="13">
        <f>IFERROR(__xludf.DUMMYFUNCTION("GOOGLEFINANCE(A799,""PRICE"")"),79.11)</f>
        <v>79.11</v>
      </c>
      <c r="C799" s="14">
        <f>IFERROR(__xludf.DUMMYFUNCTION("GOOGLEFINANCE(A799,""PRICEOPEN"")"),77.85)</f>
        <v>77.85</v>
      </c>
      <c r="D799" s="14">
        <f>IFERROR(__xludf.DUMMYFUNCTION("GOOGLEFINANCE(A799,""HIGH"")"),80.75)</f>
        <v>80.75</v>
      </c>
      <c r="E799" s="14">
        <f>IFERROR(__xludf.DUMMYFUNCTION("GOOGLEFINANCE(A799,""LOW"")"),77.85)</f>
        <v>77.85</v>
      </c>
      <c r="F799" s="15" t="str">
        <f t="shared" si="8"/>
        <v>BUY</v>
      </c>
      <c r="G799" s="16">
        <f>IFERROR(__xludf.DUMMYFUNCTION("GOOGLEFINANCE(A799,""CLOSEYEST"")"),78.15)</f>
        <v>78.15</v>
      </c>
      <c r="H799" s="17" t="str">
        <f t="shared" si="14"/>
        <v/>
      </c>
      <c r="I799" s="18">
        <f t="shared" si="9"/>
        <v>78.91666667</v>
      </c>
      <c r="J799" s="19">
        <f t="shared" si="10"/>
        <v>79.98333333</v>
      </c>
      <c r="K799" s="19"/>
      <c r="L799" s="19">
        <f t="shared" si="11"/>
        <v>77.08333333</v>
      </c>
      <c r="M799" s="19">
        <f t="shared" si="12"/>
        <v>81.81666667</v>
      </c>
      <c r="N799" s="19">
        <f t="shared" si="13"/>
        <v>76.01666667</v>
      </c>
    </row>
    <row r="800" ht="24.75" customHeight="1">
      <c r="A800" s="21" t="s">
        <v>763</v>
      </c>
      <c r="B800" s="13">
        <f>IFERROR(__xludf.DUMMYFUNCTION("GOOGLEFINANCE(A800,""PRICE"")"),29.72)</f>
        <v>29.72</v>
      </c>
      <c r="C800" s="14">
        <f>IFERROR(__xludf.DUMMYFUNCTION("GOOGLEFINANCE(A800,""PRICEOPEN"")"),29.5)</f>
        <v>29.5</v>
      </c>
      <c r="D800" s="14">
        <f>IFERROR(__xludf.DUMMYFUNCTION("GOOGLEFINANCE(A800,""HIGH"")"),29.85)</f>
        <v>29.85</v>
      </c>
      <c r="E800" s="14">
        <f>IFERROR(__xludf.DUMMYFUNCTION("GOOGLEFINANCE(A800,""LOW"")"),29.26)</f>
        <v>29.26</v>
      </c>
      <c r="F800" s="15" t="str">
        <f t="shared" si="8"/>
        <v/>
      </c>
      <c r="G800" s="16">
        <f>IFERROR(__xludf.DUMMYFUNCTION("GOOGLEFINANCE(A800,""CLOSEYEST"")"),29.37)</f>
        <v>29.37</v>
      </c>
      <c r="H800" s="17" t="str">
        <f t="shared" si="14"/>
        <v/>
      </c>
      <c r="I800" s="18">
        <f t="shared" si="9"/>
        <v>29.49333333</v>
      </c>
      <c r="J800" s="19">
        <f t="shared" si="10"/>
        <v>29.72666667</v>
      </c>
      <c r="K800" s="19"/>
      <c r="L800" s="19">
        <f t="shared" si="11"/>
        <v>29.13666667</v>
      </c>
      <c r="M800" s="19">
        <f t="shared" si="12"/>
        <v>30.08333333</v>
      </c>
      <c r="N800" s="19">
        <f t="shared" si="13"/>
        <v>28.90333333</v>
      </c>
    </row>
    <row r="801" ht="24.75" customHeight="1">
      <c r="A801" s="21" t="s">
        <v>764</v>
      </c>
      <c r="B801" s="13">
        <f>IFERROR(__xludf.DUMMYFUNCTION("GOOGLEFINANCE(A801,""PRICE"")"),141.26)</f>
        <v>141.26</v>
      </c>
      <c r="C801" s="14">
        <f>IFERROR(__xludf.DUMMYFUNCTION("GOOGLEFINANCE(A801,""PRICEOPEN"")"),137.75)</f>
        <v>137.75</v>
      </c>
      <c r="D801" s="14">
        <f>IFERROR(__xludf.DUMMYFUNCTION("GOOGLEFINANCE(A801,""HIGH"")"),144.7)</f>
        <v>144.7</v>
      </c>
      <c r="E801" s="14">
        <f>IFERROR(__xludf.DUMMYFUNCTION("GOOGLEFINANCE(A801,""LOW"")"),137.6)</f>
        <v>137.6</v>
      </c>
      <c r="F801" s="15" t="str">
        <f t="shared" si="8"/>
        <v/>
      </c>
      <c r="G801" s="16">
        <f>IFERROR(__xludf.DUMMYFUNCTION("GOOGLEFINANCE(A801,""CLOSEYEST"")"),137.55)</f>
        <v>137.55</v>
      </c>
      <c r="H801" s="17" t="str">
        <f t="shared" si="14"/>
        <v/>
      </c>
      <c r="I801" s="18">
        <f t="shared" si="9"/>
        <v>139.95</v>
      </c>
      <c r="J801" s="19">
        <f t="shared" si="10"/>
        <v>142.3</v>
      </c>
      <c r="K801" s="19"/>
      <c r="L801" s="19">
        <f t="shared" si="11"/>
        <v>135.2</v>
      </c>
      <c r="M801" s="19">
        <f t="shared" si="12"/>
        <v>147.05</v>
      </c>
      <c r="N801" s="19">
        <f t="shared" si="13"/>
        <v>132.85</v>
      </c>
    </row>
    <row r="802" ht="24.75" customHeight="1">
      <c r="A802" s="21" t="s">
        <v>765</v>
      </c>
      <c r="B802" s="13">
        <f>IFERROR(__xludf.DUMMYFUNCTION("GOOGLEFINANCE(A802,""PRICE"")"),205.0)</f>
        <v>205</v>
      </c>
      <c r="C802" s="14">
        <f>IFERROR(__xludf.DUMMYFUNCTION("GOOGLEFINANCE(A802,""PRICEOPEN"")"),199.86)</f>
        <v>199.86</v>
      </c>
      <c r="D802" s="14">
        <f>IFERROR(__xludf.DUMMYFUNCTION("GOOGLEFINANCE(A802,""HIGH"")"),208.4)</f>
        <v>208.4</v>
      </c>
      <c r="E802" s="14">
        <f>IFERROR(__xludf.DUMMYFUNCTION("GOOGLEFINANCE(A802,""LOW"")"),199.86)</f>
        <v>199.86</v>
      </c>
      <c r="F802" s="15" t="str">
        <f t="shared" si="8"/>
        <v>BUY</v>
      </c>
      <c r="G802" s="16">
        <f>IFERROR(__xludf.DUMMYFUNCTION("GOOGLEFINANCE(A802,""CLOSEYEST"")"),202.89)</f>
        <v>202.89</v>
      </c>
      <c r="H802" s="17" t="str">
        <f t="shared" si="14"/>
        <v>GAP DOWN</v>
      </c>
      <c r="I802" s="18">
        <f t="shared" si="9"/>
        <v>203.7166667</v>
      </c>
      <c r="J802" s="19">
        <f t="shared" si="10"/>
        <v>207.5733333</v>
      </c>
      <c r="K802" s="19"/>
      <c r="L802" s="19">
        <f t="shared" si="11"/>
        <v>199.0333333</v>
      </c>
      <c r="M802" s="19">
        <f t="shared" si="12"/>
        <v>212.2566667</v>
      </c>
      <c r="N802" s="19">
        <f t="shared" si="13"/>
        <v>195.1766667</v>
      </c>
    </row>
    <row r="803" ht="24.75" customHeight="1">
      <c r="A803" s="21" t="s">
        <v>766</v>
      </c>
      <c r="B803" s="13">
        <f>IFERROR(__xludf.DUMMYFUNCTION("GOOGLEFINANCE(A803,""PRICE"")"),1321.4)</f>
        <v>1321.4</v>
      </c>
      <c r="C803" s="14">
        <f>IFERROR(__xludf.DUMMYFUNCTION("GOOGLEFINANCE(A803,""PRICEOPEN"")"),1348.1)</f>
        <v>1348.1</v>
      </c>
      <c r="D803" s="14">
        <f>IFERROR(__xludf.DUMMYFUNCTION("GOOGLEFINANCE(A803,""HIGH"")"),1356.1)</f>
        <v>1356.1</v>
      </c>
      <c r="E803" s="14">
        <f>IFERROR(__xludf.DUMMYFUNCTION("GOOGLEFINANCE(A803,""LOW"")"),1310.0)</f>
        <v>1310</v>
      </c>
      <c r="F803" s="15" t="str">
        <f t="shared" si="8"/>
        <v/>
      </c>
      <c r="G803" s="16">
        <f>IFERROR(__xludf.DUMMYFUNCTION("GOOGLEFINANCE(A803,""CLOSEYEST"")"),1358.8)</f>
        <v>1358.8</v>
      </c>
      <c r="H803" s="17" t="str">
        <f t="shared" si="14"/>
        <v/>
      </c>
      <c r="I803" s="18">
        <f t="shared" si="9"/>
        <v>1341.633333</v>
      </c>
      <c r="J803" s="19">
        <f t="shared" si="10"/>
        <v>1373.266667</v>
      </c>
      <c r="K803" s="19"/>
      <c r="L803" s="19">
        <f t="shared" si="11"/>
        <v>1327.166667</v>
      </c>
      <c r="M803" s="19">
        <f t="shared" si="12"/>
        <v>1387.733333</v>
      </c>
      <c r="N803" s="19">
        <f t="shared" si="13"/>
        <v>1295.533333</v>
      </c>
    </row>
    <row r="804" ht="24.75" customHeight="1">
      <c r="A804" s="21" t="s">
        <v>767</v>
      </c>
      <c r="B804" s="13">
        <f>IFERROR(__xludf.DUMMYFUNCTION("GOOGLEFINANCE(A804,""PRICE"")"),38.72)</f>
        <v>38.72</v>
      </c>
      <c r="C804" s="14">
        <f>IFERROR(__xludf.DUMMYFUNCTION("GOOGLEFINANCE(A804,""PRICEOPEN"")"),38.99)</f>
        <v>38.99</v>
      </c>
      <c r="D804" s="14">
        <f>IFERROR(__xludf.DUMMYFUNCTION("GOOGLEFINANCE(A804,""HIGH"")"),39.45)</f>
        <v>39.45</v>
      </c>
      <c r="E804" s="14">
        <f>IFERROR(__xludf.DUMMYFUNCTION("GOOGLEFINANCE(A804,""LOW"")"),38.51)</f>
        <v>38.51</v>
      </c>
      <c r="F804" s="15" t="str">
        <f t="shared" si="8"/>
        <v/>
      </c>
      <c r="G804" s="16">
        <f>IFERROR(__xludf.DUMMYFUNCTION("GOOGLEFINANCE(A804,""CLOSEYEST"")"),38.88)</f>
        <v>38.88</v>
      </c>
      <c r="H804" s="17" t="str">
        <f t="shared" si="14"/>
        <v/>
      </c>
      <c r="I804" s="18">
        <f t="shared" si="9"/>
        <v>38.94666667</v>
      </c>
      <c r="J804" s="19">
        <f t="shared" si="10"/>
        <v>39.38333333</v>
      </c>
      <c r="K804" s="19"/>
      <c r="L804" s="19">
        <f t="shared" si="11"/>
        <v>38.44333333</v>
      </c>
      <c r="M804" s="19">
        <f t="shared" si="12"/>
        <v>39.88666667</v>
      </c>
      <c r="N804" s="19">
        <f t="shared" si="13"/>
        <v>38.00666667</v>
      </c>
    </row>
    <row r="805" ht="24.75" customHeight="1">
      <c r="A805" s="21" t="s">
        <v>768</v>
      </c>
      <c r="B805" s="13">
        <f>IFERROR(__xludf.DUMMYFUNCTION("GOOGLEFINANCE(A805,""PRICE"")"),495.05)</f>
        <v>495.05</v>
      </c>
      <c r="C805" s="14">
        <f>IFERROR(__xludf.DUMMYFUNCTION("GOOGLEFINANCE(A805,""PRICEOPEN"")"),490.0)</f>
        <v>490</v>
      </c>
      <c r="D805" s="14">
        <f>IFERROR(__xludf.DUMMYFUNCTION("GOOGLEFINANCE(A805,""HIGH"")"),502.45)</f>
        <v>502.45</v>
      </c>
      <c r="E805" s="14">
        <f>IFERROR(__xludf.DUMMYFUNCTION("GOOGLEFINANCE(A805,""LOW"")"),483.35)</f>
        <v>483.35</v>
      </c>
      <c r="F805" s="15" t="str">
        <f t="shared" si="8"/>
        <v/>
      </c>
      <c r="G805" s="16">
        <f>IFERROR(__xludf.DUMMYFUNCTION("GOOGLEFINANCE(A805,""CLOSEYEST"")"),488.7)</f>
        <v>488.7</v>
      </c>
      <c r="H805" s="17" t="str">
        <f t="shared" si="14"/>
        <v/>
      </c>
      <c r="I805" s="18">
        <f t="shared" si="9"/>
        <v>491.5</v>
      </c>
      <c r="J805" s="19">
        <f t="shared" si="10"/>
        <v>499.65</v>
      </c>
      <c r="K805" s="19"/>
      <c r="L805" s="19">
        <f t="shared" si="11"/>
        <v>480.55</v>
      </c>
      <c r="M805" s="19">
        <f t="shared" si="12"/>
        <v>510.6</v>
      </c>
      <c r="N805" s="19">
        <f t="shared" si="13"/>
        <v>472.4</v>
      </c>
    </row>
    <row r="806" ht="24.75" customHeight="1">
      <c r="A806" s="21" t="s">
        <v>769</v>
      </c>
      <c r="B806" s="13" t="str">
        <f>IFERROR(__xludf.DUMMYFUNCTION("GOOGLEFINANCE(A806,""PRICE"")"),"#N/A")</f>
        <v>#N/A</v>
      </c>
      <c r="C806" s="14" t="str">
        <f>IFERROR(__xludf.DUMMYFUNCTION("GOOGLEFINANCE(A806,""PRICEOPEN"")"),"#N/A")</f>
        <v>#N/A</v>
      </c>
      <c r="D806" s="14" t="str">
        <f>IFERROR(__xludf.DUMMYFUNCTION("GOOGLEFINANCE(A806,""HIGH"")"),"#N/A")</f>
        <v>#N/A</v>
      </c>
      <c r="E806" s="14" t="str">
        <f>IFERROR(__xludf.DUMMYFUNCTION("GOOGLEFINANCE(A806,""LOW"")"),"#N/A")</f>
        <v>#N/A</v>
      </c>
      <c r="F806" s="15" t="str">
        <f t="shared" si="8"/>
        <v>#N/A</v>
      </c>
      <c r="G806" s="16" t="str">
        <f>IFERROR(__xludf.DUMMYFUNCTION("GOOGLEFINANCE(A806,""CLOSEYEST"")"),"#N/A")</f>
        <v>#N/A</v>
      </c>
      <c r="H806" s="17" t="str">
        <f t="shared" si="14"/>
        <v>#N/A</v>
      </c>
      <c r="I806" s="18" t="str">
        <f t="shared" si="9"/>
        <v>#N/A</v>
      </c>
      <c r="J806" s="19" t="str">
        <f t="shared" si="10"/>
        <v>#N/A</v>
      </c>
      <c r="K806" s="19"/>
      <c r="L806" s="19" t="str">
        <f t="shared" si="11"/>
        <v>#N/A</v>
      </c>
      <c r="M806" s="19" t="str">
        <f t="shared" si="12"/>
        <v>#N/A</v>
      </c>
      <c r="N806" s="19" t="str">
        <f t="shared" si="13"/>
        <v>#N/A</v>
      </c>
    </row>
    <row r="807" ht="24.75" customHeight="1">
      <c r="A807" s="21" t="s">
        <v>770</v>
      </c>
      <c r="B807" s="13">
        <f>IFERROR(__xludf.DUMMYFUNCTION("GOOGLEFINANCE(A807,""PRICE"")"),2081.7)</f>
        <v>2081.7</v>
      </c>
      <c r="C807" s="14">
        <f>IFERROR(__xludf.DUMMYFUNCTION("GOOGLEFINANCE(A807,""PRICEOPEN"")"),2050.0)</f>
        <v>2050</v>
      </c>
      <c r="D807" s="14">
        <f>IFERROR(__xludf.DUMMYFUNCTION("GOOGLEFINANCE(A807,""HIGH"")"),2100.0)</f>
        <v>2100</v>
      </c>
      <c r="E807" s="14">
        <f>IFERROR(__xludf.DUMMYFUNCTION("GOOGLEFINANCE(A807,""LOW"")"),2027.3)</f>
        <v>2027.3</v>
      </c>
      <c r="F807" s="15" t="str">
        <f t="shared" si="8"/>
        <v/>
      </c>
      <c r="G807" s="16">
        <f>IFERROR(__xludf.DUMMYFUNCTION("GOOGLEFINANCE(A807,""CLOSEYEST"")"),2028.4)</f>
        <v>2028.4</v>
      </c>
      <c r="H807" s="17" t="str">
        <f t="shared" si="14"/>
        <v>GAP UP</v>
      </c>
      <c r="I807" s="18">
        <f t="shared" si="9"/>
        <v>2051.9</v>
      </c>
      <c r="J807" s="19">
        <f t="shared" si="10"/>
        <v>2076.5</v>
      </c>
      <c r="K807" s="19"/>
      <c r="L807" s="19">
        <f t="shared" si="11"/>
        <v>2003.8</v>
      </c>
      <c r="M807" s="19">
        <f t="shared" si="12"/>
        <v>2124.6</v>
      </c>
      <c r="N807" s="19">
        <f t="shared" si="13"/>
        <v>1979.2</v>
      </c>
    </row>
    <row r="808" ht="24.75" customHeight="1">
      <c r="A808" s="21" t="s">
        <v>771</v>
      </c>
      <c r="B808" s="13">
        <f>IFERROR(__xludf.DUMMYFUNCTION("GOOGLEFINANCE(A808,""PRICE"")"),312.0)</f>
        <v>312</v>
      </c>
      <c r="C808" s="14">
        <f>IFERROR(__xludf.DUMMYFUNCTION("GOOGLEFINANCE(A808,""PRICEOPEN"")"),314.6)</f>
        <v>314.6</v>
      </c>
      <c r="D808" s="14">
        <f>IFERROR(__xludf.DUMMYFUNCTION("GOOGLEFINANCE(A808,""HIGH"")"),314.6)</f>
        <v>314.6</v>
      </c>
      <c r="E808" s="14">
        <f>IFERROR(__xludf.DUMMYFUNCTION("GOOGLEFINANCE(A808,""LOW"")"),306.95)</f>
        <v>306.95</v>
      </c>
      <c r="F808" s="15" t="str">
        <f t="shared" si="8"/>
        <v>SELL</v>
      </c>
      <c r="G808" s="16">
        <f>IFERROR(__xludf.DUMMYFUNCTION("GOOGLEFINANCE(A808,""CLOSEYEST"")"),311.65)</f>
        <v>311.65</v>
      </c>
      <c r="H808" s="17" t="str">
        <f t="shared" si="14"/>
        <v/>
      </c>
      <c r="I808" s="18">
        <f t="shared" si="9"/>
        <v>311.0666667</v>
      </c>
      <c r="J808" s="19">
        <f t="shared" si="10"/>
        <v>315.1833333</v>
      </c>
      <c r="K808" s="19"/>
      <c r="L808" s="19">
        <f t="shared" si="11"/>
        <v>307.5333333</v>
      </c>
      <c r="M808" s="19">
        <f t="shared" si="12"/>
        <v>318.7166667</v>
      </c>
      <c r="N808" s="19">
        <f t="shared" si="13"/>
        <v>303.4166667</v>
      </c>
    </row>
    <row r="809" ht="24.75" customHeight="1">
      <c r="A809" s="21" t="s">
        <v>772</v>
      </c>
      <c r="B809" s="13">
        <f>IFERROR(__xludf.DUMMYFUNCTION("GOOGLEFINANCE(A809,""PRICE"")"),72.44)</f>
        <v>72.44</v>
      </c>
      <c r="C809" s="14">
        <f>IFERROR(__xludf.DUMMYFUNCTION("GOOGLEFINANCE(A809,""PRICEOPEN"")"),71.68)</f>
        <v>71.68</v>
      </c>
      <c r="D809" s="14">
        <f>IFERROR(__xludf.DUMMYFUNCTION("GOOGLEFINANCE(A809,""HIGH"")"),72.5)</f>
        <v>72.5</v>
      </c>
      <c r="E809" s="14">
        <f>IFERROR(__xludf.DUMMYFUNCTION("GOOGLEFINANCE(A809,""LOW"")"),71.53)</f>
        <v>71.53</v>
      </c>
      <c r="F809" s="15" t="str">
        <f t="shared" si="8"/>
        <v/>
      </c>
      <c r="G809" s="16">
        <f>IFERROR(__xludf.DUMMYFUNCTION("GOOGLEFINANCE(A809,""CLOSEYEST"")"),71.5)</f>
        <v>71.5</v>
      </c>
      <c r="H809" s="17" t="str">
        <f t="shared" si="14"/>
        <v/>
      </c>
      <c r="I809" s="18">
        <f t="shared" si="9"/>
        <v>71.84333333</v>
      </c>
      <c r="J809" s="19">
        <f t="shared" si="10"/>
        <v>72.15666667</v>
      </c>
      <c r="K809" s="19"/>
      <c r="L809" s="19">
        <f t="shared" si="11"/>
        <v>71.18666667</v>
      </c>
      <c r="M809" s="19">
        <f t="shared" si="12"/>
        <v>72.81333333</v>
      </c>
      <c r="N809" s="19">
        <f t="shared" si="13"/>
        <v>70.87333333</v>
      </c>
    </row>
    <row r="810" ht="24.75" customHeight="1">
      <c r="A810" s="21" t="s">
        <v>773</v>
      </c>
      <c r="B810" s="13">
        <f>IFERROR(__xludf.DUMMYFUNCTION("GOOGLEFINANCE(A810,""PRICE"")"),0.56)</f>
        <v>0.56</v>
      </c>
      <c r="C810" s="14">
        <f>IFERROR(__xludf.DUMMYFUNCTION("GOOGLEFINANCE(A810,""PRICEOPEN"")"),0.53)</f>
        <v>0.53</v>
      </c>
      <c r="D810" s="14">
        <f>IFERROR(__xludf.DUMMYFUNCTION("GOOGLEFINANCE(A810,""HIGH"")"),0.59)</f>
        <v>0.59</v>
      </c>
      <c r="E810" s="14">
        <f>IFERROR(__xludf.DUMMYFUNCTION("GOOGLEFINANCE(A810,""LOW"")"),0.53)</f>
        <v>0.53</v>
      </c>
      <c r="F810" s="15" t="str">
        <f t="shared" si="8"/>
        <v>BUY</v>
      </c>
      <c r="G810" s="16">
        <f>IFERROR(__xludf.DUMMYFUNCTION("GOOGLEFINANCE(A810,""CLOSEYEST"")"),0.53)</f>
        <v>0.53</v>
      </c>
      <c r="H810" s="17" t="str">
        <f t="shared" si="14"/>
        <v/>
      </c>
      <c r="I810" s="18">
        <f t="shared" si="9"/>
        <v>0.55</v>
      </c>
      <c r="J810" s="19">
        <f t="shared" si="10"/>
        <v>0.57</v>
      </c>
      <c r="K810" s="19"/>
      <c r="L810" s="19">
        <f t="shared" si="11"/>
        <v>0.51</v>
      </c>
      <c r="M810" s="19">
        <f t="shared" si="12"/>
        <v>0.61</v>
      </c>
      <c r="N810" s="19">
        <f t="shared" si="13"/>
        <v>0.49</v>
      </c>
    </row>
    <row r="811" ht="24.75" customHeight="1">
      <c r="A811" s="21" t="s">
        <v>774</v>
      </c>
      <c r="B811" s="13">
        <f>IFERROR(__xludf.DUMMYFUNCTION("GOOGLEFINANCE(A811,""PRICE"")"),747.0)</f>
        <v>747</v>
      </c>
      <c r="C811" s="14">
        <f>IFERROR(__xludf.DUMMYFUNCTION("GOOGLEFINANCE(A811,""PRICEOPEN"")"),726.6)</f>
        <v>726.6</v>
      </c>
      <c r="D811" s="14">
        <f>IFERROR(__xludf.DUMMYFUNCTION("GOOGLEFINANCE(A811,""HIGH"")"),748.95)</f>
        <v>748.95</v>
      </c>
      <c r="E811" s="14">
        <f>IFERROR(__xludf.DUMMYFUNCTION("GOOGLEFINANCE(A811,""LOW"")"),716.8)</f>
        <v>716.8</v>
      </c>
      <c r="F811" s="15" t="str">
        <f t="shared" si="8"/>
        <v/>
      </c>
      <c r="G811" s="16">
        <f>IFERROR(__xludf.DUMMYFUNCTION("GOOGLEFINANCE(A811,""CLOSEYEST"")"),720.15)</f>
        <v>720.15</v>
      </c>
      <c r="H811" s="17" t="str">
        <f t="shared" si="14"/>
        <v/>
      </c>
      <c r="I811" s="18">
        <f t="shared" si="9"/>
        <v>728.6333333</v>
      </c>
      <c r="J811" s="19">
        <f t="shared" si="10"/>
        <v>740.4666667</v>
      </c>
      <c r="K811" s="19"/>
      <c r="L811" s="19">
        <f t="shared" si="11"/>
        <v>708.3166667</v>
      </c>
      <c r="M811" s="19">
        <f t="shared" si="12"/>
        <v>760.7833333</v>
      </c>
      <c r="N811" s="19">
        <f t="shared" si="13"/>
        <v>696.4833333</v>
      </c>
    </row>
    <row r="812" ht="24.75" customHeight="1">
      <c r="A812" s="21" t="s">
        <v>775</v>
      </c>
      <c r="B812" s="13">
        <f>IFERROR(__xludf.DUMMYFUNCTION("GOOGLEFINANCE(A812,""PRICE"")"),762.9)</f>
        <v>762.9</v>
      </c>
      <c r="C812" s="14">
        <f>IFERROR(__xludf.DUMMYFUNCTION("GOOGLEFINANCE(A812,""PRICEOPEN"")"),760.3)</f>
        <v>760.3</v>
      </c>
      <c r="D812" s="14">
        <f>IFERROR(__xludf.DUMMYFUNCTION("GOOGLEFINANCE(A812,""HIGH"")"),771.0)</f>
        <v>771</v>
      </c>
      <c r="E812" s="14">
        <f>IFERROR(__xludf.DUMMYFUNCTION("GOOGLEFINANCE(A812,""LOW"")"),756.2)</f>
        <v>756.2</v>
      </c>
      <c r="F812" s="15" t="str">
        <f t="shared" si="8"/>
        <v/>
      </c>
      <c r="G812" s="16">
        <f>IFERROR(__xludf.DUMMYFUNCTION("GOOGLEFINANCE(A812,""CLOSEYEST"")"),755.6)</f>
        <v>755.6</v>
      </c>
      <c r="H812" s="17" t="str">
        <f t="shared" si="14"/>
        <v/>
      </c>
      <c r="I812" s="18">
        <f t="shared" si="9"/>
        <v>760.9333333</v>
      </c>
      <c r="J812" s="19">
        <f t="shared" si="10"/>
        <v>765.6666667</v>
      </c>
      <c r="K812" s="19"/>
      <c r="L812" s="19">
        <f t="shared" si="11"/>
        <v>750.8666667</v>
      </c>
      <c r="M812" s="19">
        <f t="shared" si="12"/>
        <v>775.7333333</v>
      </c>
      <c r="N812" s="19">
        <f t="shared" si="13"/>
        <v>746.1333333</v>
      </c>
    </row>
    <row r="813" ht="24.75" customHeight="1">
      <c r="A813" s="21" t="s">
        <v>776</v>
      </c>
      <c r="B813" s="13">
        <f>IFERROR(__xludf.DUMMYFUNCTION("GOOGLEFINANCE(A813,""PRICE"")"),1517.4)</f>
        <v>1517.4</v>
      </c>
      <c r="C813" s="14">
        <f>IFERROR(__xludf.DUMMYFUNCTION("GOOGLEFINANCE(A813,""PRICEOPEN"")"),1525.6)</f>
        <v>1525.6</v>
      </c>
      <c r="D813" s="14">
        <f>IFERROR(__xludf.DUMMYFUNCTION("GOOGLEFINANCE(A813,""HIGH"")"),1544.9)</f>
        <v>1544.9</v>
      </c>
      <c r="E813" s="14">
        <f>IFERROR(__xludf.DUMMYFUNCTION("GOOGLEFINANCE(A813,""LOW"")"),1512.7)</f>
        <v>1512.7</v>
      </c>
      <c r="F813" s="15" t="str">
        <f t="shared" si="8"/>
        <v/>
      </c>
      <c r="G813" s="16">
        <f>IFERROR(__xludf.DUMMYFUNCTION("GOOGLEFINANCE(A813,""CLOSEYEST"")"),1525.6)</f>
        <v>1525.6</v>
      </c>
      <c r="H813" s="17" t="str">
        <f t="shared" si="14"/>
        <v/>
      </c>
      <c r="I813" s="18">
        <f t="shared" si="9"/>
        <v>1527.733333</v>
      </c>
      <c r="J813" s="19">
        <f t="shared" si="10"/>
        <v>1542.766667</v>
      </c>
      <c r="K813" s="19"/>
      <c r="L813" s="19">
        <f t="shared" si="11"/>
        <v>1510.566667</v>
      </c>
      <c r="M813" s="19">
        <f t="shared" si="12"/>
        <v>1559.933333</v>
      </c>
      <c r="N813" s="19">
        <f t="shared" si="13"/>
        <v>1495.533333</v>
      </c>
    </row>
    <row r="814" ht="24.75" customHeight="1">
      <c r="A814" s="21" t="s">
        <v>777</v>
      </c>
      <c r="B814" s="13">
        <f>IFERROR(__xludf.DUMMYFUNCTION("GOOGLEFINANCE(A814,""PRICE"")"),240.0)</f>
        <v>240</v>
      </c>
      <c r="C814" s="14">
        <f>IFERROR(__xludf.DUMMYFUNCTION("GOOGLEFINANCE(A814,""PRICEOPEN"")"),230.0)</f>
        <v>230</v>
      </c>
      <c r="D814" s="14">
        <f>IFERROR(__xludf.DUMMYFUNCTION("GOOGLEFINANCE(A814,""HIGH"")"),243.13)</f>
        <v>243.13</v>
      </c>
      <c r="E814" s="14">
        <f>IFERROR(__xludf.DUMMYFUNCTION("GOOGLEFINANCE(A814,""LOW"")"),230.0)</f>
        <v>230</v>
      </c>
      <c r="F814" s="15" t="str">
        <f t="shared" si="8"/>
        <v>BUY</v>
      </c>
      <c r="G814" s="16">
        <f>IFERROR(__xludf.DUMMYFUNCTION("GOOGLEFINANCE(A814,""CLOSEYEST"")"),230.78)</f>
        <v>230.78</v>
      </c>
      <c r="H814" s="17" t="str">
        <f t="shared" si="14"/>
        <v/>
      </c>
      <c r="I814" s="18">
        <f t="shared" si="9"/>
        <v>234.6366667</v>
      </c>
      <c r="J814" s="19">
        <f t="shared" si="10"/>
        <v>239.2733333</v>
      </c>
      <c r="K814" s="19"/>
      <c r="L814" s="19">
        <f t="shared" si="11"/>
        <v>226.1433333</v>
      </c>
      <c r="M814" s="19">
        <f t="shared" si="12"/>
        <v>247.7666667</v>
      </c>
      <c r="N814" s="19">
        <f t="shared" si="13"/>
        <v>221.5066667</v>
      </c>
    </row>
    <row r="815" ht="24.75" customHeight="1">
      <c r="A815" s="21" t="s">
        <v>778</v>
      </c>
      <c r="B815" s="13">
        <f>IFERROR(__xludf.DUMMYFUNCTION("GOOGLEFINANCE(A815,""PRICE"")"),74.9)</f>
        <v>74.9</v>
      </c>
      <c r="C815" s="14">
        <f>IFERROR(__xludf.DUMMYFUNCTION("GOOGLEFINANCE(A815,""PRICEOPEN"")"),75.64)</f>
        <v>75.64</v>
      </c>
      <c r="D815" s="14">
        <f>IFERROR(__xludf.DUMMYFUNCTION("GOOGLEFINANCE(A815,""HIGH"")"),75.7)</f>
        <v>75.7</v>
      </c>
      <c r="E815" s="14">
        <f>IFERROR(__xludf.DUMMYFUNCTION("GOOGLEFINANCE(A815,""LOW"")"),74.66)</f>
        <v>74.66</v>
      </c>
      <c r="F815" s="15" t="str">
        <f t="shared" si="8"/>
        <v/>
      </c>
      <c r="G815" s="16">
        <f>IFERROR(__xludf.DUMMYFUNCTION("GOOGLEFINANCE(A815,""CLOSEYEST"")"),75.64)</f>
        <v>75.64</v>
      </c>
      <c r="H815" s="17" t="str">
        <f t="shared" si="14"/>
        <v/>
      </c>
      <c r="I815" s="18">
        <f t="shared" si="9"/>
        <v>75.33333333</v>
      </c>
      <c r="J815" s="19">
        <f t="shared" si="10"/>
        <v>76.00666667</v>
      </c>
      <c r="K815" s="19"/>
      <c r="L815" s="19">
        <f t="shared" si="11"/>
        <v>74.96666667</v>
      </c>
      <c r="M815" s="19">
        <f t="shared" si="12"/>
        <v>76.37333333</v>
      </c>
      <c r="N815" s="19">
        <f t="shared" si="13"/>
        <v>74.29333333</v>
      </c>
    </row>
    <row r="816" ht="24.75" customHeight="1">
      <c r="A816" s="21" t="s">
        <v>779</v>
      </c>
      <c r="B816" s="13">
        <f>IFERROR(__xludf.DUMMYFUNCTION("GOOGLEFINANCE(A816,""PRICE"")"),906.0)</f>
        <v>906</v>
      </c>
      <c r="C816" s="14">
        <f>IFERROR(__xludf.DUMMYFUNCTION("GOOGLEFINANCE(A816,""PRICEOPEN"")"),872.95)</f>
        <v>872.95</v>
      </c>
      <c r="D816" s="14">
        <f>IFERROR(__xludf.DUMMYFUNCTION("GOOGLEFINANCE(A816,""HIGH"")"),914.9)</f>
        <v>914.9</v>
      </c>
      <c r="E816" s="14">
        <f>IFERROR(__xludf.DUMMYFUNCTION("GOOGLEFINANCE(A816,""LOW"")"),863.0)</f>
        <v>863</v>
      </c>
      <c r="F816" s="15" t="str">
        <f t="shared" si="8"/>
        <v/>
      </c>
      <c r="G816" s="16">
        <f>IFERROR(__xludf.DUMMYFUNCTION("GOOGLEFINANCE(A816,""CLOSEYEST"")"),858.7)</f>
        <v>858.7</v>
      </c>
      <c r="H816" s="17" t="str">
        <f t="shared" si="14"/>
        <v>GAP UP</v>
      </c>
      <c r="I816" s="18">
        <f t="shared" si="9"/>
        <v>878.8666667</v>
      </c>
      <c r="J816" s="19">
        <f t="shared" si="10"/>
        <v>894.7333333</v>
      </c>
      <c r="K816" s="19"/>
      <c r="L816" s="19">
        <f t="shared" si="11"/>
        <v>842.8333333</v>
      </c>
      <c r="M816" s="19">
        <f t="shared" si="12"/>
        <v>930.7666667</v>
      </c>
      <c r="N816" s="19">
        <f t="shared" si="13"/>
        <v>826.9666667</v>
      </c>
    </row>
    <row r="817" ht="24.75" customHeight="1">
      <c r="A817" s="21" t="s">
        <v>780</v>
      </c>
      <c r="B817" s="13">
        <f>IFERROR(__xludf.DUMMYFUNCTION("GOOGLEFINANCE(A817,""PRICE"")"),117.2)</f>
        <v>117.2</v>
      </c>
      <c r="C817" s="14">
        <f>IFERROR(__xludf.DUMMYFUNCTION("GOOGLEFINANCE(A817,""PRICEOPEN"")"),115.4)</f>
        <v>115.4</v>
      </c>
      <c r="D817" s="14">
        <f>IFERROR(__xludf.DUMMYFUNCTION("GOOGLEFINANCE(A817,""HIGH"")"),117.4)</f>
        <v>117.4</v>
      </c>
      <c r="E817" s="14">
        <f>IFERROR(__xludf.DUMMYFUNCTION("GOOGLEFINANCE(A817,""LOW"")"),115.4)</f>
        <v>115.4</v>
      </c>
      <c r="F817" s="15" t="str">
        <f t="shared" si="8"/>
        <v>BUY</v>
      </c>
      <c r="G817" s="16">
        <f>IFERROR(__xludf.DUMMYFUNCTION("GOOGLEFINANCE(A817,""CLOSEYEST"")"),115.2)</f>
        <v>115.2</v>
      </c>
      <c r="H817" s="17" t="str">
        <f t="shared" si="14"/>
        <v/>
      </c>
      <c r="I817" s="18">
        <f t="shared" si="9"/>
        <v>116</v>
      </c>
      <c r="J817" s="19">
        <f t="shared" si="10"/>
        <v>116.6</v>
      </c>
      <c r="K817" s="19"/>
      <c r="L817" s="19">
        <f t="shared" si="11"/>
        <v>114.6</v>
      </c>
      <c r="M817" s="19">
        <f t="shared" si="12"/>
        <v>118</v>
      </c>
      <c r="N817" s="19">
        <f t="shared" si="13"/>
        <v>114</v>
      </c>
    </row>
    <row r="818" ht="24.75" customHeight="1">
      <c r="A818" s="21" t="s">
        <v>781</v>
      </c>
      <c r="B818" s="13">
        <f>IFERROR(__xludf.DUMMYFUNCTION("GOOGLEFINANCE(A818,""PRICE"")"),121.0)</f>
        <v>121</v>
      </c>
      <c r="C818" s="14">
        <f>IFERROR(__xludf.DUMMYFUNCTION("GOOGLEFINANCE(A818,""PRICEOPEN"")"),120.0)</f>
        <v>120</v>
      </c>
      <c r="D818" s="14">
        <f>IFERROR(__xludf.DUMMYFUNCTION("GOOGLEFINANCE(A818,""HIGH"")"),124.48)</f>
        <v>124.48</v>
      </c>
      <c r="E818" s="14">
        <f>IFERROR(__xludf.DUMMYFUNCTION("GOOGLEFINANCE(A818,""LOW"")"),120.0)</f>
        <v>120</v>
      </c>
      <c r="F818" s="15" t="str">
        <f t="shared" si="8"/>
        <v>BUY</v>
      </c>
      <c r="G818" s="16">
        <f>IFERROR(__xludf.DUMMYFUNCTION("GOOGLEFINANCE(A818,""CLOSEYEST"")"),121.14)</f>
        <v>121.14</v>
      </c>
      <c r="H818" s="17" t="str">
        <f t="shared" si="14"/>
        <v/>
      </c>
      <c r="I818" s="18">
        <f t="shared" si="9"/>
        <v>121.8733333</v>
      </c>
      <c r="J818" s="19">
        <f t="shared" si="10"/>
        <v>123.7466667</v>
      </c>
      <c r="K818" s="19"/>
      <c r="L818" s="19">
        <f t="shared" si="11"/>
        <v>119.2666667</v>
      </c>
      <c r="M818" s="19">
        <f t="shared" si="12"/>
        <v>126.3533333</v>
      </c>
      <c r="N818" s="19">
        <f t="shared" si="13"/>
        <v>117.3933333</v>
      </c>
    </row>
    <row r="819" ht="24.75" customHeight="1">
      <c r="A819" s="21" t="s">
        <v>782</v>
      </c>
      <c r="B819" s="13" t="str">
        <f>IFERROR(__xludf.DUMMYFUNCTION("GOOGLEFINANCE(A819,""PRICE"")"),"#N/A")</f>
        <v>#N/A</v>
      </c>
      <c r="C819" s="14" t="str">
        <f>IFERROR(__xludf.DUMMYFUNCTION("GOOGLEFINANCE(A819,""PRICEOPEN"")"),"#N/A")</f>
        <v>#N/A</v>
      </c>
      <c r="D819" s="14" t="str">
        <f>IFERROR(__xludf.DUMMYFUNCTION("GOOGLEFINANCE(A819,""HIGH"")"),"#N/A")</f>
        <v>#N/A</v>
      </c>
      <c r="E819" s="14" t="str">
        <f>IFERROR(__xludf.DUMMYFUNCTION("GOOGLEFINANCE(A819,""LOW"")"),"#N/A")</f>
        <v>#N/A</v>
      </c>
      <c r="F819" s="15" t="str">
        <f t="shared" si="8"/>
        <v>#N/A</v>
      </c>
      <c r="G819" s="16" t="str">
        <f>IFERROR(__xludf.DUMMYFUNCTION("GOOGLEFINANCE(A819,""CLOSEYEST"")"),"#N/A")</f>
        <v>#N/A</v>
      </c>
      <c r="H819" s="17" t="str">
        <f t="shared" si="14"/>
        <v>#N/A</v>
      </c>
      <c r="I819" s="18" t="str">
        <f t="shared" si="9"/>
        <v>#N/A</v>
      </c>
      <c r="J819" s="19" t="str">
        <f t="shared" si="10"/>
        <v>#N/A</v>
      </c>
      <c r="K819" s="19"/>
      <c r="L819" s="19" t="str">
        <f t="shared" si="11"/>
        <v>#N/A</v>
      </c>
      <c r="M819" s="19" t="str">
        <f t="shared" si="12"/>
        <v>#N/A</v>
      </c>
      <c r="N819" s="19" t="str">
        <f t="shared" si="13"/>
        <v>#N/A</v>
      </c>
    </row>
    <row r="820" ht="24.75" customHeight="1">
      <c r="A820" s="21" t="s">
        <v>783</v>
      </c>
      <c r="B820" s="13">
        <f>IFERROR(__xludf.DUMMYFUNCTION("GOOGLEFINANCE(A820,""PRICE"")"),12.1)</f>
        <v>12.1</v>
      </c>
      <c r="C820" s="14">
        <f>IFERROR(__xludf.DUMMYFUNCTION("GOOGLEFINANCE(A820,""PRICEOPEN"")"),12.02)</f>
        <v>12.02</v>
      </c>
      <c r="D820" s="14">
        <f>IFERROR(__xludf.DUMMYFUNCTION("GOOGLEFINANCE(A820,""HIGH"")"),12.25)</f>
        <v>12.25</v>
      </c>
      <c r="E820" s="14">
        <f>IFERROR(__xludf.DUMMYFUNCTION("GOOGLEFINANCE(A820,""LOW"")"),12.0)</f>
        <v>12</v>
      </c>
      <c r="F820" s="15" t="str">
        <f t="shared" si="8"/>
        <v/>
      </c>
      <c r="G820" s="16">
        <f>IFERROR(__xludf.DUMMYFUNCTION("GOOGLEFINANCE(A820,""CLOSEYEST"")"),12.1)</f>
        <v>12.1</v>
      </c>
      <c r="H820" s="17" t="str">
        <f t="shared" si="14"/>
        <v/>
      </c>
      <c r="I820" s="18">
        <f t="shared" si="9"/>
        <v>12.11666667</v>
      </c>
      <c r="J820" s="19">
        <f t="shared" si="10"/>
        <v>12.23333333</v>
      </c>
      <c r="K820" s="19"/>
      <c r="L820" s="19">
        <f t="shared" si="11"/>
        <v>11.98333333</v>
      </c>
      <c r="M820" s="19">
        <f t="shared" si="12"/>
        <v>12.36666667</v>
      </c>
      <c r="N820" s="19">
        <f t="shared" si="13"/>
        <v>11.86666667</v>
      </c>
    </row>
    <row r="821" ht="24.75" customHeight="1">
      <c r="A821" s="21" t="s">
        <v>784</v>
      </c>
      <c r="B821" s="13">
        <f>IFERROR(__xludf.DUMMYFUNCTION("GOOGLEFINANCE(A821,""PRICE"")"),4575.0)</f>
        <v>4575</v>
      </c>
      <c r="C821" s="14">
        <f>IFERROR(__xludf.DUMMYFUNCTION("GOOGLEFINANCE(A821,""PRICEOPEN"")"),4490.0)</f>
        <v>4490</v>
      </c>
      <c r="D821" s="14">
        <f>IFERROR(__xludf.DUMMYFUNCTION("GOOGLEFINANCE(A821,""HIGH"")"),4587.0)</f>
        <v>4587</v>
      </c>
      <c r="E821" s="14">
        <f>IFERROR(__xludf.DUMMYFUNCTION("GOOGLEFINANCE(A821,""LOW"")"),4470.4)</f>
        <v>4470.4</v>
      </c>
      <c r="F821" s="15" t="str">
        <f t="shared" si="8"/>
        <v/>
      </c>
      <c r="G821" s="16">
        <f>IFERROR(__xludf.DUMMYFUNCTION("GOOGLEFINANCE(A821,""CLOSEYEST"")"),4470.4)</f>
        <v>4470.4</v>
      </c>
      <c r="H821" s="17" t="str">
        <f t="shared" si="14"/>
        <v/>
      </c>
      <c r="I821" s="18">
        <f t="shared" si="9"/>
        <v>4509.266667</v>
      </c>
      <c r="J821" s="19">
        <f t="shared" si="10"/>
        <v>4548.133333</v>
      </c>
      <c r="K821" s="19"/>
      <c r="L821" s="19">
        <f t="shared" si="11"/>
        <v>4431.533333</v>
      </c>
      <c r="M821" s="19">
        <f t="shared" si="12"/>
        <v>4625.866667</v>
      </c>
      <c r="N821" s="19">
        <f t="shared" si="13"/>
        <v>4392.666667</v>
      </c>
    </row>
    <row r="822" ht="24.75" customHeight="1">
      <c r="A822" s="21" t="s">
        <v>785</v>
      </c>
      <c r="B822" s="13" t="str">
        <f>IFERROR(__xludf.DUMMYFUNCTION("GOOGLEFINANCE(A822,""PRICE"")"),"#N/A")</f>
        <v>#N/A</v>
      </c>
      <c r="C822" s="14" t="str">
        <f>IFERROR(__xludf.DUMMYFUNCTION("GOOGLEFINANCE(A822,""PRICEOPEN"")"),"#N/A")</f>
        <v>#N/A</v>
      </c>
      <c r="D822" s="14" t="str">
        <f>IFERROR(__xludf.DUMMYFUNCTION("GOOGLEFINANCE(A822,""HIGH"")"),"#N/A")</f>
        <v>#N/A</v>
      </c>
      <c r="E822" s="14" t="str">
        <f>IFERROR(__xludf.DUMMYFUNCTION("GOOGLEFINANCE(A822,""LOW"")"),"#N/A")</f>
        <v>#N/A</v>
      </c>
      <c r="F822" s="15" t="str">
        <f t="shared" si="8"/>
        <v>#N/A</v>
      </c>
      <c r="G822" s="16" t="str">
        <f>IFERROR(__xludf.DUMMYFUNCTION("GOOGLEFINANCE(A822,""CLOSEYEST"")"),"#N/A")</f>
        <v>#N/A</v>
      </c>
      <c r="H822" s="17" t="str">
        <f t="shared" si="14"/>
        <v>#N/A</v>
      </c>
      <c r="I822" s="18" t="str">
        <f t="shared" si="9"/>
        <v>#N/A</v>
      </c>
      <c r="J822" s="19" t="str">
        <f t="shared" si="10"/>
        <v>#N/A</v>
      </c>
      <c r="K822" s="19"/>
      <c r="L822" s="19" t="str">
        <f t="shared" si="11"/>
        <v>#N/A</v>
      </c>
      <c r="M822" s="19" t="str">
        <f t="shared" si="12"/>
        <v>#N/A</v>
      </c>
      <c r="N822" s="19" t="str">
        <f t="shared" si="13"/>
        <v>#N/A</v>
      </c>
    </row>
    <row r="823" ht="24.75" customHeight="1">
      <c r="A823" s="21" t="s">
        <v>786</v>
      </c>
      <c r="B823" s="13">
        <f>IFERROR(__xludf.DUMMYFUNCTION("GOOGLEFINANCE(A823,""PRICE"")"),303.0)</f>
        <v>303</v>
      </c>
      <c r="C823" s="14">
        <f>IFERROR(__xludf.DUMMYFUNCTION("GOOGLEFINANCE(A823,""PRICEOPEN"")"),306.65)</f>
        <v>306.65</v>
      </c>
      <c r="D823" s="14">
        <f>IFERROR(__xludf.DUMMYFUNCTION("GOOGLEFINANCE(A823,""HIGH"")"),306.65)</f>
        <v>306.65</v>
      </c>
      <c r="E823" s="14">
        <f>IFERROR(__xludf.DUMMYFUNCTION("GOOGLEFINANCE(A823,""LOW"")"),299.0)</f>
        <v>299</v>
      </c>
      <c r="F823" s="15" t="str">
        <f t="shared" si="8"/>
        <v>SELL</v>
      </c>
      <c r="G823" s="16">
        <f>IFERROR(__xludf.DUMMYFUNCTION("GOOGLEFINANCE(A823,""CLOSEYEST"")"),303.65)</f>
        <v>303.65</v>
      </c>
      <c r="H823" s="17" t="str">
        <f t="shared" si="14"/>
        <v/>
      </c>
      <c r="I823" s="18">
        <f t="shared" si="9"/>
        <v>303.1</v>
      </c>
      <c r="J823" s="19">
        <f t="shared" si="10"/>
        <v>307.2</v>
      </c>
      <c r="K823" s="19"/>
      <c r="L823" s="19">
        <f t="shared" si="11"/>
        <v>299.55</v>
      </c>
      <c r="M823" s="19">
        <f t="shared" si="12"/>
        <v>310.75</v>
      </c>
      <c r="N823" s="19">
        <f t="shared" si="13"/>
        <v>295.45</v>
      </c>
    </row>
    <row r="824" ht="24.75" customHeight="1">
      <c r="A824" s="21" t="s">
        <v>787</v>
      </c>
      <c r="B824" s="13">
        <f>IFERROR(__xludf.DUMMYFUNCTION("GOOGLEFINANCE(A824,""PRICE"")"),220.1)</f>
        <v>220.1</v>
      </c>
      <c r="C824" s="14">
        <f>IFERROR(__xludf.DUMMYFUNCTION("GOOGLEFINANCE(A824,""PRICEOPEN"")"),223.19)</f>
        <v>223.19</v>
      </c>
      <c r="D824" s="14">
        <f>IFERROR(__xludf.DUMMYFUNCTION("GOOGLEFINANCE(A824,""HIGH"")"),223.89)</f>
        <v>223.89</v>
      </c>
      <c r="E824" s="14">
        <f>IFERROR(__xludf.DUMMYFUNCTION("GOOGLEFINANCE(A824,""LOW"")"),217.5)</f>
        <v>217.5</v>
      </c>
      <c r="F824" s="15" t="str">
        <f t="shared" si="8"/>
        <v/>
      </c>
      <c r="G824" s="16">
        <f>IFERROR(__xludf.DUMMYFUNCTION("GOOGLEFINANCE(A824,""CLOSEYEST"")"),221.71)</f>
        <v>221.71</v>
      </c>
      <c r="H824" s="17" t="str">
        <f t="shared" si="14"/>
        <v/>
      </c>
      <c r="I824" s="18">
        <f t="shared" si="9"/>
        <v>221.0333333</v>
      </c>
      <c r="J824" s="19">
        <f t="shared" si="10"/>
        <v>224.5666667</v>
      </c>
      <c r="K824" s="19"/>
      <c r="L824" s="19">
        <f t="shared" si="11"/>
        <v>218.1766667</v>
      </c>
      <c r="M824" s="19">
        <f t="shared" si="12"/>
        <v>227.4233333</v>
      </c>
      <c r="N824" s="19">
        <f t="shared" si="13"/>
        <v>214.6433333</v>
      </c>
    </row>
    <row r="825" ht="24.75" customHeight="1">
      <c r="A825" s="21" t="s">
        <v>788</v>
      </c>
      <c r="B825" s="13">
        <f>IFERROR(__xludf.DUMMYFUNCTION("GOOGLEFINANCE(A825,""PRICE"")"),13.25)</f>
        <v>13.25</v>
      </c>
      <c r="C825" s="14">
        <f>IFERROR(__xludf.DUMMYFUNCTION("GOOGLEFINANCE(A825,""PRICEOPEN"")"),13.33)</f>
        <v>13.33</v>
      </c>
      <c r="D825" s="14">
        <f>IFERROR(__xludf.DUMMYFUNCTION("GOOGLEFINANCE(A825,""HIGH"")"),13.39)</f>
        <v>13.39</v>
      </c>
      <c r="E825" s="14">
        <f>IFERROR(__xludf.DUMMYFUNCTION("GOOGLEFINANCE(A825,""LOW"")"),13.13)</f>
        <v>13.13</v>
      </c>
      <c r="F825" s="15" t="str">
        <f t="shared" si="8"/>
        <v/>
      </c>
      <c r="G825" s="16">
        <f>IFERROR(__xludf.DUMMYFUNCTION("GOOGLEFINANCE(A825,""CLOSEYEST"")"),13.23)</f>
        <v>13.23</v>
      </c>
      <c r="H825" s="17" t="str">
        <f t="shared" si="14"/>
        <v/>
      </c>
      <c r="I825" s="18">
        <f t="shared" si="9"/>
        <v>13.25</v>
      </c>
      <c r="J825" s="19">
        <f t="shared" si="10"/>
        <v>13.37</v>
      </c>
      <c r="K825" s="19"/>
      <c r="L825" s="19">
        <f t="shared" si="11"/>
        <v>13.11</v>
      </c>
      <c r="M825" s="19">
        <f t="shared" si="12"/>
        <v>13.51</v>
      </c>
      <c r="N825" s="19">
        <f t="shared" si="13"/>
        <v>12.99</v>
      </c>
    </row>
    <row r="826" ht="24.75" customHeight="1">
      <c r="A826" s="21" t="s">
        <v>789</v>
      </c>
      <c r="B826" s="13">
        <f>IFERROR(__xludf.DUMMYFUNCTION("GOOGLEFINANCE(A826,""PRICE"")"),876.0)</f>
        <v>876</v>
      </c>
      <c r="C826" s="14">
        <f>IFERROR(__xludf.DUMMYFUNCTION("GOOGLEFINANCE(A826,""PRICEOPEN"")"),874.0)</f>
        <v>874</v>
      </c>
      <c r="D826" s="14">
        <f>IFERROR(__xludf.DUMMYFUNCTION("GOOGLEFINANCE(A826,""HIGH"")"),885.5)</f>
        <v>885.5</v>
      </c>
      <c r="E826" s="14">
        <f>IFERROR(__xludf.DUMMYFUNCTION("GOOGLEFINANCE(A826,""LOW"")"),865.2)</f>
        <v>865.2</v>
      </c>
      <c r="F826" s="15" t="str">
        <f t="shared" si="8"/>
        <v/>
      </c>
      <c r="G826" s="16">
        <f>IFERROR(__xludf.DUMMYFUNCTION("GOOGLEFINANCE(A826,""CLOSEYEST"")"),876.55)</f>
        <v>876.55</v>
      </c>
      <c r="H826" s="17" t="str">
        <f t="shared" si="14"/>
        <v/>
      </c>
      <c r="I826" s="18">
        <f t="shared" si="9"/>
        <v>875.75</v>
      </c>
      <c r="J826" s="19">
        <f t="shared" si="10"/>
        <v>886.3</v>
      </c>
      <c r="K826" s="19"/>
      <c r="L826" s="19">
        <f t="shared" si="11"/>
        <v>866</v>
      </c>
      <c r="M826" s="19">
        <f t="shared" si="12"/>
        <v>896.05</v>
      </c>
      <c r="N826" s="19">
        <f t="shared" si="13"/>
        <v>855.45</v>
      </c>
    </row>
    <row r="827" ht="24.75" customHeight="1">
      <c r="A827" s="21" t="s">
        <v>790</v>
      </c>
      <c r="B827" s="13">
        <f>IFERROR(__xludf.DUMMYFUNCTION("GOOGLEFINANCE(A827,""PRICE"")"),514.55)</f>
        <v>514.55</v>
      </c>
      <c r="C827" s="14">
        <f>IFERROR(__xludf.DUMMYFUNCTION("GOOGLEFINANCE(A827,""PRICEOPEN"")"),515.0)</f>
        <v>515</v>
      </c>
      <c r="D827" s="14">
        <f>IFERROR(__xludf.DUMMYFUNCTION("GOOGLEFINANCE(A827,""HIGH"")"),518.0)</f>
        <v>518</v>
      </c>
      <c r="E827" s="14">
        <f>IFERROR(__xludf.DUMMYFUNCTION("GOOGLEFINANCE(A827,""LOW"")"),508.45)</f>
        <v>508.45</v>
      </c>
      <c r="F827" s="15" t="str">
        <f t="shared" si="8"/>
        <v/>
      </c>
      <c r="G827" s="16">
        <f>IFERROR(__xludf.DUMMYFUNCTION("GOOGLEFINANCE(A827,""CLOSEYEST"")"),510.85)</f>
        <v>510.85</v>
      </c>
      <c r="H827" s="17" t="str">
        <f t="shared" si="14"/>
        <v/>
      </c>
      <c r="I827" s="18">
        <f t="shared" si="9"/>
        <v>512.4333333</v>
      </c>
      <c r="J827" s="19">
        <f t="shared" si="10"/>
        <v>516.4166667</v>
      </c>
      <c r="K827" s="19"/>
      <c r="L827" s="19">
        <f t="shared" si="11"/>
        <v>506.8666667</v>
      </c>
      <c r="M827" s="19">
        <f t="shared" si="12"/>
        <v>521.9833333</v>
      </c>
      <c r="N827" s="19">
        <f t="shared" si="13"/>
        <v>502.8833333</v>
      </c>
    </row>
    <row r="828" ht="24.75" customHeight="1">
      <c r="A828" s="21" t="s">
        <v>791</v>
      </c>
      <c r="B828" s="13">
        <f>IFERROR(__xludf.DUMMYFUNCTION("GOOGLEFINANCE(A828,""PRICE"")"),160.09)</f>
        <v>160.09</v>
      </c>
      <c r="C828" s="14">
        <f>IFERROR(__xludf.DUMMYFUNCTION("GOOGLEFINANCE(A828,""PRICEOPEN"")"),159.9)</f>
        <v>159.9</v>
      </c>
      <c r="D828" s="14">
        <f>IFERROR(__xludf.DUMMYFUNCTION("GOOGLEFINANCE(A828,""HIGH"")"),161.77)</f>
        <v>161.77</v>
      </c>
      <c r="E828" s="14">
        <f>IFERROR(__xludf.DUMMYFUNCTION("GOOGLEFINANCE(A828,""LOW"")"),156.77)</f>
        <v>156.77</v>
      </c>
      <c r="F828" s="15" t="str">
        <f t="shared" si="8"/>
        <v/>
      </c>
      <c r="G828" s="16">
        <f>IFERROR(__xludf.DUMMYFUNCTION("GOOGLEFINANCE(A828,""CLOSEYEST"")"),158.76)</f>
        <v>158.76</v>
      </c>
      <c r="H828" s="17" t="str">
        <f t="shared" si="14"/>
        <v/>
      </c>
      <c r="I828" s="18">
        <f t="shared" si="9"/>
        <v>159.1</v>
      </c>
      <c r="J828" s="19">
        <f t="shared" si="10"/>
        <v>161.43</v>
      </c>
      <c r="K828" s="19"/>
      <c r="L828" s="19">
        <f t="shared" si="11"/>
        <v>156.43</v>
      </c>
      <c r="M828" s="19">
        <f t="shared" si="12"/>
        <v>164.1</v>
      </c>
      <c r="N828" s="19">
        <f t="shared" si="13"/>
        <v>154.1</v>
      </c>
    </row>
    <row r="829" ht="24.75" customHeight="1">
      <c r="A829" s="21" t="s">
        <v>792</v>
      </c>
      <c r="B829" s="13">
        <f>IFERROR(__xludf.DUMMYFUNCTION("GOOGLEFINANCE(A829,""PRICE"")"),403.0)</f>
        <v>403</v>
      </c>
      <c r="C829" s="14">
        <f>IFERROR(__xludf.DUMMYFUNCTION("GOOGLEFINANCE(A829,""PRICEOPEN"")"),401.85)</f>
        <v>401.85</v>
      </c>
      <c r="D829" s="14">
        <f>IFERROR(__xludf.DUMMYFUNCTION("GOOGLEFINANCE(A829,""HIGH"")"),405.85)</f>
        <v>405.85</v>
      </c>
      <c r="E829" s="14">
        <f>IFERROR(__xludf.DUMMYFUNCTION("GOOGLEFINANCE(A829,""LOW"")"),400.6)</f>
        <v>400.6</v>
      </c>
      <c r="F829" s="15" t="str">
        <f t="shared" si="8"/>
        <v/>
      </c>
      <c r="G829" s="16">
        <f>IFERROR(__xludf.DUMMYFUNCTION("GOOGLEFINANCE(A829,""CLOSEYEST"")"),403.8)</f>
        <v>403.8</v>
      </c>
      <c r="H829" s="17" t="str">
        <f t="shared" si="14"/>
        <v/>
      </c>
      <c r="I829" s="18">
        <f t="shared" si="9"/>
        <v>403.4166667</v>
      </c>
      <c r="J829" s="19">
        <f t="shared" si="10"/>
        <v>406.2333333</v>
      </c>
      <c r="K829" s="19"/>
      <c r="L829" s="19">
        <f t="shared" si="11"/>
        <v>400.9833333</v>
      </c>
      <c r="M829" s="19">
        <f t="shared" si="12"/>
        <v>408.6666667</v>
      </c>
      <c r="N829" s="19">
        <f t="shared" si="13"/>
        <v>398.1666667</v>
      </c>
    </row>
    <row r="830" ht="24.75" customHeight="1">
      <c r="A830" s="21" t="s">
        <v>793</v>
      </c>
      <c r="B830" s="13">
        <f>IFERROR(__xludf.DUMMYFUNCTION("GOOGLEFINANCE(A830,""PRICE"")"),189.6)</f>
        <v>189.6</v>
      </c>
      <c r="C830" s="14">
        <f>IFERROR(__xludf.DUMMYFUNCTION("GOOGLEFINANCE(A830,""PRICEOPEN"")"),188.31)</f>
        <v>188.31</v>
      </c>
      <c r="D830" s="14">
        <f>IFERROR(__xludf.DUMMYFUNCTION("GOOGLEFINANCE(A830,""HIGH"")"),190.5)</f>
        <v>190.5</v>
      </c>
      <c r="E830" s="14">
        <f>IFERROR(__xludf.DUMMYFUNCTION("GOOGLEFINANCE(A830,""LOW"")"),184.64)</f>
        <v>184.64</v>
      </c>
      <c r="F830" s="15" t="str">
        <f t="shared" si="8"/>
        <v/>
      </c>
      <c r="G830" s="16">
        <f>IFERROR(__xludf.DUMMYFUNCTION("GOOGLEFINANCE(A830,""CLOSEYEST"")"),188.31)</f>
        <v>188.31</v>
      </c>
      <c r="H830" s="17" t="str">
        <f t="shared" si="14"/>
        <v/>
      </c>
      <c r="I830" s="18">
        <f t="shared" si="9"/>
        <v>187.8166667</v>
      </c>
      <c r="J830" s="19">
        <f t="shared" si="10"/>
        <v>190.9933333</v>
      </c>
      <c r="K830" s="19"/>
      <c r="L830" s="19">
        <f t="shared" si="11"/>
        <v>185.1333333</v>
      </c>
      <c r="M830" s="19">
        <f t="shared" si="12"/>
        <v>193.6766667</v>
      </c>
      <c r="N830" s="19">
        <f t="shared" si="13"/>
        <v>181.9566667</v>
      </c>
    </row>
    <row r="831" ht="24.75" customHeight="1">
      <c r="A831" s="21" t="s">
        <v>794</v>
      </c>
      <c r="B831" s="13" t="str">
        <f>IFERROR(__xludf.DUMMYFUNCTION("GOOGLEFINANCE(A831,""PRICE"")"),"#N/A")</f>
        <v>#N/A</v>
      </c>
      <c r="C831" s="14" t="str">
        <f>IFERROR(__xludf.DUMMYFUNCTION("GOOGLEFINANCE(A831,""PRICEOPEN"")"),"#N/A")</f>
        <v>#N/A</v>
      </c>
      <c r="D831" s="14" t="str">
        <f>IFERROR(__xludf.DUMMYFUNCTION("GOOGLEFINANCE(A831,""HIGH"")"),"#N/A")</f>
        <v>#N/A</v>
      </c>
      <c r="E831" s="14" t="str">
        <f>IFERROR(__xludf.DUMMYFUNCTION("GOOGLEFINANCE(A831,""LOW"")"),"#N/A")</f>
        <v>#N/A</v>
      </c>
      <c r="F831" s="15" t="str">
        <f t="shared" si="8"/>
        <v>#N/A</v>
      </c>
      <c r="G831" s="16" t="str">
        <f>IFERROR(__xludf.DUMMYFUNCTION("GOOGLEFINANCE(A831,""CLOSEYEST"")"),"#N/A")</f>
        <v>#N/A</v>
      </c>
      <c r="H831" s="17" t="str">
        <f t="shared" si="14"/>
        <v>#N/A</v>
      </c>
      <c r="I831" s="18" t="str">
        <f t="shared" si="9"/>
        <v>#N/A</v>
      </c>
      <c r="J831" s="19" t="str">
        <f t="shared" si="10"/>
        <v>#N/A</v>
      </c>
      <c r="K831" s="19"/>
      <c r="L831" s="19" t="str">
        <f t="shared" si="11"/>
        <v>#N/A</v>
      </c>
      <c r="M831" s="19" t="str">
        <f t="shared" si="12"/>
        <v>#N/A</v>
      </c>
      <c r="N831" s="19" t="str">
        <f t="shared" si="13"/>
        <v>#N/A</v>
      </c>
    </row>
    <row r="832" ht="24.75" customHeight="1">
      <c r="A832" s="21" t="s">
        <v>795</v>
      </c>
      <c r="B832" s="13">
        <f>IFERROR(__xludf.DUMMYFUNCTION("GOOGLEFINANCE(A832,""PRICE"")"),295.0)</f>
        <v>295</v>
      </c>
      <c r="C832" s="14">
        <f>IFERROR(__xludf.DUMMYFUNCTION("GOOGLEFINANCE(A832,""PRICEOPEN"")"),283.75)</f>
        <v>283.75</v>
      </c>
      <c r="D832" s="14">
        <f>IFERROR(__xludf.DUMMYFUNCTION("GOOGLEFINANCE(A832,""HIGH"")"),296.0)</f>
        <v>296</v>
      </c>
      <c r="E832" s="14">
        <f>IFERROR(__xludf.DUMMYFUNCTION("GOOGLEFINANCE(A832,""LOW"")"),283.75)</f>
        <v>283.75</v>
      </c>
      <c r="F832" s="15" t="str">
        <f t="shared" si="8"/>
        <v>BUY</v>
      </c>
      <c r="G832" s="16">
        <f>IFERROR(__xludf.DUMMYFUNCTION("GOOGLEFINANCE(A832,""CLOSEYEST"")"),285.75)</f>
        <v>285.75</v>
      </c>
      <c r="H832" s="17" t="str">
        <f t="shared" si="14"/>
        <v/>
      </c>
      <c r="I832" s="18">
        <f t="shared" si="9"/>
        <v>288.5</v>
      </c>
      <c r="J832" s="19">
        <f t="shared" si="10"/>
        <v>293.25</v>
      </c>
      <c r="K832" s="19"/>
      <c r="L832" s="19">
        <f t="shared" si="11"/>
        <v>281</v>
      </c>
      <c r="M832" s="19">
        <f t="shared" si="12"/>
        <v>300.75</v>
      </c>
      <c r="N832" s="19">
        <f t="shared" si="13"/>
        <v>276.25</v>
      </c>
    </row>
    <row r="833" ht="24.75" customHeight="1">
      <c r="A833" s="21" t="s">
        <v>796</v>
      </c>
      <c r="B833" s="13">
        <f>IFERROR(__xludf.DUMMYFUNCTION("GOOGLEFINANCE(A833,""PRICE"")"),323.6)</f>
        <v>323.6</v>
      </c>
      <c r="C833" s="14">
        <f>IFERROR(__xludf.DUMMYFUNCTION("GOOGLEFINANCE(A833,""PRICEOPEN"")"),325.4)</f>
        <v>325.4</v>
      </c>
      <c r="D833" s="14">
        <f>IFERROR(__xludf.DUMMYFUNCTION("GOOGLEFINANCE(A833,""HIGH"")"),329.5)</f>
        <v>329.5</v>
      </c>
      <c r="E833" s="14">
        <f>IFERROR(__xludf.DUMMYFUNCTION("GOOGLEFINANCE(A833,""LOW"")"),323.1)</f>
        <v>323.1</v>
      </c>
      <c r="F833" s="15" t="str">
        <f t="shared" si="8"/>
        <v/>
      </c>
      <c r="G833" s="16">
        <f>IFERROR(__xludf.DUMMYFUNCTION("GOOGLEFINANCE(A833,""CLOSEYEST"")"),325.4)</f>
        <v>325.4</v>
      </c>
      <c r="H833" s="17" t="str">
        <f t="shared" si="14"/>
        <v/>
      </c>
      <c r="I833" s="18">
        <f t="shared" si="9"/>
        <v>326</v>
      </c>
      <c r="J833" s="19">
        <f t="shared" si="10"/>
        <v>328.9</v>
      </c>
      <c r="K833" s="19"/>
      <c r="L833" s="19">
        <f t="shared" si="11"/>
        <v>322.5</v>
      </c>
      <c r="M833" s="19">
        <f t="shared" si="12"/>
        <v>332.4</v>
      </c>
      <c r="N833" s="19">
        <f t="shared" si="13"/>
        <v>319.6</v>
      </c>
    </row>
    <row r="834" ht="24.75" customHeight="1">
      <c r="A834" s="21" t="s">
        <v>797</v>
      </c>
      <c r="B834" s="13">
        <f>IFERROR(__xludf.DUMMYFUNCTION("GOOGLEFINANCE(A834,""PRICE"")"),1001.0)</f>
        <v>1001</v>
      </c>
      <c r="C834" s="14">
        <f>IFERROR(__xludf.DUMMYFUNCTION("GOOGLEFINANCE(A834,""PRICEOPEN"")"),982.9)</f>
        <v>982.9</v>
      </c>
      <c r="D834" s="14">
        <f>IFERROR(__xludf.DUMMYFUNCTION("GOOGLEFINANCE(A834,""HIGH"")"),1014.95)</f>
        <v>1014.95</v>
      </c>
      <c r="E834" s="14">
        <f>IFERROR(__xludf.DUMMYFUNCTION("GOOGLEFINANCE(A834,""LOW"")"),980.0)</f>
        <v>980</v>
      </c>
      <c r="F834" s="15" t="str">
        <f t="shared" si="8"/>
        <v/>
      </c>
      <c r="G834" s="16">
        <f>IFERROR(__xludf.DUMMYFUNCTION("GOOGLEFINANCE(A834,""CLOSEYEST"")"),982.9)</f>
        <v>982.9</v>
      </c>
      <c r="H834" s="17" t="str">
        <f t="shared" si="14"/>
        <v/>
      </c>
      <c r="I834" s="18">
        <f t="shared" si="9"/>
        <v>992.6166667</v>
      </c>
      <c r="J834" s="19">
        <f t="shared" si="10"/>
        <v>1005.233333</v>
      </c>
      <c r="K834" s="19"/>
      <c r="L834" s="19">
        <f t="shared" si="11"/>
        <v>970.2833333</v>
      </c>
      <c r="M834" s="19">
        <f t="shared" si="12"/>
        <v>1027.566667</v>
      </c>
      <c r="N834" s="19">
        <f t="shared" si="13"/>
        <v>957.6666667</v>
      </c>
    </row>
    <row r="835" ht="24.75" customHeight="1">
      <c r="A835" s="21" t="s">
        <v>798</v>
      </c>
      <c r="B835" s="13" t="str">
        <f>IFERROR(__xludf.DUMMYFUNCTION("GOOGLEFINANCE(A835,""PRICE"")"),"#N/A")</f>
        <v>#N/A</v>
      </c>
      <c r="C835" s="14" t="str">
        <f>IFERROR(__xludf.DUMMYFUNCTION("GOOGLEFINANCE(A835,""PRICEOPEN"")"),"#N/A")</f>
        <v>#N/A</v>
      </c>
      <c r="D835" s="14" t="str">
        <f>IFERROR(__xludf.DUMMYFUNCTION("GOOGLEFINANCE(A835,""HIGH"")"),"#N/A")</f>
        <v>#N/A</v>
      </c>
      <c r="E835" s="14" t="str">
        <f>IFERROR(__xludf.DUMMYFUNCTION("GOOGLEFINANCE(A835,""LOW"")"),"#N/A")</f>
        <v>#N/A</v>
      </c>
      <c r="F835" s="15" t="str">
        <f t="shared" si="8"/>
        <v>#N/A</v>
      </c>
      <c r="G835" s="16" t="str">
        <f>IFERROR(__xludf.DUMMYFUNCTION("GOOGLEFINANCE(A835,""CLOSEYEST"")"),"#N/A")</f>
        <v>#N/A</v>
      </c>
      <c r="H835" s="17" t="str">
        <f t="shared" si="14"/>
        <v>#N/A</v>
      </c>
      <c r="I835" s="18" t="str">
        <f t="shared" si="9"/>
        <v>#N/A</v>
      </c>
      <c r="J835" s="19" t="str">
        <f t="shared" si="10"/>
        <v>#N/A</v>
      </c>
      <c r="K835" s="19"/>
      <c r="L835" s="19" t="str">
        <f t="shared" si="11"/>
        <v>#N/A</v>
      </c>
      <c r="M835" s="19" t="str">
        <f t="shared" si="12"/>
        <v>#N/A</v>
      </c>
      <c r="N835" s="19" t="str">
        <f t="shared" si="13"/>
        <v>#N/A</v>
      </c>
    </row>
    <row r="836" ht="24.75" customHeight="1">
      <c r="A836" s="21" t="s">
        <v>799</v>
      </c>
      <c r="B836" s="13">
        <f>IFERROR(__xludf.DUMMYFUNCTION("GOOGLEFINANCE(A836,""PRICE"")"),313.5)</f>
        <v>313.5</v>
      </c>
      <c r="C836" s="14">
        <f>IFERROR(__xludf.DUMMYFUNCTION("GOOGLEFINANCE(A836,""PRICEOPEN"")"),306.45)</f>
        <v>306.45</v>
      </c>
      <c r="D836" s="14">
        <f>IFERROR(__xludf.DUMMYFUNCTION("GOOGLEFINANCE(A836,""HIGH"")"),328.0)</f>
        <v>328</v>
      </c>
      <c r="E836" s="14">
        <f>IFERROR(__xludf.DUMMYFUNCTION("GOOGLEFINANCE(A836,""LOW"")"),306.45)</f>
        <v>306.45</v>
      </c>
      <c r="F836" s="15" t="str">
        <f t="shared" si="8"/>
        <v>BUY</v>
      </c>
      <c r="G836" s="16">
        <f>IFERROR(__xludf.DUMMYFUNCTION("GOOGLEFINANCE(A836,""CLOSEYEST"")"),311.1)</f>
        <v>311.1</v>
      </c>
      <c r="H836" s="17" t="str">
        <f t="shared" si="14"/>
        <v>GAP DOWN</v>
      </c>
      <c r="I836" s="18">
        <f t="shared" si="9"/>
        <v>315.1833333</v>
      </c>
      <c r="J836" s="19">
        <f t="shared" si="10"/>
        <v>323.9166667</v>
      </c>
      <c r="K836" s="19"/>
      <c r="L836" s="19">
        <f t="shared" si="11"/>
        <v>302.3666667</v>
      </c>
      <c r="M836" s="19">
        <f t="shared" si="12"/>
        <v>336.7333333</v>
      </c>
      <c r="N836" s="19">
        <f t="shared" si="13"/>
        <v>293.6333333</v>
      </c>
    </row>
    <row r="837" ht="24.75" customHeight="1">
      <c r="A837" s="21" t="s">
        <v>800</v>
      </c>
      <c r="B837" s="13">
        <f>IFERROR(__xludf.DUMMYFUNCTION("GOOGLEFINANCE(A837,""PRICE"")"),268.0)</f>
        <v>268</v>
      </c>
      <c r="C837" s="14">
        <f>IFERROR(__xludf.DUMMYFUNCTION("GOOGLEFINANCE(A837,""PRICEOPEN"")"),269.4)</f>
        <v>269.4</v>
      </c>
      <c r="D837" s="14">
        <f>IFERROR(__xludf.DUMMYFUNCTION("GOOGLEFINANCE(A837,""HIGH"")"),272.9)</f>
        <v>272.9</v>
      </c>
      <c r="E837" s="14">
        <f>IFERROR(__xludf.DUMMYFUNCTION("GOOGLEFINANCE(A837,""LOW"")"),267.0)</f>
        <v>267</v>
      </c>
      <c r="F837" s="15" t="str">
        <f t="shared" si="8"/>
        <v/>
      </c>
      <c r="G837" s="16">
        <f>IFERROR(__xludf.DUMMYFUNCTION("GOOGLEFINANCE(A837,""CLOSEYEST"")"),269.4)</f>
        <v>269.4</v>
      </c>
      <c r="H837" s="17" t="str">
        <f t="shared" si="14"/>
        <v/>
      </c>
      <c r="I837" s="18">
        <f t="shared" si="9"/>
        <v>269.7666667</v>
      </c>
      <c r="J837" s="19">
        <f t="shared" si="10"/>
        <v>272.5333333</v>
      </c>
      <c r="K837" s="19"/>
      <c r="L837" s="19">
        <f t="shared" si="11"/>
        <v>266.6333333</v>
      </c>
      <c r="M837" s="19">
        <f t="shared" si="12"/>
        <v>275.6666667</v>
      </c>
      <c r="N837" s="19">
        <f t="shared" si="13"/>
        <v>263.8666667</v>
      </c>
    </row>
    <row r="838" ht="24.75" customHeight="1">
      <c r="A838" s="21" t="s">
        <v>801</v>
      </c>
      <c r="B838" s="13">
        <f>IFERROR(__xludf.DUMMYFUNCTION("GOOGLEFINANCE(A838,""PRICE"")"),1490.1)</f>
        <v>1490.1</v>
      </c>
      <c r="C838" s="14">
        <f>IFERROR(__xludf.DUMMYFUNCTION("GOOGLEFINANCE(A838,""PRICEOPEN"")"),1474.1)</f>
        <v>1474.1</v>
      </c>
      <c r="D838" s="14">
        <f>IFERROR(__xludf.DUMMYFUNCTION("GOOGLEFINANCE(A838,""HIGH"")"),1497.2)</f>
        <v>1497.2</v>
      </c>
      <c r="E838" s="14">
        <f>IFERROR(__xludf.DUMMYFUNCTION("GOOGLEFINANCE(A838,""LOW"")"),1464.0)</f>
        <v>1464</v>
      </c>
      <c r="F838" s="15" t="str">
        <f t="shared" si="8"/>
        <v/>
      </c>
      <c r="G838" s="16">
        <f>IFERROR(__xludf.DUMMYFUNCTION("GOOGLEFINANCE(A838,""CLOSEYEST"")"),1467.0)</f>
        <v>1467</v>
      </c>
      <c r="H838" s="17" t="str">
        <f t="shared" si="14"/>
        <v/>
      </c>
      <c r="I838" s="18">
        <f t="shared" si="9"/>
        <v>1476.066667</v>
      </c>
      <c r="J838" s="19">
        <f t="shared" si="10"/>
        <v>1488.133333</v>
      </c>
      <c r="K838" s="19"/>
      <c r="L838" s="19">
        <f t="shared" si="11"/>
        <v>1454.933333</v>
      </c>
      <c r="M838" s="19">
        <f t="shared" si="12"/>
        <v>1509.266667</v>
      </c>
      <c r="N838" s="19">
        <f t="shared" si="13"/>
        <v>1442.866667</v>
      </c>
    </row>
    <row r="839" ht="24.75" customHeight="1">
      <c r="A839" s="21" t="s">
        <v>802</v>
      </c>
      <c r="B839" s="13">
        <f>IFERROR(__xludf.DUMMYFUNCTION("GOOGLEFINANCE(A839,""PRICE"")"),16745.0)</f>
        <v>16745</v>
      </c>
      <c r="C839" s="14">
        <f>IFERROR(__xludf.DUMMYFUNCTION("GOOGLEFINANCE(A839,""PRICEOPEN"")"),16938.0)</f>
        <v>16938</v>
      </c>
      <c r="D839" s="14">
        <f>IFERROR(__xludf.DUMMYFUNCTION("GOOGLEFINANCE(A839,""HIGH"")"),17199.0)</f>
        <v>17199</v>
      </c>
      <c r="E839" s="14">
        <f>IFERROR(__xludf.DUMMYFUNCTION("GOOGLEFINANCE(A839,""LOW"")"),16623.0)</f>
        <v>16623</v>
      </c>
      <c r="F839" s="15" t="str">
        <f t="shared" si="8"/>
        <v/>
      </c>
      <c r="G839" s="16">
        <f>IFERROR(__xludf.DUMMYFUNCTION("GOOGLEFINANCE(A839,""CLOSEYEST"")"),16854.0)</f>
        <v>16854</v>
      </c>
      <c r="H839" s="17" t="str">
        <f t="shared" si="14"/>
        <v/>
      </c>
      <c r="I839" s="18">
        <f t="shared" si="9"/>
        <v>16892</v>
      </c>
      <c r="J839" s="19">
        <f t="shared" si="10"/>
        <v>17161</v>
      </c>
      <c r="K839" s="19"/>
      <c r="L839" s="19">
        <f t="shared" si="11"/>
        <v>16585</v>
      </c>
      <c r="M839" s="19">
        <f t="shared" si="12"/>
        <v>17468</v>
      </c>
      <c r="N839" s="19">
        <f t="shared" si="13"/>
        <v>16316</v>
      </c>
    </row>
    <row r="840" ht="24.75" customHeight="1">
      <c r="A840" s="21" t="s">
        <v>803</v>
      </c>
      <c r="B840" s="13">
        <f>IFERROR(__xludf.DUMMYFUNCTION("GOOGLEFINANCE(A840,""PRICE"")"),218.0)</f>
        <v>218</v>
      </c>
      <c r="C840" s="14">
        <f>IFERROR(__xludf.DUMMYFUNCTION("GOOGLEFINANCE(A840,""PRICEOPEN"")"),221.39)</f>
        <v>221.39</v>
      </c>
      <c r="D840" s="14">
        <f>IFERROR(__xludf.DUMMYFUNCTION("GOOGLEFINANCE(A840,""HIGH"")"),221.39)</f>
        <v>221.39</v>
      </c>
      <c r="E840" s="14">
        <f>IFERROR(__xludf.DUMMYFUNCTION("GOOGLEFINANCE(A840,""LOW"")"),216.04)</f>
        <v>216.04</v>
      </c>
      <c r="F840" s="15" t="str">
        <f t="shared" si="8"/>
        <v>SELL</v>
      </c>
      <c r="G840" s="16">
        <f>IFERROR(__xludf.DUMMYFUNCTION("GOOGLEFINANCE(A840,""CLOSEYEST"")"),220.54)</f>
        <v>220.54</v>
      </c>
      <c r="H840" s="17" t="str">
        <f t="shared" si="14"/>
        <v/>
      </c>
      <c r="I840" s="18">
        <f t="shared" si="9"/>
        <v>219.3233333</v>
      </c>
      <c r="J840" s="19">
        <f t="shared" si="10"/>
        <v>222.6066667</v>
      </c>
      <c r="K840" s="19"/>
      <c r="L840" s="19">
        <f t="shared" si="11"/>
        <v>217.2566667</v>
      </c>
      <c r="M840" s="19">
        <f t="shared" si="12"/>
        <v>224.6733333</v>
      </c>
      <c r="N840" s="19">
        <f t="shared" si="13"/>
        <v>213.9733333</v>
      </c>
    </row>
    <row r="841" ht="24.75" customHeight="1">
      <c r="A841" s="21" t="s">
        <v>804</v>
      </c>
      <c r="B841" s="13">
        <f>IFERROR(__xludf.DUMMYFUNCTION("GOOGLEFINANCE(A841,""PRICE"")"),41.79)</f>
        <v>41.79</v>
      </c>
      <c r="C841" s="14">
        <f>IFERROR(__xludf.DUMMYFUNCTION("GOOGLEFINANCE(A841,""PRICEOPEN"")"),41.61)</f>
        <v>41.61</v>
      </c>
      <c r="D841" s="14">
        <f>IFERROR(__xludf.DUMMYFUNCTION("GOOGLEFINANCE(A841,""HIGH"")"),41.88)</f>
        <v>41.88</v>
      </c>
      <c r="E841" s="14">
        <f>IFERROR(__xludf.DUMMYFUNCTION("GOOGLEFINANCE(A841,""LOW"")"),41.39)</f>
        <v>41.39</v>
      </c>
      <c r="F841" s="15" t="str">
        <f t="shared" si="8"/>
        <v/>
      </c>
      <c r="G841" s="16">
        <f>IFERROR(__xludf.DUMMYFUNCTION("GOOGLEFINANCE(A841,""CLOSEYEST"")"),41.61)</f>
        <v>41.61</v>
      </c>
      <c r="H841" s="17" t="str">
        <f t="shared" si="14"/>
        <v/>
      </c>
      <c r="I841" s="18">
        <f t="shared" si="9"/>
        <v>41.62666667</v>
      </c>
      <c r="J841" s="19">
        <f t="shared" si="10"/>
        <v>41.86333333</v>
      </c>
      <c r="K841" s="19"/>
      <c r="L841" s="19">
        <f t="shared" si="11"/>
        <v>41.37333333</v>
      </c>
      <c r="M841" s="19">
        <f t="shared" si="12"/>
        <v>42.11666667</v>
      </c>
      <c r="N841" s="19">
        <f t="shared" si="13"/>
        <v>41.13666667</v>
      </c>
    </row>
    <row r="842" ht="24.75" customHeight="1">
      <c r="A842" s="21" t="s">
        <v>805</v>
      </c>
      <c r="B842" s="13">
        <f>IFERROR(__xludf.DUMMYFUNCTION("GOOGLEFINANCE(A842,""PRICE"")"),3.08)</f>
        <v>3.08</v>
      </c>
      <c r="C842" s="14">
        <f>IFERROR(__xludf.DUMMYFUNCTION("GOOGLEFINANCE(A842,""PRICEOPEN"")"),3.09)</f>
        <v>3.09</v>
      </c>
      <c r="D842" s="14">
        <f>IFERROR(__xludf.DUMMYFUNCTION("GOOGLEFINANCE(A842,""HIGH"")"),3.09)</f>
        <v>3.09</v>
      </c>
      <c r="E842" s="14">
        <f>IFERROR(__xludf.DUMMYFUNCTION("GOOGLEFINANCE(A842,""LOW"")"),2.96)</f>
        <v>2.96</v>
      </c>
      <c r="F842" s="15" t="str">
        <f t="shared" si="8"/>
        <v>SELL</v>
      </c>
      <c r="G842" s="16">
        <f>IFERROR(__xludf.DUMMYFUNCTION("GOOGLEFINANCE(A842,""CLOSEYEST"")"),3.09)</f>
        <v>3.09</v>
      </c>
      <c r="H842" s="17" t="str">
        <f t="shared" si="14"/>
        <v/>
      </c>
      <c r="I842" s="18">
        <f t="shared" si="9"/>
        <v>3.046666667</v>
      </c>
      <c r="J842" s="19">
        <f t="shared" si="10"/>
        <v>3.133333333</v>
      </c>
      <c r="K842" s="19"/>
      <c r="L842" s="19">
        <f t="shared" si="11"/>
        <v>3.003333333</v>
      </c>
      <c r="M842" s="19">
        <f t="shared" si="12"/>
        <v>3.176666667</v>
      </c>
      <c r="N842" s="19">
        <f t="shared" si="13"/>
        <v>2.916666667</v>
      </c>
    </row>
    <row r="843" ht="24.75" customHeight="1">
      <c r="A843" s="21" t="s">
        <v>806</v>
      </c>
      <c r="B843" s="13" t="str">
        <f>IFERROR(__xludf.DUMMYFUNCTION("GOOGLEFINANCE(A843,""PRICE"")"),"#N/A")</f>
        <v>#N/A</v>
      </c>
      <c r="C843" s="14" t="str">
        <f>IFERROR(__xludf.DUMMYFUNCTION("GOOGLEFINANCE(A843,""PRICEOPEN"")"),"#N/A")</f>
        <v>#N/A</v>
      </c>
      <c r="D843" s="14" t="str">
        <f>IFERROR(__xludf.DUMMYFUNCTION("GOOGLEFINANCE(A843,""HIGH"")"),"#N/A")</f>
        <v>#N/A</v>
      </c>
      <c r="E843" s="14" t="str">
        <f>IFERROR(__xludf.DUMMYFUNCTION("GOOGLEFINANCE(A843,""LOW"")"),"#N/A")</f>
        <v>#N/A</v>
      </c>
      <c r="F843" s="15" t="str">
        <f t="shared" si="8"/>
        <v>#N/A</v>
      </c>
      <c r="G843" s="16" t="str">
        <f>IFERROR(__xludf.DUMMYFUNCTION("GOOGLEFINANCE(A843,""CLOSEYEST"")"),"#N/A")</f>
        <v>#N/A</v>
      </c>
      <c r="H843" s="17" t="str">
        <f t="shared" si="14"/>
        <v>#N/A</v>
      </c>
      <c r="I843" s="18" t="str">
        <f t="shared" si="9"/>
        <v>#N/A</v>
      </c>
      <c r="J843" s="19" t="str">
        <f t="shared" si="10"/>
        <v>#N/A</v>
      </c>
      <c r="K843" s="19"/>
      <c r="L843" s="19" t="str">
        <f t="shared" si="11"/>
        <v>#N/A</v>
      </c>
      <c r="M843" s="19" t="str">
        <f t="shared" si="12"/>
        <v>#N/A</v>
      </c>
      <c r="N843" s="19" t="str">
        <f t="shared" si="13"/>
        <v>#N/A</v>
      </c>
    </row>
    <row r="844" ht="24.75" customHeight="1">
      <c r="A844" s="21" t="s">
        <v>807</v>
      </c>
      <c r="B844" s="13">
        <f>IFERROR(__xludf.DUMMYFUNCTION("GOOGLEFINANCE(A844,""PRICE"")"),366.0)</f>
        <v>366</v>
      </c>
      <c r="C844" s="14">
        <f>IFERROR(__xludf.DUMMYFUNCTION("GOOGLEFINANCE(A844,""PRICEOPEN"")"),365.0)</f>
        <v>365</v>
      </c>
      <c r="D844" s="14">
        <f>IFERROR(__xludf.DUMMYFUNCTION("GOOGLEFINANCE(A844,""HIGH"")"),370.0)</f>
        <v>370</v>
      </c>
      <c r="E844" s="14">
        <f>IFERROR(__xludf.DUMMYFUNCTION("GOOGLEFINANCE(A844,""LOW"")"),362.45)</f>
        <v>362.45</v>
      </c>
      <c r="F844" s="15" t="str">
        <f t="shared" si="8"/>
        <v/>
      </c>
      <c r="G844" s="16">
        <f>IFERROR(__xludf.DUMMYFUNCTION("GOOGLEFINANCE(A844,""CLOSEYEST"")"),363.1)</f>
        <v>363.1</v>
      </c>
      <c r="H844" s="17" t="str">
        <f t="shared" si="14"/>
        <v/>
      </c>
      <c r="I844" s="18">
        <f t="shared" si="9"/>
        <v>365.1833333</v>
      </c>
      <c r="J844" s="19">
        <f t="shared" si="10"/>
        <v>367.9166667</v>
      </c>
      <c r="K844" s="19"/>
      <c r="L844" s="19">
        <f t="shared" si="11"/>
        <v>360.3666667</v>
      </c>
      <c r="M844" s="19">
        <f t="shared" si="12"/>
        <v>372.7333333</v>
      </c>
      <c r="N844" s="19">
        <f t="shared" si="13"/>
        <v>357.6333333</v>
      </c>
    </row>
    <row r="845" ht="24.75" customHeight="1">
      <c r="A845" s="21" t="s">
        <v>808</v>
      </c>
      <c r="B845" s="13">
        <f>IFERROR(__xludf.DUMMYFUNCTION("GOOGLEFINANCE(A845,""PRICE"")"),425.0)</f>
        <v>425</v>
      </c>
      <c r="C845" s="14">
        <f>IFERROR(__xludf.DUMMYFUNCTION("GOOGLEFINANCE(A845,""PRICEOPEN"")"),415.0)</f>
        <v>415</v>
      </c>
      <c r="D845" s="14">
        <f>IFERROR(__xludf.DUMMYFUNCTION("GOOGLEFINANCE(A845,""HIGH"")"),425.7)</f>
        <v>425.7</v>
      </c>
      <c r="E845" s="14">
        <f>IFERROR(__xludf.DUMMYFUNCTION("GOOGLEFINANCE(A845,""LOW"")"),415.0)</f>
        <v>415</v>
      </c>
      <c r="F845" s="15" t="str">
        <f t="shared" si="8"/>
        <v>BUY</v>
      </c>
      <c r="G845" s="16">
        <f>IFERROR(__xludf.DUMMYFUNCTION("GOOGLEFINANCE(A845,""CLOSEYEST"")"),420.85)</f>
        <v>420.85</v>
      </c>
      <c r="H845" s="17" t="str">
        <f t="shared" si="14"/>
        <v>GAP DOWN</v>
      </c>
      <c r="I845" s="18">
        <f t="shared" si="9"/>
        <v>420.5166667</v>
      </c>
      <c r="J845" s="19">
        <f t="shared" si="10"/>
        <v>426.0333333</v>
      </c>
      <c r="K845" s="19"/>
      <c r="L845" s="19">
        <f t="shared" si="11"/>
        <v>415.3333333</v>
      </c>
      <c r="M845" s="19">
        <f t="shared" si="12"/>
        <v>431.2166667</v>
      </c>
      <c r="N845" s="19">
        <f t="shared" si="13"/>
        <v>409.8166667</v>
      </c>
    </row>
    <row r="846" ht="24.75" customHeight="1">
      <c r="A846" s="21" t="s">
        <v>809</v>
      </c>
      <c r="B846" s="13">
        <f>IFERROR(__xludf.DUMMYFUNCTION("GOOGLEFINANCE(A846,""PRICE"")"),149.75)</f>
        <v>149.75</v>
      </c>
      <c r="C846" s="14">
        <f>IFERROR(__xludf.DUMMYFUNCTION("GOOGLEFINANCE(A846,""PRICEOPEN"")"),148.8)</f>
        <v>148.8</v>
      </c>
      <c r="D846" s="14">
        <f>IFERROR(__xludf.DUMMYFUNCTION("GOOGLEFINANCE(A846,""HIGH"")"),149.97)</f>
        <v>149.97</v>
      </c>
      <c r="E846" s="14">
        <f>IFERROR(__xludf.DUMMYFUNCTION("GOOGLEFINANCE(A846,""LOW"")"),147.4)</f>
        <v>147.4</v>
      </c>
      <c r="F846" s="15" t="str">
        <f t="shared" si="8"/>
        <v/>
      </c>
      <c r="G846" s="16">
        <f>IFERROR(__xludf.DUMMYFUNCTION("GOOGLEFINANCE(A846,""CLOSEYEST"")"),146.6)</f>
        <v>146.6</v>
      </c>
      <c r="H846" s="17" t="str">
        <f t="shared" si="14"/>
        <v>GAP UP</v>
      </c>
      <c r="I846" s="18">
        <f t="shared" si="9"/>
        <v>147.99</v>
      </c>
      <c r="J846" s="19">
        <f t="shared" si="10"/>
        <v>148.58</v>
      </c>
      <c r="K846" s="19"/>
      <c r="L846" s="19">
        <f t="shared" si="11"/>
        <v>146.01</v>
      </c>
      <c r="M846" s="19">
        <f t="shared" si="12"/>
        <v>150.56</v>
      </c>
      <c r="N846" s="19">
        <f t="shared" si="13"/>
        <v>145.42</v>
      </c>
    </row>
    <row r="847" ht="24.75" customHeight="1">
      <c r="A847" s="21" t="s">
        <v>810</v>
      </c>
      <c r="B847" s="13">
        <f>IFERROR(__xludf.DUMMYFUNCTION("GOOGLEFINANCE(A847,""PRICE"")"),314.0)</f>
        <v>314</v>
      </c>
      <c r="C847" s="14">
        <f>IFERROR(__xludf.DUMMYFUNCTION("GOOGLEFINANCE(A847,""PRICEOPEN"")"),310.7)</f>
        <v>310.7</v>
      </c>
      <c r="D847" s="14">
        <f>IFERROR(__xludf.DUMMYFUNCTION("GOOGLEFINANCE(A847,""HIGH"")"),319.4)</f>
        <v>319.4</v>
      </c>
      <c r="E847" s="14">
        <f>IFERROR(__xludf.DUMMYFUNCTION("GOOGLEFINANCE(A847,""LOW"")"),309.45)</f>
        <v>309.45</v>
      </c>
      <c r="F847" s="15" t="str">
        <f t="shared" si="8"/>
        <v/>
      </c>
      <c r="G847" s="16">
        <f>IFERROR(__xludf.DUMMYFUNCTION("GOOGLEFINANCE(A847,""CLOSEYEST"")"),308.8)</f>
        <v>308.8</v>
      </c>
      <c r="H847" s="17" t="str">
        <f t="shared" si="14"/>
        <v/>
      </c>
      <c r="I847" s="18">
        <f t="shared" si="9"/>
        <v>312.55</v>
      </c>
      <c r="J847" s="19">
        <f t="shared" si="10"/>
        <v>315.65</v>
      </c>
      <c r="K847" s="19"/>
      <c r="L847" s="19">
        <f t="shared" si="11"/>
        <v>305.7</v>
      </c>
      <c r="M847" s="19">
        <f t="shared" si="12"/>
        <v>322.5</v>
      </c>
      <c r="N847" s="19">
        <f t="shared" si="13"/>
        <v>302.6</v>
      </c>
    </row>
    <row r="848" ht="24.75" customHeight="1">
      <c r="A848" s="21" t="s">
        <v>811</v>
      </c>
      <c r="B848" s="13" t="str">
        <f>IFERROR(__xludf.DUMMYFUNCTION("GOOGLEFINANCE(A848,""PRICE"")"),"#N/A")</f>
        <v>#N/A</v>
      </c>
      <c r="C848" s="14" t="str">
        <f>IFERROR(__xludf.DUMMYFUNCTION("GOOGLEFINANCE(A848,""PRICEOPEN"")"),"#N/A")</f>
        <v>#N/A</v>
      </c>
      <c r="D848" s="14" t="str">
        <f>IFERROR(__xludf.DUMMYFUNCTION("GOOGLEFINANCE(A848,""HIGH"")"),"#N/A")</f>
        <v>#N/A</v>
      </c>
      <c r="E848" s="14" t="str">
        <f>IFERROR(__xludf.DUMMYFUNCTION("GOOGLEFINANCE(A848,""LOW"")"),"#N/A")</f>
        <v>#N/A</v>
      </c>
      <c r="F848" s="15" t="str">
        <f t="shared" si="8"/>
        <v>#N/A</v>
      </c>
      <c r="G848" s="16" t="str">
        <f>IFERROR(__xludf.DUMMYFUNCTION("GOOGLEFINANCE(A848,""CLOSEYEST"")"),"#N/A")</f>
        <v>#N/A</v>
      </c>
      <c r="H848" s="17" t="str">
        <f t="shared" si="14"/>
        <v>#N/A</v>
      </c>
      <c r="I848" s="18" t="str">
        <f t="shared" si="9"/>
        <v>#N/A</v>
      </c>
      <c r="J848" s="19" t="str">
        <f t="shared" si="10"/>
        <v>#N/A</v>
      </c>
      <c r="K848" s="19"/>
      <c r="L848" s="19" t="str">
        <f t="shared" si="11"/>
        <v>#N/A</v>
      </c>
      <c r="M848" s="19" t="str">
        <f t="shared" si="12"/>
        <v>#N/A</v>
      </c>
      <c r="N848" s="19" t="str">
        <f t="shared" si="13"/>
        <v>#N/A</v>
      </c>
    </row>
    <row r="849" ht="24.75" customHeight="1">
      <c r="A849" s="21" t="s">
        <v>812</v>
      </c>
      <c r="B849" s="13">
        <f>IFERROR(__xludf.DUMMYFUNCTION("GOOGLEFINANCE(A849,""PRICE"")"),1530.0)</f>
        <v>1530</v>
      </c>
      <c r="C849" s="14">
        <f>IFERROR(__xludf.DUMMYFUNCTION("GOOGLEFINANCE(A849,""PRICEOPEN"")"),1513.9)</f>
        <v>1513.9</v>
      </c>
      <c r="D849" s="14">
        <f>IFERROR(__xludf.DUMMYFUNCTION("GOOGLEFINANCE(A849,""HIGH"")"),1532.5)</f>
        <v>1532.5</v>
      </c>
      <c r="E849" s="14">
        <f>IFERROR(__xludf.DUMMYFUNCTION("GOOGLEFINANCE(A849,""LOW"")"),1505.3)</f>
        <v>1505.3</v>
      </c>
      <c r="F849" s="15" t="str">
        <f t="shared" si="8"/>
        <v/>
      </c>
      <c r="G849" s="16">
        <f>IFERROR(__xludf.DUMMYFUNCTION("GOOGLEFINANCE(A849,""CLOSEYEST"")"),1514.8)</f>
        <v>1514.8</v>
      </c>
      <c r="H849" s="17" t="str">
        <f t="shared" si="14"/>
        <v/>
      </c>
      <c r="I849" s="18">
        <f t="shared" si="9"/>
        <v>1517.533333</v>
      </c>
      <c r="J849" s="19">
        <f t="shared" si="10"/>
        <v>1529.766667</v>
      </c>
      <c r="K849" s="19"/>
      <c r="L849" s="19">
        <f t="shared" si="11"/>
        <v>1502.566667</v>
      </c>
      <c r="M849" s="19">
        <f t="shared" si="12"/>
        <v>1544.733333</v>
      </c>
      <c r="N849" s="19">
        <f t="shared" si="13"/>
        <v>1490.333333</v>
      </c>
    </row>
    <row r="850" ht="24.75" customHeight="1">
      <c r="A850" s="21" t="s">
        <v>813</v>
      </c>
      <c r="B850" s="13">
        <f>IFERROR(__xludf.DUMMYFUNCTION("GOOGLEFINANCE(A850,""PRICE"")"),1500.0)</f>
        <v>1500</v>
      </c>
      <c r="C850" s="14">
        <f>IFERROR(__xludf.DUMMYFUNCTION("GOOGLEFINANCE(A850,""PRICEOPEN"")"),1495.0)</f>
        <v>1495</v>
      </c>
      <c r="D850" s="14">
        <f>IFERROR(__xludf.DUMMYFUNCTION("GOOGLEFINANCE(A850,""HIGH"")"),1509.9)</f>
        <v>1509.9</v>
      </c>
      <c r="E850" s="14">
        <f>IFERROR(__xludf.DUMMYFUNCTION("GOOGLEFINANCE(A850,""LOW"")"),1490.1)</f>
        <v>1490.1</v>
      </c>
      <c r="F850" s="15" t="str">
        <f t="shared" si="8"/>
        <v/>
      </c>
      <c r="G850" s="16">
        <f>IFERROR(__xludf.DUMMYFUNCTION("GOOGLEFINANCE(A850,""CLOSEYEST"")"),1485.7)</f>
        <v>1485.7</v>
      </c>
      <c r="H850" s="17" t="str">
        <f t="shared" si="14"/>
        <v/>
      </c>
      <c r="I850" s="18">
        <f t="shared" si="9"/>
        <v>1495.233333</v>
      </c>
      <c r="J850" s="19">
        <f t="shared" si="10"/>
        <v>1500.366667</v>
      </c>
      <c r="K850" s="19"/>
      <c r="L850" s="19">
        <f t="shared" si="11"/>
        <v>1480.566667</v>
      </c>
      <c r="M850" s="19">
        <f t="shared" si="12"/>
        <v>1515.033333</v>
      </c>
      <c r="N850" s="19">
        <f t="shared" si="13"/>
        <v>1475.433333</v>
      </c>
    </row>
    <row r="851" ht="24.75" customHeight="1">
      <c r="A851" s="21" t="s">
        <v>814</v>
      </c>
      <c r="B851" s="13">
        <f>IFERROR(__xludf.DUMMYFUNCTION("GOOGLEFINANCE(A851,""PRICE"")"),5694.8)</f>
        <v>5694.8</v>
      </c>
      <c r="C851" s="14">
        <f>IFERROR(__xludf.DUMMYFUNCTION("GOOGLEFINANCE(A851,""PRICEOPEN"")"),4765.0)</f>
        <v>4765</v>
      </c>
      <c r="D851" s="14">
        <f>IFERROR(__xludf.DUMMYFUNCTION("GOOGLEFINANCE(A851,""HIGH"")"),5694.8)</f>
        <v>5694.8</v>
      </c>
      <c r="E851" s="14">
        <f>IFERROR(__xludf.DUMMYFUNCTION("GOOGLEFINANCE(A851,""LOW"")"),4752.2)</f>
        <v>4752.2</v>
      </c>
      <c r="F851" s="15" t="str">
        <f t="shared" si="8"/>
        <v/>
      </c>
      <c r="G851" s="16">
        <f>IFERROR(__xludf.DUMMYFUNCTION("GOOGLEFINANCE(A851,""CLOSEYEST"")"),4745.7)</f>
        <v>4745.7</v>
      </c>
      <c r="H851" s="17" t="str">
        <f t="shared" si="14"/>
        <v/>
      </c>
      <c r="I851" s="18">
        <f t="shared" si="9"/>
        <v>5064.233333</v>
      </c>
      <c r="J851" s="19">
        <f t="shared" si="10"/>
        <v>5376.266667</v>
      </c>
      <c r="K851" s="19"/>
      <c r="L851" s="19">
        <f t="shared" si="11"/>
        <v>4433.666667</v>
      </c>
      <c r="M851" s="19">
        <f t="shared" si="12"/>
        <v>6006.833333</v>
      </c>
      <c r="N851" s="19">
        <f t="shared" si="13"/>
        <v>4121.633333</v>
      </c>
    </row>
    <row r="852" ht="24.75" customHeight="1">
      <c r="A852" s="21" t="s">
        <v>815</v>
      </c>
      <c r="B852" s="13">
        <f>IFERROR(__xludf.DUMMYFUNCTION("GOOGLEFINANCE(A852,""PRICE"")"),520.8)</f>
        <v>520.8</v>
      </c>
      <c r="C852" s="14">
        <f>IFERROR(__xludf.DUMMYFUNCTION("GOOGLEFINANCE(A852,""PRICEOPEN"")"),511.0)</f>
        <v>511</v>
      </c>
      <c r="D852" s="14">
        <f>IFERROR(__xludf.DUMMYFUNCTION("GOOGLEFINANCE(A852,""HIGH"")"),525.0)</f>
        <v>525</v>
      </c>
      <c r="E852" s="14">
        <f>IFERROR(__xludf.DUMMYFUNCTION("GOOGLEFINANCE(A852,""LOW"")"),511.0)</f>
        <v>511</v>
      </c>
      <c r="F852" s="15" t="str">
        <f t="shared" si="8"/>
        <v>BUY</v>
      </c>
      <c r="G852" s="16">
        <f>IFERROR(__xludf.DUMMYFUNCTION("GOOGLEFINANCE(A852,""CLOSEYEST"")"),510.8)</f>
        <v>510.8</v>
      </c>
      <c r="H852" s="17" t="str">
        <f t="shared" si="14"/>
        <v/>
      </c>
      <c r="I852" s="18">
        <f t="shared" si="9"/>
        <v>515.6</v>
      </c>
      <c r="J852" s="19">
        <f t="shared" si="10"/>
        <v>520.2</v>
      </c>
      <c r="K852" s="19"/>
      <c r="L852" s="19">
        <f t="shared" si="11"/>
        <v>506.2</v>
      </c>
      <c r="M852" s="19">
        <f t="shared" si="12"/>
        <v>529.6</v>
      </c>
      <c r="N852" s="19">
        <f t="shared" si="13"/>
        <v>501.6</v>
      </c>
    </row>
    <row r="853" ht="24.75" customHeight="1">
      <c r="A853" s="21" t="s">
        <v>816</v>
      </c>
      <c r="B853" s="13">
        <f>IFERROR(__xludf.DUMMYFUNCTION("GOOGLEFINANCE(A853,""PRICE"")"),1002.9)</f>
        <v>1002.9</v>
      </c>
      <c r="C853" s="14">
        <f>IFERROR(__xludf.DUMMYFUNCTION("GOOGLEFINANCE(A853,""PRICEOPEN"")"),1004.15)</f>
        <v>1004.15</v>
      </c>
      <c r="D853" s="14">
        <f>IFERROR(__xludf.DUMMYFUNCTION("GOOGLEFINANCE(A853,""HIGH"")"),1012.0)</f>
        <v>1012</v>
      </c>
      <c r="E853" s="14">
        <f>IFERROR(__xludf.DUMMYFUNCTION("GOOGLEFINANCE(A853,""LOW"")"),1000.0)</f>
        <v>1000</v>
      </c>
      <c r="F853" s="15" t="str">
        <f t="shared" si="8"/>
        <v/>
      </c>
      <c r="G853" s="16">
        <f>IFERROR(__xludf.DUMMYFUNCTION("GOOGLEFINANCE(A853,""CLOSEYEST"")"),1004.15)</f>
        <v>1004.15</v>
      </c>
      <c r="H853" s="17" t="str">
        <f t="shared" si="14"/>
        <v/>
      </c>
      <c r="I853" s="18">
        <f t="shared" si="9"/>
        <v>1005.383333</v>
      </c>
      <c r="J853" s="19">
        <f t="shared" si="10"/>
        <v>1010.766667</v>
      </c>
      <c r="K853" s="19"/>
      <c r="L853" s="19">
        <f t="shared" si="11"/>
        <v>998.7666667</v>
      </c>
      <c r="M853" s="19">
        <f t="shared" si="12"/>
        <v>1017.383333</v>
      </c>
      <c r="N853" s="19">
        <f t="shared" si="13"/>
        <v>993.3833333</v>
      </c>
    </row>
    <row r="854" ht="24.75" customHeight="1">
      <c r="A854" s="21" t="s">
        <v>817</v>
      </c>
      <c r="B854" s="13">
        <f>IFERROR(__xludf.DUMMYFUNCTION("GOOGLEFINANCE(A854,""PRICE"")"),239.0)</f>
        <v>239</v>
      </c>
      <c r="C854" s="14">
        <f>IFERROR(__xludf.DUMMYFUNCTION("GOOGLEFINANCE(A854,""PRICEOPEN"")"),233.2)</f>
        <v>233.2</v>
      </c>
      <c r="D854" s="14">
        <f>IFERROR(__xludf.DUMMYFUNCTION("GOOGLEFINANCE(A854,""HIGH"")"),240.0)</f>
        <v>240</v>
      </c>
      <c r="E854" s="14">
        <f>IFERROR(__xludf.DUMMYFUNCTION("GOOGLEFINANCE(A854,""LOW"")"),233.2)</f>
        <v>233.2</v>
      </c>
      <c r="F854" s="15" t="str">
        <f t="shared" si="8"/>
        <v>BUY</v>
      </c>
      <c r="G854" s="16">
        <f>IFERROR(__xludf.DUMMYFUNCTION("GOOGLEFINANCE(A854,""CLOSEYEST"")"),234.29)</f>
        <v>234.29</v>
      </c>
      <c r="H854" s="17" t="str">
        <f t="shared" si="14"/>
        <v/>
      </c>
      <c r="I854" s="18">
        <f t="shared" si="9"/>
        <v>235.83</v>
      </c>
      <c r="J854" s="19">
        <f t="shared" si="10"/>
        <v>238.46</v>
      </c>
      <c r="K854" s="19"/>
      <c r="L854" s="19">
        <f t="shared" si="11"/>
        <v>231.66</v>
      </c>
      <c r="M854" s="19">
        <f t="shared" si="12"/>
        <v>242.63</v>
      </c>
      <c r="N854" s="19">
        <f t="shared" si="13"/>
        <v>229.03</v>
      </c>
    </row>
    <row r="855" ht="24.75" customHeight="1">
      <c r="A855" s="21" t="s">
        <v>818</v>
      </c>
      <c r="B855" s="13">
        <f>IFERROR(__xludf.DUMMYFUNCTION("GOOGLEFINANCE(A855,""PRICE"")"),83.6)</f>
        <v>83.6</v>
      </c>
      <c r="C855" s="14">
        <f>IFERROR(__xludf.DUMMYFUNCTION("GOOGLEFINANCE(A855,""PRICEOPEN"")"),83.15)</f>
        <v>83.15</v>
      </c>
      <c r="D855" s="14">
        <f>IFERROR(__xludf.DUMMYFUNCTION("GOOGLEFINANCE(A855,""HIGH"")"),90.47)</f>
        <v>90.47</v>
      </c>
      <c r="E855" s="14">
        <f>IFERROR(__xludf.DUMMYFUNCTION("GOOGLEFINANCE(A855,""LOW"")"),82.71)</f>
        <v>82.71</v>
      </c>
      <c r="F855" s="15" t="str">
        <f t="shared" si="8"/>
        <v/>
      </c>
      <c r="G855" s="16">
        <f>IFERROR(__xludf.DUMMYFUNCTION("GOOGLEFINANCE(A855,""CLOSEYEST"")"),81.9)</f>
        <v>81.9</v>
      </c>
      <c r="H855" s="17" t="str">
        <f t="shared" si="14"/>
        <v>GAP UP</v>
      </c>
      <c r="I855" s="18">
        <f t="shared" si="9"/>
        <v>85.02666667</v>
      </c>
      <c r="J855" s="19">
        <f t="shared" si="10"/>
        <v>87.34333333</v>
      </c>
      <c r="K855" s="19"/>
      <c r="L855" s="19">
        <f t="shared" si="11"/>
        <v>79.58333333</v>
      </c>
      <c r="M855" s="19">
        <f t="shared" si="12"/>
        <v>92.78666667</v>
      </c>
      <c r="N855" s="19">
        <f t="shared" si="13"/>
        <v>77.26666667</v>
      </c>
    </row>
    <row r="856" ht="24.75" customHeight="1">
      <c r="A856" s="21" t="s">
        <v>819</v>
      </c>
      <c r="B856" s="13">
        <f>IFERROR(__xludf.DUMMYFUNCTION("GOOGLEFINANCE(A856,""PRICE"")"),780.5)</f>
        <v>780.5</v>
      </c>
      <c r="C856" s="14">
        <f>IFERROR(__xludf.DUMMYFUNCTION("GOOGLEFINANCE(A856,""PRICEOPEN"")"),759.45)</f>
        <v>759.45</v>
      </c>
      <c r="D856" s="14">
        <f>IFERROR(__xludf.DUMMYFUNCTION("GOOGLEFINANCE(A856,""HIGH"")"),786.4)</f>
        <v>786.4</v>
      </c>
      <c r="E856" s="14">
        <f>IFERROR(__xludf.DUMMYFUNCTION("GOOGLEFINANCE(A856,""LOW"")"),759.0)</f>
        <v>759</v>
      </c>
      <c r="F856" s="15" t="str">
        <f t="shared" si="8"/>
        <v/>
      </c>
      <c r="G856" s="16">
        <f>IFERROR(__xludf.DUMMYFUNCTION("GOOGLEFINANCE(A856,""CLOSEYEST"")"),757.1)</f>
        <v>757.1</v>
      </c>
      <c r="H856" s="17" t="str">
        <f t="shared" si="14"/>
        <v/>
      </c>
      <c r="I856" s="18">
        <f t="shared" si="9"/>
        <v>767.5</v>
      </c>
      <c r="J856" s="19">
        <f t="shared" si="10"/>
        <v>776</v>
      </c>
      <c r="K856" s="19"/>
      <c r="L856" s="19">
        <f t="shared" si="11"/>
        <v>748.6</v>
      </c>
      <c r="M856" s="19">
        <f t="shared" si="12"/>
        <v>794.9</v>
      </c>
      <c r="N856" s="19">
        <f t="shared" si="13"/>
        <v>740.1</v>
      </c>
    </row>
    <row r="857" ht="24.75" customHeight="1">
      <c r="A857" s="21" t="s">
        <v>820</v>
      </c>
      <c r="B857" s="13">
        <f>IFERROR(__xludf.DUMMYFUNCTION("GOOGLEFINANCE(A857,""PRICE"")"),499.95)</f>
        <v>499.95</v>
      </c>
      <c r="C857" s="14">
        <f>IFERROR(__xludf.DUMMYFUNCTION("GOOGLEFINANCE(A857,""PRICEOPEN"")"),487.5)</f>
        <v>487.5</v>
      </c>
      <c r="D857" s="14">
        <f>IFERROR(__xludf.DUMMYFUNCTION("GOOGLEFINANCE(A857,""HIGH"")"),508.05)</f>
        <v>508.05</v>
      </c>
      <c r="E857" s="14">
        <f>IFERROR(__xludf.DUMMYFUNCTION("GOOGLEFINANCE(A857,""LOW"")"),476.9)</f>
        <v>476.9</v>
      </c>
      <c r="F857" s="15" t="str">
        <f t="shared" si="8"/>
        <v/>
      </c>
      <c r="G857" s="16">
        <f>IFERROR(__xludf.DUMMYFUNCTION("GOOGLEFINANCE(A857,""CLOSEYEST"")"),484.35)</f>
        <v>484.35</v>
      </c>
      <c r="H857" s="17" t="str">
        <f t="shared" si="14"/>
        <v/>
      </c>
      <c r="I857" s="18">
        <f t="shared" si="9"/>
        <v>489.7666667</v>
      </c>
      <c r="J857" s="19">
        <f t="shared" si="10"/>
        <v>502.6333333</v>
      </c>
      <c r="K857" s="19"/>
      <c r="L857" s="19">
        <f t="shared" si="11"/>
        <v>471.4833333</v>
      </c>
      <c r="M857" s="19">
        <f t="shared" si="12"/>
        <v>520.9166667</v>
      </c>
      <c r="N857" s="19">
        <f t="shared" si="13"/>
        <v>458.6166667</v>
      </c>
    </row>
    <row r="858" ht="24.75" customHeight="1">
      <c r="A858" s="21" t="s">
        <v>821</v>
      </c>
      <c r="B858" s="13">
        <f>IFERROR(__xludf.DUMMYFUNCTION("GOOGLEFINANCE(A858,""PRICE"")"),34.68)</f>
        <v>34.68</v>
      </c>
      <c r="C858" s="14">
        <f>IFERROR(__xludf.DUMMYFUNCTION("GOOGLEFINANCE(A858,""PRICEOPEN"")"),34.58)</f>
        <v>34.58</v>
      </c>
      <c r="D858" s="14">
        <f>IFERROR(__xludf.DUMMYFUNCTION("GOOGLEFINANCE(A858,""HIGH"")"),35.14)</f>
        <v>35.14</v>
      </c>
      <c r="E858" s="14">
        <f>IFERROR(__xludf.DUMMYFUNCTION("GOOGLEFINANCE(A858,""LOW"")"),34.11)</f>
        <v>34.11</v>
      </c>
      <c r="F858" s="15" t="str">
        <f t="shared" si="8"/>
        <v/>
      </c>
      <c r="G858" s="16">
        <f>IFERROR(__xludf.DUMMYFUNCTION("GOOGLEFINANCE(A858,""CLOSEYEST"")"),34.1)</f>
        <v>34.1</v>
      </c>
      <c r="H858" s="17" t="str">
        <f t="shared" si="14"/>
        <v>GAP UP</v>
      </c>
      <c r="I858" s="18">
        <f t="shared" si="9"/>
        <v>34.45</v>
      </c>
      <c r="J858" s="19">
        <f t="shared" si="10"/>
        <v>34.79</v>
      </c>
      <c r="K858" s="19"/>
      <c r="L858" s="19">
        <f t="shared" si="11"/>
        <v>33.76</v>
      </c>
      <c r="M858" s="19">
        <f t="shared" si="12"/>
        <v>35.48</v>
      </c>
      <c r="N858" s="19">
        <f t="shared" si="13"/>
        <v>33.42</v>
      </c>
    </row>
    <row r="859" ht="24.75" customHeight="1">
      <c r="A859" s="21" t="s">
        <v>822</v>
      </c>
      <c r="B859" s="13">
        <f>IFERROR(__xludf.DUMMYFUNCTION("GOOGLEFINANCE(A859,""PRICE"")"),202.17)</f>
        <v>202.17</v>
      </c>
      <c r="C859" s="14">
        <f>IFERROR(__xludf.DUMMYFUNCTION("GOOGLEFINANCE(A859,""PRICEOPEN"")"),202.5)</f>
        <v>202.5</v>
      </c>
      <c r="D859" s="14">
        <f>IFERROR(__xludf.DUMMYFUNCTION("GOOGLEFINANCE(A859,""HIGH"")"),204.44)</f>
        <v>204.44</v>
      </c>
      <c r="E859" s="14">
        <f>IFERROR(__xludf.DUMMYFUNCTION("GOOGLEFINANCE(A859,""LOW"")"),196.94)</f>
        <v>196.94</v>
      </c>
      <c r="F859" s="15" t="str">
        <f t="shared" si="8"/>
        <v/>
      </c>
      <c r="G859" s="16">
        <f>IFERROR(__xludf.DUMMYFUNCTION("GOOGLEFINANCE(A859,""CLOSEYEST"")"),199.4)</f>
        <v>199.4</v>
      </c>
      <c r="H859" s="17" t="str">
        <f t="shared" si="14"/>
        <v>GAP UP</v>
      </c>
      <c r="I859" s="18">
        <f t="shared" si="9"/>
        <v>200.26</v>
      </c>
      <c r="J859" s="19">
        <f t="shared" si="10"/>
        <v>203.58</v>
      </c>
      <c r="K859" s="19"/>
      <c r="L859" s="19">
        <f t="shared" si="11"/>
        <v>196.08</v>
      </c>
      <c r="M859" s="19">
        <f t="shared" si="12"/>
        <v>207.76</v>
      </c>
      <c r="N859" s="19">
        <f t="shared" si="13"/>
        <v>192.76</v>
      </c>
    </row>
    <row r="860" ht="24.75" customHeight="1">
      <c r="A860" s="21" t="s">
        <v>823</v>
      </c>
      <c r="B860" s="13">
        <f>IFERROR(__xludf.DUMMYFUNCTION("GOOGLEFINANCE(A860,""PRICE"")"),64.9)</f>
        <v>64.9</v>
      </c>
      <c r="C860" s="14">
        <f>IFERROR(__xludf.DUMMYFUNCTION("GOOGLEFINANCE(A860,""PRICEOPEN"")"),65.35)</f>
        <v>65.35</v>
      </c>
      <c r="D860" s="14">
        <f>IFERROR(__xludf.DUMMYFUNCTION("GOOGLEFINANCE(A860,""HIGH"")"),65.6)</f>
        <v>65.6</v>
      </c>
      <c r="E860" s="14">
        <f>IFERROR(__xludf.DUMMYFUNCTION("GOOGLEFINANCE(A860,""LOW"")"),64.7)</f>
        <v>64.7</v>
      </c>
      <c r="F860" s="15" t="str">
        <f t="shared" si="8"/>
        <v/>
      </c>
      <c r="G860" s="16">
        <f>IFERROR(__xludf.DUMMYFUNCTION("GOOGLEFINANCE(A860,""CLOSEYEST"")"),64.4)</f>
        <v>64.4</v>
      </c>
      <c r="H860" s="17" t="str">
        <f t="shared" si="14"/>
        <v>GAP UP</v>
      </c>
      <c r="I860" s="18">
        <f t="shared" si="9"/>
        <v>64.9</v>
      </c>
      <c r="J860" s="19">
        <f t="shared" si="10"/>
        <v>65.1</v>
      </c>
      <c r="K860" s="19"/>
      <c r="L860" s="19">
        <f t="shared" si="11"/>
        <v>64.2</v>
      </c>
      <c r="M860" s="19">
        <f t="shared" si="12"/>
        <v>65.8</v>
      </c>
      <c r="N860" s="19">
        <f t="shared" si="13"/>
        <v>64</v>
      </c>
    </row>
    <row r="861" ht="24.75" customHeight="1">
      <c r="A861" s="21" t="s">
        <v>824</v>
      </c>
      <c r="B861" s="13">
        <f>IFERROR(__xludf.DUMMYFUNCTION("GOOGLEFINANCE(A861,""PRICE"")"),5.67)</f>
        <v>5.67</v>
      </c>
      <c r="C861" s="14">
        <f>IFERROR(__xludf.DUMMYFUNCTION("GOOGLEFINANCE(A861,""PRICEOPEN"")"),5.78)</f>
        <v>5.78</v>
      </c>
      <c r="D861" s="14">
        <f>IFERROR(__xludf.DUMMYFUNCTION("GOOGLEFINANCE(A861,""HIGH"")"),5.81)</f>
        <v>5.81</v>
      </c>
      <c r="E861" s="14">
        <f>IFERROR(__xludf.DUMMYFUNCTION("GOOGLEFINANCE(A861,""LOW"")"),5.53)</f>
        <v>5.53</v>
      </c>
      <c r="F861" s="15" t="str">
        <f t="shared" si="8"/>
        <v/>
      </c>
      <c r="G861" s="16">
        <f>IFERROR(__xludf.DUMMYFUNCTION("GOOGLEFINANCE(A861,""CLOSEYEST"")"),5.56)</f>
        <v>5.56</v>
      </c>
      <c r="H861" s="17" t="str">
        <f t="shared" si="14"/>
        <v>GAP UP</v>
      </c>
      <c r="I861" s="18">
        <f t="shared" si="9"/>
        <v>5.633333333</v>
      </c>
      <c r="J861" s="19">
        <f t="shared" si="10"/>
        <v>5.736666667</v>
      </c>
      <c r="K861" s="19"/>
      <c r="L861" s="19">
        <f t="shared" si="11"/>
        <v>5.456666667</v>
      </c>
      <c r="M861" s="19">
        <f t="shared" si="12"/>
        <v>5.913333333</v>
      </c>
      <c r="N861" s="19">
        <f t="shared" si="13"/>
        <v>5.353333333</v>
      </c>
    </row>
    <row r="862" ht="24.75" customHeight="1">
      <c r="A862" s="21" t="s">
        <v>825</v>
      </c>
      <c r="B862" s="13">
        <f>IFERROR(__xludf.DUMMYFUNCTION("GOOGLEFINANCE(A862,""PRICE"")"),266.0)</f>
        <v>266</v>
      </c>
      <c r="C862" s="14">
        <f>IFERROR(__xludf.DUMMYFUNCTION("GOOGLEFINANCE(A862,""PRICEOPEN"")"),265.65)</f>
        <v>265.65</v>
      </c>
      <c r="D862" s="14">
        <f>IFERROR(__xludf.DUMMYFUNCTION("GOOGLEFINANCE(A862,""HIGH"")"),269.05)</f>
        <v>269.05</v>
      </c>
      <c r="E862" s="14">
        <f>IFERROR(__xludf.DUMMYFUNCTION("GOOGLEFINANCE(A862,""LOW"")"),257.3)</f>
        <v>257.3</v>
      </c>
      <c r="F862" s="15" t="str">
        <f t="shared" si="8"/>
        <v/>
      </c>
      <c r="G862" s="16">
        <f>IFERROR(__xludf.DUMMYFUNCTION("GOOGLEFINANCE(A862,""CLOSEYEST"")"),264.15)</f>
        <v>264.15</v>
      </c>
      <c r="H862" s="17" t="str">
        <f t="shared" si="14"/>
        <v/>
      </c>
      <c r="I862" s="18">
        <f t="shared" si="9"/>
        <v>263.5</v>
      </c>
      <c r="J862" s="19">
        <f t="shared" si="10"/>
        <v>269.7</v>
      </c>
      <c r="K862" s="19"/>
      <c r="L862" s="19">
        <f t="shared" si="11"/>
        <v>257.95</v>
      </c>
      <c r="M862" s="19">
        <f t="shared" si="12"/>
        <v>275.25</v>
      </c>
      <c r="N862" s="19">
        <f t="shared" si="13"/>
        <v>251.75</v>
      </c>
    </row>
    <row r="863" ht="24.75" customHeight="1">
      <c r="A863" s="21" t="s">
        <v>826</v>
      </c>
      <c r="B863" s="13">
        <f>IFERROR(__xludf.DUMMYFUNCTION("GOOGLEFINANCE(A863,""PRICE"")"),97.0)</f>
        <v>97</v>
      </c>
      <c r="C863" s="14">
        <f>IFERROR(__xludf.DUMMYFUNCTION("GOOGLEFINANCE(A863,""PRICEOPEN"")"),94.76)</f>
        <v>94.76</v>
      </c>
      <c r="D863" s="14">
        <f>IFERROR(__xludf.DUMMYFUNCTION("GOOGLEFINANCE(A863,""HIGH"")"),97.2)</f>
        <v>97.2</v>
      </c>
      <c r="E863" s="14">
        <f>IFERROR(__xludf.DUMMYFUNCTION("GOOGLEFINANCE(A863,""LOW"")"),93.91)</f>
        <v>93.91</v>
      </c>
      <c r="F863" s="15" t="str">
        <f t="shared" si="8"/>
        <v/>
      </c>
      <c r="G863" s="16">
        <f>IFERROR(__xludf.DUMMYFUNCTION("GOOGLEFINANCE(A863,""CLOSEYEST"")"),94.75)</f>
        <v>94.75</v>
      </c>
      <c r="H863" s="17" t="str">
        <f t="shared" si="14"/>
        <v/>
      </c>
      <c r="I863" s="18">
        <f t="shared" si="9"/>
        <v>95.28666667</v>
      </c>
      <c r="J863" s="19">
        <f t="shared" si="10"/>
        <v>96.66333333</v>
      </c>
      <c r="K863" s="19"/>
      <c r="L863" s="19">
        <f t="shared" si="11"/>
        <v>93.37333333</v>
      </c>
      <c r="M863" s="19">
        <f t="shared" si="12"/>
        <v>98.57666667</v>
      </c>
      <c r="N863" s="19">
        <f t="shared" si="13"/>
        <v>91.99666667</v>
      </c>
    </row>
    <row r="864" ht="24.75" customHeight="1">
      <c r="A864" s="21" t="s">
        <v>827</v>
      </c>
      <c r="B864" s="13">
        <f>IFERROR(__xludf.DUMMYFUNCTION("GOOGLEFINANCE(A864,""PRICE"")"),814.6)</f>
        <v>814.6</v>
      </c>
      <c r="C864" s="14">
        <f>IFERROR(__xludf.DUMMYFUNCTION("GOOGLEFINANCE(A864,""PRICEOPEN"")"),800.0)</f>
        <v>800</v>
      </c>
      <c r="D864" s="14">
        <f>IFERROR(__xludf.DUMMYFUNCTION("GOOGLEFINANCE(A864,""HIGH"")"),828.0)</f>
        <v>828</v>
      </c>
      <c r="E864" s="14">
        <f>IFERROR(__xludf.DUMMYFUNCTION("GOOGLEFINANCE(A864,""LOW"")"),790.75)</f>
        <v>790.75</v>
      </c>
      <c r="F864" s="15" t="str">
        <f t="shared" si="8"/>
        <v/>
      </c>
      <c r="G864" s="16">
        <f>IFERROR(__xludf.DUMMYFUNCTION("GOOGLEFINANCE(A864,""CLOSEYEST"")"),798.65)</f>
        <v>798.65</v>
      </c>
      <c r="H864" s="17" t="str">
        <f t="shared" si="14"/>
        <v/>
      </c>
      <c r="I864" s="18">
        <f t="shared" si="9"/>
        <v>805.8</v>
      </c>
      <c r="J864" s="19">
        <f t="shared" si="10"/>
        <v>820.85</v>
      </c>
      <c r="K864" s="19"/>
      <c r="L864" s="19">
        <f t="shared" si="11"/>
        <v>783.6</v>
      </c>
      <c r="M864" s="19">
        <f t="shared" si="12"/>
        <v>843.05</v>
      </c>
      <c r="N864" s="19">
        <f t="shared" si="13"/>
        <v>768.55</v>
      </c>
    </row>
    <row r="865" ht="24.75" customHeight="1">
      <c r="A865" s="21" t="s">
        <v>828</v>
      </c>
      <c r="B865" s="13">
        <f>IFERROR(__xludf.DUMMYFUNCTION("GOOGLEFINANCE(A865,""PRICE"")"),0.43)</f>
        <v>0.43</v>
      </c>
      <c r="C865" s="14">
        <f>IFERROR(__xludf.DUMMYFUNCTION("GOOGLEFINANCE(A865,""PRICEOPEN"")"),0.44)</f>
        <v>0.44</v>
      </c>
      <c r="D865" s="14">
        <f>IFERROR(__xludf.DUMMYFUNCTION("GOOGLEFINANCE(A865,""HIGH"")"),0.45)</f>
        <v>0.45</v>
      </c>
      <c r="E865" s="14">
        <f>IFERROR(__xludf.DUMMYFUNCTION("GOOGLEFINANCE(A865,""LOW"")"),0.43)</f>
        <v>0.43</v>
      </c>
      <c r="F865" s="15" t="str">
        <f t="shared" si="8"/>
        <v/>
      </c>
      <c r="G865" s="16">
        <f>IFERROR(__xludf.DUMMYFUNCTION("GOOGLEFINANCE(A865,""CLOSEYEST"")"),0.44)</f>
        <v>0.44</v>
      </c>
      <c r="H865" s="17" t="str">
        <f t="shared" si="14"/>
        <v/>
      </c>
      <c r="I865" s="18">
        <f t="shared" si="9"/>
        <v>0.44</v>
      </c>
      <c r="J865" s="19">
        <f t="shared" si="10"/>
        <v>0.45</v>
      </c>
      <c r="K865" s="19"/>
      <c r="L865" s="19">
        <f t="shared" si="11"/>
        <v>0.43</v>
      </c>
      <c r="M865" s="19">
        <f t="shared" si="12"/>
        <v>0.46</v>
      </c>
      <c r="N865" s="19">
        <f t="shared" si="13"/>
        <v>0.42</v>
      </c>
    </row>
    <row r="866" ht="24.75" customHeight="1">
      <c r="A866" s="21" t="s">
        <v>829</v>
      </c>
      <c r="B866" s="13">
        <f>IFERROR(__xludf.DUMMYFUNCTION("GOOGLEFINANCE(A866,""PRICE"")"),3650.0)</f>
        <v>3650</v>
      </c>
      <c r="C866" s="14">
        <f>IFERROR(__xludf.DUMMYFUNCTION("GOOGLEFINANCE(A866,""PRICEOPEN"")"),3675.2)</f>
        <v>3675.2</v>
      </c>
      <c r="D866" s="14">
        <f>IFERROR(__xludf.DUMMYFUNCTION("GOOGLEFINANCE(A866,""HIGH"")"),3729.8)</f>
        <v>3729.8</v>
      </c>
      <c r="E866" s="14">
        <f>IFERROR(__xludf.DUMMYFUNCTION("GOOGLEFINANCE(A866,""LOW"")"),3559.2)</f>
        <v>3559.2</v>
      </c>
      <c r="F866" s="15" t="str">
        <f t="shared" si="8"/>
        <v/>
      </c>
      <c r="G866" s="16">
        <f>IFERROR(__xludf.DUMMYFUNCTION("GOOGLEFINANCE(A866,""CLOSEYEST"")"),3701.1)</f>
        <v>3701.1</v>
      </c>
      <c r="H866" s="17" t="str">
        <f t="shared" si="14"/>
        <v/>
      </c>
      <c r="I866" s="18">
        <f t="shared" si="9"/>
        <v>3663.366667</v>
      </c>
      <c r="J866" s="19">
        <f t="shared" si="10"/>
        <v>3767.533333</v>
      </c>
      <c r="K866" s="19"/>
      <c r="L866" s="19">
        <f t="shared" si="11"/>
        <v>3596.933333</v>
      </c>
      <c r="M866" s="19">
        <f t="shared" si="12"/>
        <v>3833.966667</v>
      </c>
      <c r="N866" s="19">
        <f t="shared" si="13"/>
        <v>3492.766667</v>
      </c>
    </row>
    <row r="867" ht="24.75" customHeight="1">
      <c r="A867" s="21" t="s">
        <v>830</v>
      </c>
      <c r="B867" s="13">
        <f>IFERROR(__xludf.DUMMYFUNCTION("GOOGLEFINANCE(A867,""PRICE"")"),150.5)</f>
        <v>150.5</v>
      </c>
      <c r="C867" s="14">
        <f>IFERROR(__xludf.DUMMYFUNCTION("GOOGLEFINANCE(A867,""PRICEOPEN"")"),155.99)</f>
        <v>155.99</v>
      </c>
      <c r="D867" s="14">
        <f>IFERROR(__xludf.DUMMYFUNCTION("GOOGLEFINANCE(A867,""HIGH"")"),159.49)</f>
        <v>159.49</v>
      </c>
      <c r="E867" s="14">
        <f>IFERROR(__xludf.DUMMYFUNCTION("GOOGLEFINANCE(A867,""LOW"")"),150.3)</f>
        <v>150.3</v>
      </c>
      <c r="F867" s="15" t="str">
        <f t="shared" si="8"/>
        <v/>
      </c>
      <c r="G867" s="16">
        <f>IFERROR(__xludf.DUMMYFUNCTION("GOOGLEFINANCE(A867,""CLOSEYEST"")"),155.59)</f>
        <v>155.59</v>
      </c>
      <c r="H867" s="17" t="str">
        <f t="shared" si="14"/>
        <v/>
      </c>
      <c r="I867" s="18">
        <f t="shared" si="9"/>
        <v>155.1266667</v>
      </c>
      <c r="J867" s="19">
        <f t="shared" si="10"/>
        <v>159.9533333</v>
      </c>
      <c r="K867" s="19"/>
      <c r="L867" s="19">
        <f t="shared" si="11"/>
        <v>150.7633333</v>
      </c>
      <c r="M867" s="19">
        <f t="shared" si="12"/>
        <v>164.3166667</v>
      </c>
      <c r="N867" s="19">
        <f t="shared" si="13"/>
        <v>145.9366667</v>
      </c>
    </row>
    <row r="868" ht="24.75" customHeight="1">
      <c r="A868" s="21" t="s">
        <v>831</v>
      </c>
      <c r="B868" s="13">
        <f>IFERROR(__xludf.DUMMYFUNCTION("GOOGLEFINANCE(A868,""PRICE"")"),360.3)</f>
        <v>360.3</v>
      </c>
      <c r="C868" s="14">
        <f>IFERROR(__xludf.DUMMYFUNCTION("GOOGLEFINANCE(A868,""PRICEOPEN"")"),360.0)</f>
        <v>360</v>
      </c>
      <c r="D868" s="14">
        <f>IFERROR(__xludf.DUMMYFUNCTION("GOOGLEFINANCE(A868,""HIGH"")"),366.9)</f>
        <v>366.9</v>
      </c>
      <c r="E868" s="14">
        <f>IFERROR(__xludf.DUMMYFUNCTION("GOOGLEFINANCE(A868,""LOW"")"),358.55)</f>
        <v>358.55</v>
      </c>
      <c r="F868" s="15" t="str">
        <f t="shared" si="8"/>
        <v/>
      </c>
      <c r="G868" s="16">
        <f>IFERROR(__xludf.DUMMYFUNCTION("GOOGLEFINANCE(A868,""CLOSEYEST"")"),359.85)</f>
        <v>359.85</v>
      </c>
      <c r="H868" s="17" t="str">
        <f t="shared" si="14"/>
        <v/>
      </c>
      <c r="I868" s="18">
        <f t="shared" si="9"/>
        <v>361.7666667</v>
      </c>
      <c r="J868" s="19">
        <f t="shared" si="10"/>
        <v>364.9833333</v>
      </c>
      <c r="K868" s="19"/>
      <c r="L868" s="19">
        <f t="shared" si="11"/>
        <v>356.6333333</v>
      </c>
      <c r="M868" s="19">
        <f t="shared" si="12"/>
        <v>370.1166667</v>
      </c>
      <c r="N868" s="19">
        <f t="shared" si="13"/>
        <v>353.4166667</v>
      </c>
    </row>
    <row r="869" ht="24.75" customHeight="1">
      <c r="A869" s="21" t="s">
        <v>832</v>
      </c>
      <c r="B869" s="13">
        <f>IFERROR(__xludf.DUMMYFUNCTION("GOOGLEFINANCE(A869,""PRICE"")"),1938.0)</f>
        <v>1938</v>
      </c>
      <c r="C869" s="14">
        <f>IFERROR(__xludf.DUMMYFUNCTION("GOOGLEFINANCE(A869,""PRICEOPEN"")"),1980.0)</f>
        <v>1980</v>
      </c>
      <c r="D869" s="14">
        <f>IFERROR(__xludf.DUMMYFUNCTION("GOOGLEFINANCE(A869,""HIGH"")"),1981.3)</f>
        <v>1981.3</v>
      </c>
      <c r="E869" s="14">
        <f>IFERROR(__xludf.DUMMYFUNCTION("GOOGLEFINANCE(A869,""LOW"")"),1921.1)</f>
        <v>1921.1</v>
      </c>
      <c r="F869" s="15" t="str">
        <f t="shared" si="8"/>
        <v/>
      </c>
      <c r="G869" s="16">
        <f>IFERROR(__xludf.DUMMYFUNCTION("GOOGLEFINANCE(A869,""CLOSEYEST"")"),1963.8)</f>
        <v>1963.8</v>
      </c>
      <c r="H869" s="17" t="str">
        <f t="shared" si="14"/>
        <v/>
      </c>
      <c r="I869" s="18">
        <f t="shared" si="9"/>
        <v>1955.4</v>
      </c>
      <c r="J869" s="19">
        <f t="shared" si="10"/>
        <v>1989.7</v>
      </c>
      <c r="K869" s="19"/>
      <c r="L869" s="19">
        <f t="shared" si="11"/>
        <v>1929.5</v>
      </c>
      <c r="M869" s="19">
        <f t="shared" si="12"/>
        <v>2015.6</v>
      </c>
      <c r="N869" s="19">
        <f t="shared" si="13"/>
        <v>1895.2</v>
      </c>
    </row>
    <row r="870" ht="24.75" customHeight="1">
      <c r="A870" s="21" t="s">
        <v>833</v>
      </c>
      <c r="B870" s="13">
        <f>IFERROR(__xludf.DUMMYFUNCTION("GOOGLEFINANCE(A870,""PRICE"")"),37.9)</f>
        <v>37.9</v>
      </c>
      <c r="C870" s="14">
        <f>IFERROR(__xludf.DUMMYFUNCTION("GOOGLEFINANCE(A870,""PRICEOPEN"")"),37.7)</f>
        <v>37.7</v>
      </c>
      <c r="D870" s="14">
        <f>IFERROR(__xludf.DUMMYFUNCTION("GOOGLEFINANCE(A870,""HIGH"")"),38.09)</f>
        <v>38.09</v>
      </c>
      <c r="E870" s="14">
        <f>IFERROR(__xludf.DUMMYFUNCTION("GOOGLEFINANCE(A870,""LOW"")"),37.42)</f>
        <v>37.42</v>
      </c>
      <c r="F870" s="15" t="str">
        <f t="shared" si="8"/>
        <v/>
      </c>
      <c r="G870" s="16">
        <f>IFERROR(__xludf.DUMMYFUNCTION("GOOGLEFINANCE(A870,""CLOSEYEST"")"),37.69)</f>
        <v>37.69</v>
      </c>
      <c r="H870" s="17" t="str">
        <f t="shared" si="14"/>
        <v/>
      </c>
      <c r="I870" s="18">
        <f t="shared" si="9"/>
        <v>37.73333333</v>
      </c>
      <c r="J870" s="19">
        <f t="shared" si="10"/>
        <v>38.04666667</v>
      </c>
      <c r="K870" s="19"/>
      <c r="L870" s="19">
        <f t="shared" si="11"/>
        <v>37.37666667</v>
      </c>
      <c r="M870" s="19">
        <f t="shared" si="12"/>
        <v>38.40333333</v>
      </c>
      <c r="N870" s="19">
        <f t="shared" si="13"/>
        <v>37.06333333</v>
      </c>
    </row>
    <row r="871" ht="24.75" customHeight="1">
      <c r="A871" s="21" t="s">
        <v>834</v>
      </c>
      <c r="B871" s="13">
        <f>IFERROR(__xludf.DUMMYFUNCTION("GOOGLEFINANCE(A871,""PRICE"")"),456.4)</f>
        <v>456.4</v>
      </c>
      <c r="C871" s="14">
        <f>IFERROR(__xludf.DUMMYFUNCTION("GOOGLEFINANCE(A871,""PRICEOPEN"")"),455.5)</f>
        <v>455.5</v>
      </c>
      <c r="D871" s="14">
        <f>IFERROR(__xludf.DUMMYFUNCTION("GOOGLEFINANCE(A871,""HIGH"")"),461.95)</f>
        <v>461.95</v>
      </c>
      <c r="E871" s="14">
        <f>IFERROR(__xludf.DUMMYFUNCTION("GOOGLEFINANCE(A871,""LOW"")"),453.15)</f>
        <v>453.15</v>
      </c>
      <c r="F871" s="15" t="str">
        <f t="shared" si="8"/>
        <v/>
      </c>
      <c r="G871" s="16">
        <f>IFERROR(__xludf.DUMMYFUNCTION("GOOGLEFINANCE(A871,""CLOSEYEST"")"),455.5)</f>
        <v>455.5</v>
      </c>
      <c r="H871" s="17" t="str">
        <f t="shared" si="14"/>
        <v/>
      </c>
      <c r="I871" s="18">
        <f t="shared" si="9"/>
        <v>456.8666667</v>
      </c>
      <c r="J871" s="19">
        <f t="shared" si="10"/>
        <v>460.5833333</v>
      </c>
      <c r="K871" s="19"/>
      <c r="L871" s="19">
        <f t="shared" si="11"/>
        <v>451.7833333</v>
      </c>
      <c r="M871" s="19">
        <f t="shared" si="12"/>
        <v>465.6666667</v>
      </c>
      <c r="N871" s="19">
        <f t="shared" si="13"/>
        <v>448.0666667</v>
      </c>
    </row>
    <row r="872" ht="24.75" customHeight="1">
      <c r="A872" s="21" t="s">
        <v>835</v>
      </c>
      <c r="B872" s="13">
        <f>IFERROR(__xludf.DUMMYFUNCTION("GOOGLEFINANCE(A872,""PRICE"")"),161.83)</f>
        <v>161.83</v>
      </c>
      <c r="C872" s="14">
        <f>IFERROR(__xludf.DUMMYFUNCTION("GOOGLEFINANCE(A872,""PRICEOPEN"")"),164.0)</f>
        <v>164</v>
      </c>
      <c r="D872" s="14">
        <f>IFERROR(__xludf.DUMMYFUNCTION("GOOGLEFINANCE(A872,""HIGH"")"),164.6)</f>
        <v>164.6</v>
      </c>
      <c r="E872" s="14">
        <f>IFERROR(__xludf.DUMMYFUNCTION("GOOGLEFINANCE(A872,""LOW"")"),159.85)</f>
        <v>159.85</v>
      </c>
      <c r="F872" s="15" t="str">
        <f t="shared" si="8"/>
        <v/>
      </c>
      <c r="G872" s="16">
        <f>IFERROR(__xludf.DUMMYFUNCTION("GOOGLEFINANCE(A872,""CLOSEYEST"")"),163.21)</f>
        <v>163.21</v>
      </c>
      <c r="H872" s="17" t="str">
        <f t="shared" si="14"/>
        <v/>
      </c>
      <c r="I872" s="18">
        <f t="shared" si="9"/>
        <v>162.5533333</v>
      </c>
      <c r="J872" s="19">
        <f t="shared" si="10"/>
        <v>165.2566667</v>
      </c>
      <c r="K872" s="19"/>
      <c r="L872" s="19">
        <f t="shared" si="11"/>
        <v>160.5066667</v>
      </c>
      <c r="M872" s="19">
        <f t="shared" si="12"/>
        <v>167.3033333</v>
      </c>
      <c r="N872" s="19">
        <f t="shared" si="13"/>
        <v>157.8033333</v>
      </c>
    </row>
    <row r="873" ht="24.75" customHeight="1">
      <c r="A873" s="21" t="s">
        <v>836</v>
      </c>
      <c r="B873" s="13" t="str">
        <f>IFERROR(__xludf.DUMMYFUNCTION("GOOGLEFINANCE(A873,""PRICE"")"),"#N/A")</f>
        <v>#N/A</v>
      </c>
      <c r="C873" s="14" t="str">
        <f>IFERROR(__xludf.DUMMYFUNCTION("GOOGLEFINANCE(A873,""PRICEOPEN"")"),"#N/A")</f>
        <v>#N/A</v>
      </c>
      <c r="D873" s="14" t="str">
        <f>IFERROR(__xludf.DUMMYFUNCTION("GOOGLEFINANCE(A873,""HIGH"")"),"#N/A")</f>
        <v>#N/A</v>
      </c>
      <c r="E873" s="14" t="str">
        <f>IFERROR(__xludf.DUMMYFUNCTION("GOOGLEFINANCE(A873,""LOW"")"),"#N/A")</f>
        <v>#N/A</v>
      </c>
      <c r="F873" s="15" t="str">
        <f t="shared" si="8"/>
        <v>#N/A</v>
      </c>
      <c r="G873" s="16" t="str">
        <f>IFERROR(__xludf.DUMMYFUNCTION("GOOGLEFINANCE(A873,""CLOSEYEST"")"),"#N/A")</f>
        <v>#N/A</v>
      </c>
      <c r="H873" s="17" t="str">
        <f t="shared" si="14"/>
        <v>#N/A</v>
      </c>
      <c r="I873" s="18" t="str">
        <f t="shared" si="9"/>
        <v>#N/A</v>
      </c>
      <c r="J873" s="19" t="str">
        <f t="shared" si="10"/>
        <v>#N/A</v>
      </c>
      <c r="K873" s="19"/>
      <c r="L873" s="19" t="str">
        <f t="shared" si="11"/>
        <v>#N/A</v>
      </c>
      <c r="M873" s="19" t="str">
        <f t="shared" si="12"/>
        <v>#N/A</v>
      </c>
      <c r="N873" s="19" t="str">
        <f t="shared" si="13"/>
        <v>#N/A</v>
      </c>
    </row>
    <row r="874" ht="24.75" customHeight="1">
      <c r="A874" s="21" t="s">
        <v>837</v>
      </c>
      <c r="B874" s="13">
        <f>IFERROR(__xludf.DUMMYFUNCTION("GOOGLEFINANCE(A874,""PRICE"")"),577.2)</f>
        <v>577.2</v>
      </c>
      <c r="C874" s="14">
        <f>IFERROR(__xludf.DUMMYFUNCTION("GOOGLEFINANCE(A874,""PRICEOPEN"")"),585.9)</f>
        <v>585.9</v>
      </c>
      <c r="D874" s="14">
        <f>IFERROR(__xludf.DUMMYFUNCTION("GOOGLEFINANCE(A874,""HIGH"")"),585.9)</f>
        <v>585.9</v>
      </c>
      <c r="E874" s="14">
        <f>IFERROR(__xludf.DUMMYFUNCTION("GOOGLEFINANCE(A874,""LOW"")"),571.95)</f>
        <v>571.95</v>
      </c>
      <c r="F874" s="15" t="str">
        <f t="shared" si="8"/>
        <v>SELL</v>
      </c>
      <c r="G874" s="16">
        <f>IFERROR(__xludf.DUMMYFUNCTION("GOOGLEFINANCE(A874,""CLOSEYEST"")"),582.25)</f>
        <v>582.25</v>
      </c>
      <c r="H874" s="17" t="str">
        <f t="shared" si="14"/>
        <v/>
      </c>
      <c r="I874" s="18">
        <f t="shared" si="9"/>
        <v>580.0333333</v>
      </c>
      <c r="J874" s="19">
        <f t="shared" si="10"/>
        <v>588.1166667</v>
      </c>
      <c r="K874" s="19"/>
      <c r="L874" s="19">
        <f t="shared" si="11"/>
        <v>574.1666667</v>
      </c>
      <c r="M874" s="19">
        <f t="shared" si="12"/>
        <v>593.9833333</v>
      </c>
      <c r="N874" s="19">
        <f t="shared" si="13"/>
        <v>566.0833333</v>
      </c>
    </row>
    <row r="875" ht="24.75" customHeight="1">
      <c r="A875" s="21" t="s">
        <v>838</v>
      </c>
      <c r="B875" s="13" t="str">
        <f>IFERROR(__xludf.DUMMYFUNCTION("GOOGLEFINANCE(A875,""PRICE"")"),"#N/A")</f>
        <v>#N/A</v>
      </c>
      <c r="C875" s="14" t="str">
        <f>IFERROR(__xludf.DUMMYFUNCTION("GOOGLEFINANCE(A875,""PRICEOPEN"")"),"#N/A")</f>
        <v>#N/A</v>
      </c>
      <c r="D875" s="14" t="str">
        <f>IFERROR(__xludf.DUMMYFUNCTION("GOOGLEFINANCE(A875,""HIGH"")"),"#N/A")</f>
        <v>#N/A</v>
      </c>
      <c r="E875" s="14" t="str">
        <f>IFERROR(__xludf.DUMMYFUNCTION("GOOGLEFINANCE(A875,""LOW"")"),"#N/A")</f>
        <v>#N/A</v>
      </c>
      <c r="F875" s="15" t="str">
        <f t="shared" si="8"/>
        <v>#N/A</v>
      </c>
      <c r="G875" s="16" t="str">
        <f>IFERROR(__xludf.DUMMYFUNCTION("GOOGLEFINANCE(A875,""CLOSEYEST"")"),"#N/A")</f>
        <v>#N/A</v>
      </c>
      <c r="H875" s="17" t="str">
        <f t="shared" si="14"/>
        <v>#N/A</v>
      </c>
      <c r="I875" s="18" t="str">
        <f t="shared" si="9"/>
        <v>#N/A</v>
      </c>
      <c r="J875" s="19" t="str">
        <f t="shared" si="10"/>
        <v>#N/A</v>
      </c>
      <c r="K875" s="19"/>
      <c r="L875" s="19" t="str">
        <f t="shared" si="11"/>
        <v>#N/A</v>
      </c>
      <c r="M875" s="19" t="str">
        <f t="shared" si="12"/>
        <v>#N/A</v>
      </c>
      <c r="N875" s="19" t="str">
        <f t="shared" si="13"/>
        <v>#N/A</v>
      </c>
    </row>
    <row r="876" ht="24.75" customHeight="1">
      <c r="A876" s="21" t="s">
        <v>839</v>
      </c>
      <c r="B876" s="13">
        <f>IFERROR(__xludf.DUMMYFUNCTION("GOOGLEFINANCE(A876,""PRICE"")"),187.35)</f>
        <v>187.35</v>
      </c>
      <c r="C876" s="14">
        <f>IFERROR(__xludf.DUMMYFUNCTION("GOOGLEFINANCE(A876,""PRICEOPEN"")"),183.1)</f>
        <v>183.1</v>
      </c>
      <c r="D876" s="14">
        <f>IFERROR(__xludf.DUMMYFUNCTION("GOOGLEFINANCE(A876,""HIGH"")"),190.0)</f>
        <v>190</v>
      </c>
      <c r="E876" s="14">
        <f>IFERROR(__xludf.DUMMYFUNCTION("GOOGLEFINANCE(A876,""LOW"")"),182.06)</f>
        <v>182.06</v>
      </c>
      <c r="F876" s="15" t="str">
        <f t="shared" si="8"/>
        <v/>
      </c>
      <c r="G876" s="16">
        <f>IFERROR(__xludf.DUMMYFUNCTION("GOOGLEFINANCE(A876,""CLOSEYEST"")"),183.1)</f>
        <v>183.1</v>
      </c>
      <c r="H876" s="17" t="str">
        <f t="shared" si="14"/>
        <v/>
      </c>
      <c r="I876" s="18">
        <f t="shared" si="9"/>
        <v>185.0533333</v>
      </c>
      <c r="J876" s="19">
        <f t="shared" si="10"/>
        <v>188.0466667</v>
      </c>
      <c r="K876" s="19"/>
      <c r="L876" s="19">
        <f t="shared" si="11"/>
        <v>180.1066667</v>
      </c>
      <c r="M876" s="19">
        <f t="shared" si="12"/>
        <v>192.9933333</v>
      </c>
      <c r="N876" s="19">
        <f t="shared" si="13"/>
        <v>177.1133333</v>
      </c>
    </row>
    <row r="877" ht="24.75" customHeight="1">
      <c r="A877" s="21" t="s">
        <v>840</v>
      </c>
      <c r="B877" s="13" t="str">
        <f>IFERROR(__xludf.DUMMYFUNCTION("GOOGLEFINANCE(A877,""PRICE"")"),"#N/A")</f>
        <v>#N/A</v>
      </c>
      <c r="C877" s="14" t="str">
        <f>IFERROR(__xludf.DUMMYFUNCTION("GOOGLEFINANCE(A877,""PRICEOPEN"")"),"#N/A")</f>
        <v>#N/A</v>
      </c>
      <c r="D877" s="14" t="str">
        <f>IFERROR(__xludf.DUMMYFUNCTION("GOOGLEFINANCE(A877,""HIGH"")"),"#N/A")</f>
        <v>#N/A</v>
      </c>
      <c r="E877" s="14" t="str">
        <f>IFERROR(__xludf.DUMMYFUNCTION("GOOGLEFINANCE(A877,""LOW"")"),"#N/A")</f>
        <v>#N/A</v>
      </c>
      <c r="F877" s="15" t="str">
        <f t="shared" si="8"/>
        <v>#N/A</v>
      </c>
      <c r="G877" s="16" t="str">
        <f>IFERROR(__xludf.DUMMYFUNCTION("GOOGLEFINANCE(A877,""CLOSEYEST"")"),"#N/A")</f>
        <v>#N/A</v>
      </c>
      <c r="H877" s="17" t="str">
        <f t="shared" si="14"/>
        <v>#N/A</v>
      </c>
      <c r="I877" s="18" t="str">
        <f t="shared" si="9"/>
        <v>#N/A</v>
      </c>
      <c r="J877" s="19" t="str">
        <f t="shared" si="10"/>
        <v>#N/A</v>
      </c>
      <c r="K877" s="19"/>
      <c r="L877" s="19" t="str">
        <f t="shared" si="11"/>
        <v>#N/A</v>
      </c>
      <c r="M877" s="19" t="str">
        <f t="shared" si="12"/>
        <v>#N/A</v>
      </c>
      <c r="N877" s="19" t="str">
        <f t="shared" si="13"/>
        <v>#N/A</v>
      </c>
    </row>
    <row r="878" ht="24.75" customHeight="1">
      <c r="A878" s="21" t="s">
        <v>841</v>
      </c>
      <c r="B878" s="13" t="str">
        <f>IFERROR(__xludf.DUMMYFUNCTION("GOOGLEFINANCE(A878,""PRICE"")"),"#N/A")</f>
        <v>#N/A</v>
      </c>
      <c r="C878" s="14" t="str">
        <f>IFERROR(__xludf.DUMMYFUNCTION("GOOGLEFINANCE(A878,""PRICEOPEN"")"),"#N/A")</f>
        <v>#N/A</v>
      </c>
      <c r="D878" s="14" t="str">
        <f>IFERROR(__xludf.DUMMYFUNCTION("GOOGLEFINANCE(A878,""HIGH"")"),"#N/A")</f>
        <v>#N/A</v>
      </c>
      <c r="E878" s="14" t="str">
        <f>IFERROR(__xludf.DUMMYFUNCTION("GOOGLEFINANCE(A878,""LOW"")"),"#N/A")</f>
        <v>#N/A</v>
      </c>
      <c r="F878" s="15" t="str">
        <f t="shared" si="8"/>
        <v>#N/A</v>
      </c>
      <c r="G878" s="16" t="str">
        <f>IFERROR(__xludf.DUMMYFUNCTION("GOOGLEFINANCE(A878,""CLOSEYEST"")"),"#N/A")</f>
        <v>#N/A</v>
      </c>
      <c r="H878" s="17" t="str">
        <f t="shared" si="14"/>
        <v>#N/A</v>
      </c>
      <c r="I878" s="18" t="str">
        <f t="shared" si="9"/>
        <v>#N/A</v>
      </c>
      <c r="J878" s="19" t="str">
        <f t="shared" si="10"/>
        <v>#N/A</v>
      </c>
      <c r="K878" s="19"/>
      <c r="L878" s="19" t="str">
        <f t="shared" si="11"/>
        <v>#N/A</v>
      </c>
      <c r="M878" s="19" t="str">
        <f t="shared" si="12"/>
        <v>#N/A</v>
      </c>
      <c r="N878" s="19" t="str">
        <f t="shared" si="13"/>
        <v>#N/A</v>
      </c>
    </row>
    <row r="879" ht="24.75" customHeight="1">
      <c r="A879" s="21" t="s">
        <v>842</v>
      </c>
      <c r="B879" s="13">
        <f>IFERROR(__xludf.DUMMYFUNCTION("GOOGLEFINANCE(A879,""PRICE"")"),891.8)</f>
        <v>891.8</v>
      </c>
      <c r="C879" s="14">
        <f>IFERROR(__xludf.DUMMYFUNCTION("GOOGLEFINANCE(A879,""PRICEOPEN"")"),878.0)</f>
        <v>878</v>
      </c>
      <c r="D879" s="14">
        <f>IFERROR(__xludf.DUMMYFUNCTION("GOOGLEFINANCE(A879,""HIGH"")"),897.2)</f>
        <v>897.2</v>
      </c>
      <c r="E879" s="14">
        <f>IFERROR(__xludf.DUMMYFUNCTION("GOOGLEFINANCE(A879,""LOW"")"),877.0)</f>
        <v>877</v>
      </c>
      <c r="F879" s="15" t="str">
        <f t="shared" si="8"/>
        <v/>
      </c>
      <c r="G879" s="16">
        <f>IFERROR(__xludf.DUMMYFUNCTION("GOOGLEFINANCE(A879,""CLOSEYEST"")"),876.95)</f>
        <v>876.95</v>
      </c>
      <c r="H879" s="17" t="str">
        <f t="shared" si="14"/>
        <v/>
      </c>
      <c r="I879" s="18">
        <f t="shared" si="9"/>
        <v>883.7166667</v>
      </c>
      <c r="J879" s="19">
        <f t="shared" si="10"/>
        <v>890.4333333</v>
      </c>
      <c r="K879" s="19"/>
      <c r="L879" s="19">
        <f t="shared" si="11"/>
        <v>870.2333333</v>
      </c>
      <c r="M879" s="19">
        <f t="shared" si="12"/>
        <v>903.9166667</v>
      </c>
      <c r="N879" s="19">
        <f t="shared" si="13"/>
        <v>863.5166667</v>
      </c>
    </row>
    <row r="880" ht="24.75" customHeight="1">
      <c r="A880" s="21" t="s">
        <v>843</v>
      </c>
      <c r="B880" s="13">
        <f>IFERROR(__xludf.DUMMYFUNCTION("GOOGLEFINANCE(A880,""PRICE"")"),1.24)</f>
        <v>1.24</v>
      </c>
      <c r="C880" s="14">
        <f>IFERROR(__xludf.DUMMYFUNCTION("GOOGLEFINANCE(A880,""PRICEOPEN"")"),1.24)</f>
        <v>1.24</v>
      </c>
      <c r="D880" s="14">
        <f>IFERROR(__xludf.DUMMYFUNCTION("GOOGLEFINANCE(A880,""HIGH"")"),1.24)</f>
        <v>1.24</v>
      </c>
      <c r="E880" s="14">
        <f>IFERROR(__xludf.DUMMYFUNCTION("GOOGLEFINANCE(A880,""LOW"")"),1.23)</f>
        <v>1.23</v>
      </c>
      <c r="F880" s="15" t="str">
        <f t="shared" si="8"/>
        <v>SELL</v>
      </c>
      <c r="G880" s="16">
        <f>IFERROR(__xludf.DUMMYFUNCTION("GOOGLEFINANCE(A880,""CLOSEYEST"")"),1.23)</f>
        <v>1.23</v>
      </c>
      <c r="H880" s="17" t="str">
        <f t="shared" si="14"/>
        <v/>
      </c>
      <c r="I880" s="18">
        <f t="shared" si="9"/>
        <v>1.233333333</v>
      </c>
      <c r="J880" s="19">
        <f t="shared" si="10"/>
        <v>1.236666667</v>
      </c>
      <c r="K880" s="19"/>
      <c r="L880" s="19">
        <f t="shared" si="11"/>
        <v>1.226666667</v>
      </c>
      <c r="M880" s="19">
        <f t="shared" si="12"/>
        <v>1.243333333</v>
      </c>
      <c r="N880" s="19">
        <f t="shared" si="13"/>
        <v>1.223333333</v>
      </c>
    </row>
    <row r="881" ht="24.75" customHeight="1">
      <c r="A881" s="21" t="s">
        <v>844</v>
      </c>
      <c r="B881" s="13">
        <f>IFERROR(__xludf.DUMMYFUNCTION("GOOGLEFINANCE(A881,""PRICE"")"),34.94)</f>
        <v>34.94</v>
      </c>
      <c r="C881" s="14">
        <f>IFERROR(__xludf.DUMMYFUNCTION("GOOGLEFINANCE(A881,""PRICEOPEN"")"),33.0)</f>
        <v>33</v>
      </c>
      <c r="D881" s="14">
        <f>IFERROR(__xludf.DUMMYFUNCTION("GOOGLEFINANCE(A881,""HIGH"")"),34.94)</f>
        <v>34.94</v>
      </c>
      <c r="E881" s="14">
        <f>IFERROR(__xludf.DUMMYFUNCTION("GOOGLEFINANCE(A881,""LOW"")"),33.0)</f>
        <v>33</v>
      </c>
      <c r="F881" s="15" t="str">
        <f t="shared" si="8"/>
        <v>BUY</v>
      </c>
      <c r="G881" s="16">
        <f>IFERROR(__xludf.DUMMYFUNCTION("GOOGLEFINANCE(A881,""CLOSEYEST"")"),33.28)</f>
        <v>33.28</v>
      </c>
      <c r="H881" s="17" t="str">
        <f t="shared" si="14"/>
        <v/>
      </c>
      <c r="I881" s="18">
        <f t="shared" si="9"/>
        <v>33.74</v>
      </c>
      <c r="J881" s="19">
        <f t="shared" si="10"/>
        <v>34.48</v>
      </c>
      <c r="K881" s="19"/>
      <c r="L881" s="19">
        <f t="shared" si="11"/>
        <v>32.54</v>
      </c>
      <c r="M881" s="19">
        <f t="shared" si="12"/>
        <v>35.68</v>
      </c>
      <c r="N881" s="19">
        <f t="shared" si="13"/>
        <v>31.8</v>
      </c>
    </row>
    <row r="882" ht="24.75" customHeight="1">
      <c r="A882" s="21" t="s">
        <v>845</v>
      </c>
      <c r="B882" s="13">
        <f>IFERROR(__xludf.DUMMYFUNCTION("GOOGLEFINANCE(A882,""PRICE"")"),1442.7)</f>
        <v>1442.7</v>
      </c>
      <c r="C882" s="14">
        <f>IFERROR(__xludf.DUMMYFUNCTION("GOOGLEFINANCE(A882,""PRICEOPEN"")"),1412.0)</f>
        <v>1412</v>
      </c>
      <c r="D882" s="14">
        <f>IFERROR(__xludf.DUMMYFUNCTION("GOOGLEFINANCE(A882,""HIGH"")"),1451.9)</f>
        <v>1451.9</v>
      </c>
      <c r="E882" s="14">
        <f>IFERROR(__xludf.DUMMYFUNCTION("GOOGLEFINANCE(A882,""LOW"")"),1412.0)</f>
        <v>1412</v>
      </c>
      <c r="F882" s="15" t="str">
        <f t="shared" si="8"/>
        <v>BUY</v>
      </c>
      <c r="G882" s="16">
        <f>IFERROR(__xludf.DUMMYFUNCTION("GOOGLEFINANCE(A882,""CLOSEYEST"")"),1414.1)</f>
        <v>1414.1</v>
      </c>
      <c r="H882" s="17" t="str">
        <f t="shared" si="14"/>
        <v/>
      </c>
      <c r="I882" s="18">
        <f t="shared" si="9"/>
        <v>1426</v>
      </c>
      <c r="J882" s="19">
        <f t="shared" si="10"/>
        <v>1440</v>
      </c>
      <c r="K882" s="19"/>
      <c r="L882" s="19">
        <f t="shared" si="11"/>
        <v>1400.1</v>
      </c>
      <c r="M882" s="19">
        <f t="shared" si="12"/>
        <v>1465.9</v>
      </c>
      <c r="N882" s="19">
        <f t="shared" si="13"/>
        <v>1386.1</v>
      </c>
    </row>
    <row r="883" ht="24.75" customHeight="1">
      <c r="A883" s="21" t="s">
        <v>846</v>
      </c>
      <c r="B883" s="13">
        <f>IFERROR(__xludf.DUMMYFUNCTION("GOOGLEFINANCE(A883,""PRICE"")"),63.2)</f>
        <v>63.2</v>
      </c>
      <c r="C883" s="14">
        <f>IFERROR(__xludf.DUMMYFUNCTION("GOOGLEFINANCE(A883,""PRICEOPEN"")"),62.1)</f>
        <v>62.1</v>
      </c>
      <c r="D883" s="14">
        <f>IFERROR(__xludf.DUMMYFUNCTION("GOOGLEFINANCE(A883,""HIGH"")"),63.2)</f>
        <v>63.2</v>
      </c>
      <c r="E883" s="14">
        <f>IFERROR(__xludf.DUMMYFUNCTION("GOOGLEFINANCE(A883,""LOW"")"),61.56)</f>
        <v>61.56</v>
      </c>
      <c r="F883" s="15" t="str">
        <f t="shared" si="8"/>
        <v/>
      </c>
      <c r="G883" s="16">
        <f>IFERROR(__xludf.DUMMYFUNCTION("GOOGLEFINANCE(A883,""CLOSEYEST"")"),61.84)</f>
        <v>61.84</v>
      </c>
      <c r="H883" s="17" t="str">
        <f t="shared" si="14"/>
        <v/>
      </c>
      <c r="I883" s="18">
        <f t="shared" si="9"/>
        <v>62.2</v>
      </c>
      <c r="J883" s="19">
        <f t="shared" si="10"/>
        <v>62.84</v>
      </c>
      <c r="K883" s="19"/>
      <c r="L883" s="19">
        <f t="shared" si="11"/>
        <v>61.2</v>
      </c>
      <c r="M883" s="19">
        <f t="shared" si="12"/>
        <v>63.84</v>
      </c>
      <c r="N883" s="19">
        <f t="shared" si="13"/>
        <v>60.56</v>
      </c>
    </row>
    <row r="884" ht="24.75" customHeight="1">
      <c r="A884" s="21" t="s">
        <v>847</v>
      </c>
      <c r="B884" s="13">
        <f>IFERROR(__xludf.DUMMYFUNCTION("GOOGLEFINANCE(A884,""PRICE"")"),22.17)</f>
        <v>22.17</v>
      </c>
      <c r="C884" s="14">
        <f>IFERROR(__xludf.DUMMYFUNCTION("GOOGLEFINANCE(A884,""PRICEOPEN"")"),21.58)</f>
        <v>21.58</v>
      </c>
      <c r="D884" s="14">
        <f>IFERROR(__xludf.DUMMYFUNCTION("GOOGLEFINANCE(A884,""HIGH"")"),22.25)</f>
        <v>22.25</v>
      </c>
      <c r="E884" s="14">
        <f>IFERROR(__xludf.DUMMYFUNCTION("GOOGLEFINANCE(A884,""LOW"")"),21.55)</f>
        <v>21.55</v>
      </c>
      <c r="F884" s="15" t="str">
        <f t="shared" si="8"/>
        <v/>
      </c>
      <c r="G884" s="16">
        <f>IFERROR(__xludf.DUMMYFUNCTION("GOOGLEFINANCE(A884,""CLOSEYEST"")"),21.58)</f>
        <v>21.58</v>
      </c>
      <c r="H884" s="17" t="str">
        <f t="shared" si="14"/>
        <v/>
      </c>
      <c r="I884" s="18">
        <f t="shared" si="9"/>
        <v>21.79333333</v>
      </c>
      <c r="J884" s="19">
        <f t="shared" si="10"/>
        <v>22.03666667</v>
      </c>
      <c r="K884" s="19"/>
      <c r="L884" s="19">
        <f t="shared" si="11"/>
        <v>21.33666667</v>
      </c>
      <c r="M884" s="19">
        <f t="shared" si="12"/>
        <v>22.49333333</v>
      </c>
      <c r="N884" s="19">
        <f t="shared" si="13"/>
        <v>21.09333333</v>
      </c>
    </row>
    <row r="885" ht="24.75" customHeight="1">
      <c r="A885" s="21" t="s">
        <v>848</v>
      </c>
      <c r="B885" s="13">
        <f>IFERROR(__xludf.DUMMYFUNCTION("GOOGLEFINANCE(A885,""PRICE"")"),520.05)</f>
        <v>520.05</v>
      </c>
      <c r="C885" s="14">
        <f>IFERROR(__xludf.DUMMYFUNCTION("GOOGLEFINANCE(A885,""PRICEOPEN"")"),507.0)</f>
        <v>507</v>
      </c>
      <c r="D885" s="14">
        <f>IFERROR(__xludf.DUMMYFUNCTION("GOOGLEFINANCE(A885,""HIGH"")"),523.55)</f>
        <v>523.55</v>
      </c>
      <c r="E885" s="14">
        <f>IFERROR(__xludf.DUMMYFUNCTION("GOOGLEFINANCE(A885,""LOW"")"),506.35)</f>
        <v>506.35</v>
      </c>
      <c r="F885" s="15" t="str">
        <f t="shared" si="8"/>
        <v/>
      </c>
      <c r="G885" s="16">
        <f>IFERROR(__xludf.DUMMYFUNCTION("GOOGLEFINANCE(A885,""CLOSEYEST"")"),506.35)</f>
        <v>506.35</v>
      </c>
      <c r="H885" s="17" t="str">
        <f t="shared" si="14"/>
        <v/>
      </c>
      <c r="I885" s="18">
        <f t="shared" si="9"/>
        <v>512.0833333</v>
      </c>
      <c r="J885" s="19">
        <f t="shared" si="10"/>
        <v>517.8166667</v>
      </c>
      <c r="K885" s="19"/>
      <c r="L885" s="19">
        <f t="shared" si="11"/>
        <v>500.6166667</v>
      </c>
      <c r="M885" s="19">
        <f t="shared" si="12"/>
        <v>529.2833333</v>
      </c>
      <c r="N885" s="19">
        <f t="shared" si="13"/>
        <v>494.8833333</v>
      </c>
    </row>
    <row r="886" ht="24.75" customHeight="1">
      <c r="A886" s="21" t="s">
        <v>849</v>
      </c>
      <c r="B886" s="13">
        <f>IFERROR(__xludf.DUMMYFUNCTION("GOOGLEFINANCE(A886,""PRICE"")"),257.0)</f>
        <v>257</v>
      </c>
      <c r="C886" s="14">
        <f>IFERROR(__xludf.DUMMYFUNCTION("GOOGLEFINANCE(A886,""PRICEOPEN"")"),262.0)</f>
        <v>262</v>
      </c>
      <c r="D886" s="14">
        <f>IFERROR(__xludf.DUMMYFUNCTION("GOOGLEFINANCE(A886,""HIGH"")"),263.0)</f>
        <v>263</v>
      </c>
      <c r="E886" s="14">
        <f>IFERROR(__xludf.DUMMYFUNCTION("GOOGLEFINANCE(A886,""LOW"")"),253.55)</f>
        <v>253.55</v>
      </c>
      <c r="F886" s="15" t="str">
        <f t="shared" si="8"/>
        <v/>
      </c>
      <c r="G886" s="16">
        <f>IFERROR(__xludf.DUMMYFUNCTION("GOOGLEFINANCE(A886,""CLOSEYEST"")"),257.15)</f>
        <v>257.15</v>
      </c>
      <c r="H886" s="17" t="str">
        <f t="shared" si="14"/>
        <v>GAP UP</v>
      </c>
      <c r="I886" s="18">
        <f t="shared" si="9"/>
        <v>257.9</v>
      </c>
      <c r="J886" s="19">
        <f t="shared" si="10"/>
        <v>262.25</v>
      </c>
      <c r="K886" s="19"/>
      <c r="L886" s="19">
        <f t="shared" si="11"/>
        <v>252.8</v>
      </c>
      <c r="M886" s="19">
        <f t="shared" si="12"/>
        <v>267.35</v>
      </c>
      <c r="N886" s="19">
        <f t="shared" si="13"/>
        <v>248.45</v>
      </c>
    </row>
    <row r="887" ht="24.75" customHeight="1">
      <c r="A887" s="21" t="s">
        <v>850</v>
      </c>
      <c r="B887" s="13">
        <f>IFERROR(__xludf.DUMMYFUNCTION("GOOGLEFINANCE(A887,""PRICE"")"),4130.0)</f>
        <v>4130</v>
      </c>
      <c r="C887" s="14">
        <f>IFERROR(__xludf.DUMMYFUNCTION("GOOGLEFINANCE(A887,""PRICEOPEN"")"),4124.0)</f>
        <v>4124</v>
      </c>
      <c r="D887" s="14">
        <f>IFERROR(__xludf.DUMMYFUNCTION("GOOGLEFINANCE(A887,""HIGH"")"),4199.9)</f>
        <v>4199.9</v>
      </c>
      <c r="E887" s="14">
        <f>IFERROR(__xludf.DUMMYFUNCTION("GOOGLEFINANCE(A887,""LOW"")"),4074.6)</f>
        <v>4074.6</v>
      </c>
      <c r="F887" s="15" t="str">
        <f t="shared" si="8"/>
        <v/>
      </c>
      <c r="G887" s="16">
        <f>IFERROR(__xludf.DUMMYFUNCTION("GOOGLEFINANCE(A887,""CLOSEYEST"")"),4074.6)</f>
        <v>4074.6</v>
      </c>
      <c r="H887" s="17" t="str">
        <f t="shared" si="14"/>
        <v>GAP UP</v>
      </c>
      <c r="I887" s="18">
        <f t="shared" si="9"/>
        <v>4116.366667</v>
      </c>
      <c r="J887" s="19">
        <f t="shared" si="10"/>
        <v>4158.133333</v>
      </c>
      <c r="K887" s="19"/>
      <c r="L887" s="19">
        <f t="shared" si="11"/>
        <v>4032.833333</v>
      </c>
      <c r="M887" s="19">
        <f t="shared" si="12"/>
        <v>4241.666667</v>
      </c>
      <c r="N887" s="19">
        <f t="shared" si="13"/>
        <v>3991.066667</v>
      </c>
    </row>
    <row r="888" ht="24.75" customHeight="1">
      <c r="A888" s="21" t="s">
        <v>851</v>
      </c>
      <c r="B888" s="13">
        <f>IFERROR(__xludf.DUMMYFUNCTION("GOOGLEFINANCE(A888,""PRICE"")"),529.1)</f>
        <v>529.1</v>
      </c>
      <c r="C888" s="14">
        <f>IFERROR(__xludf.DUMMYFUNCTION("GOOGLEFINANCE(A888,""PRICEOPEN"")"),524.95)</f>
        <v>524.95</v>
      </c>
      <c r="D888" s="14">
        <f>IFERROR(__xludf.DUMMYFUNCTION("GOOGLEFINANCE(A888,""HIGH"")"),530.0)</f>
        <v>530</v>
      </c>
      <c r="E888" s="14">
        <f>IFERROR(__xludf.DUMMYFUNCTION("GOOGLEFINANCE(A888,""LOW"")"),523.55)</f>
        <v>523.55</v>
      </c>
      <c r="F888" s="15" t="str">
        <f t="shared" si="8"/>
        <v/>
      </c>
      <c r="G888" s="16">
        <f>IFERROR(__xludf.DUMMYFUNCTION("GOOGLEFINANCE(A888,""CLOSEYEST"")"),523.5)</f>
        <v>523.5</v>
      </c>
      <c r="H888" s="17" t="str">
        <f t="shared" si="14"/>
        <v/>
      </c>
      <c r="I888" s="18">
        <f t="shared" si="9"/>
        <v>525.6833333</v>
      </c>
      <c r="J888" s="19">
        <f t="shared" si="10"/>
        <v>527.8166667</v>
      </c>
      <c r="K888" s="19"/>
      <c r="L888" s="19">
        <f t="shared" si="11"/>
        <v>521.3666667</v>
      </c>
      <c r="M888" s="19">
        <f t="shared" si="12"/>
        <v>532.1333333</v>
      </c>
      <c r="N888" s="19">
        <f t="shared" si="13"/>
        <v>519.2333333</v>
      </c>
    </row>
    <row r="889" ht="24.75" customHeight="1">
      <c r="A889" s="21" t="s">
        <v>852</v>
      </c>
      <c r="B889" s="13">
        <f>IFERROR(__xludf.DUMMYFUNCTION("GOOGLEFINANCE(A889,""PRICE"")"),2771.2)</f>
        <v>2771.2</v>
      </c>
      <c r="C889" s="14">
        <f>IFERROR(__xludf.DUMMYFUNCTION("GOOGLEFINANCE(A889,""PRICEOPEN"")"),2749.5)</f>
        <v>2749.5</v>
      </c>
      <c r="D889" s="14">
        <f>IFERROR(__xludf.DUMMYFUNCTION("GOOGLEFINANCE(A889,""HIGH"")"),2800.0)</f>
        <v>2800</v>
      </c>
      <c r="E889" s="14">
        <f>IFERROR(__xludf.DUMMYFUNCTION("GOOGLEFINANCE(A889,""LOW"")"),2730.7)</f>
        <v>2730.7</v>
      </c>
      <c r="F889" s="15" t="str">
        <f t="shared" si="8"/>
        <v/>
      </c>
      <c r="G889" s="16">
        <f>IFERROR(__xludf.DUMMYFUNCTION("GOOGLEFINANCE(A889,""CLOSEYEST"")"),2730.7)</f>
        <v>2730.7</v>
      </c>
      <c r="H889" s="17" t="str">
        <f t="shared" si="14"/>
        <v/>
      </c>
      <c r="I889" s="18">
        <f t="shared" si="9"/>
        <v>2753.8</v>
      </c>
      <c r="J889" s="19">
        <f t="shared" si="10"/>
        <v>2776.9</v>
      </c>
      <c r="K889" s="19"/>
      <c r="L889" s="19">
        <f t="shared" si="11"/>
        <v>2707.6</v>
      </c>
      <c r="M889" s="19">
        <f t="shared" si="12"/>
        <v>2823.1</v>
      </c>
      <c r="N889" s="19">
        <f t="shared" si="13"/>
        <v>2684.5</v>
      </c>
    </row>
    <row r="890" ht="24.75" customHeight="1">
      <c r="A890" s="21" t="s">
        <v>853</v>
      </c>
      <c r="B890" s="13">
        <f>IFERROR(__xludf.DUMMYFUNCTION("GOOGLEFINANCE(A890,""PRICE"")"),1129.1)</f>
        <v>1129.1</v>
      </c>
      <c r="C890" s="14">
        <f>IFERROR(__xludf.DUMMYFUNCTION("GOOGLEFINANCE(A890,""PRICEOPEN"")"),1129.0)</f>
        <v>1129</v>
      </c>
      <c r="D890" s="14">
        <f>IFERROR(__xludf.DUMMYFUNCTION("GOOGLEFINANCE(A890,""HIGH"")"),1139.8)</f>
        <v>1139.8</v>
      </c>
      <c r="E890" s="14">
        <f>IFERROR(__xludf.DUMMYFUNCTION("GOOGLEFINANCE(A890,""LOW"")"),1120.8)</f>
        <v>1120.8</v>
      </c>
      <c r="F890" s="15" t="str">
        <f t="shared" si="8"/>
        <v/>
      </c>
      <c r="G890" s="16">
        <f>IFERROR(__xludf.DUMMYFUNCTION("GOOGLEFINANCE(A890,""CLOSEYEST"")"),1131.5)</f>
        <v>1131.5</v>
      </c>
      <c r="H890" s="17" t="str">
        <f t="shared" si="14"/>
        <v/>
      </c>
      <c r="I890" s="18">
        <f t="shared" si="9"/>
        <v>1130.7</v>
      </c>
      <c r="J890" s="19">
        <f t="shared" si="10"/>
        <v>1140.6</v>
      </c>
      <c r="K890" s="19"/>
      <c r="L890" s="19">
        <f t="shared" si="11"/>
        <v>1121.6</v>
      </c>
      <c r="M890" s="19">
        <f t="shared" si="12"/>
        <v>1149.7</v>
      </c>
      <c r="N890" s="19">
        <f t="shared" si="13"/>
        <v>1111.7</v>
      </c>
    </row>
    <row r="891" ht="24.75" customHeight="1">
      <c r="A891" s="21" t="s">
        <v>854</v>
      </c>
      <c r="B891" s="13" t="str">
        <f>IFERROR(__xludf.DUMMYFUNCTION("GOOGLEFINANCE(A891,""PRICE"")"),"#N/A")</f>
        <v>#N/A</v>
      </c>
      <c r="C891" s="14" t="str">
        <f>IFERROR(__xludf.DUMMYFUNCTION("GOOGLEFINANCE(A891,""PRICEOPEN"")"),"#N/A")</f>
        <v>#N/A</v>
      </c>
      <c r="D891" s="14" t="str">
        <f>IFERROR(__xludf.DUMMYFUNCTION("GOOGLEFINANCE(A891,""HIGH"")"),"#N/A")</f>
        <v>#N/A</v>
      </c>
      <c r="E891" s="14" t="str">
        <f>IFERROR(__xludf.DUMMYFUNCTION("GOOGLEFINANCE(A891,""LOW"")"),"#N/A")</f>
        <v>#N/A</v>
      </c>
      <c r="F891" s="15" t="str">
        <f t="shared" si="8"/>
        <v>#N/A</v>
      </c>
      <c r="G891" s="16" t="str">
        <f>IFERROR(__xludf.DUMMYFUNCTION("GOOGLEFINANCE(A891,""CLOSEYEST"")"),"#N/A")</f>
        <v>#N/A</v>
      </c>
      <c r="H891" s="17" t="str">
        <f t="shared" si="14"/>
        <v>#N/A</v>
      </c>
      <c r="I891" s="18" t="str">
        <f t="shared" si="9"/>
        <v>#N/A</v>
      </c>
      <c r="J891" s="19" t="str">
        <f t="shared" si="10"/>
        <v>#N/A</v>
      </c>
      <c r="K891" s="19"/>
      <c r="L891" s="19" t="str">
        <f t="shared" si="11"/>
        <v>#N/A</v>
      </c>
      <c r="M891" s="19" t="str">
        <f t="shared" si="12"/>
        <v>#N/A</v>
      </c>
      <c r="N891" s="19" t="str">
        <f t="shared" si="13"/>
        <v>#N/A</v>
      </c>
    </row>
    <row r="892" ht="24.75" customHeight="1">
      <c r="A892" s="21" t="s">
        <v>855</v>
      </c>
      <c r="B892" s="13">
        <f>IFERROR(__xludf.DUMMYFUNCTION("GOOGLEFINANCE(A892,""PRICE"")"),530.55)</f>
        <v>530.55</v>
      </c>
      <c r="C892" s="14">
        <f>IFERROR(__xludf.DUMMYFUNCTION("GOOGLEFINANCE(A892,""PRICEOPEN"")"),515.8)</f>
        <v>515.8</v>
      </c>
      <c r="D892" s="14">
        <f>IFERROR(__xludf.DUMMYFUNCTION("GOOGLEFINANCE(A892,""HIGH"")"),533.9)</f>
        <v>533.9</v>
      </c>
      <c r="E892" s="14">
        <f>IFERROR(__xludf.DUMMYFUNCTION("GOOGLEFINANCE(A892,""LOW"")"),508.0)</f>
        <v>508</v>
      </c>
      <c r="F892" s="15" t="str">
        <f t="shared" si="8"/>
        <v/>
      </c>
      <c r="G892" s="16">
        <f>IFERROR(__xludf.DUMMYFUNCTION("GOOGLEFINANCE(A892,""CLOSEYEST"")"),510.4)</f>
        <v>510.4</v>
      </c>
      <c r="H892" s="17" t="str">
        <f t="shared" si="14"/>
        <v>GAP UP</v>
      </c>
      <c r="I892" s="18">
        <f t="shared" si="9"/>
        <v>517.4333333</v>
      </c>
      <c r="J892" s="19">
        <f t="shared" si="10"/>
        <v>526.8666667</v>
      </c>
      <c r="K892" s="19"/>
      <c r="L892" s="19">
        <f t="shared" si="11"/>
        <v>500.9666667</v>
      </c>
      <c r="M892" s="19">
        <f t="shared" si="12"/>
        <v>543.3333333</v>
      </c>
      <c r="N892" s="19">
        <f t="shared" si="13"/>
        <v>491.5333333</v>
      </c>
    </row>
    <row r="893" ht="24.75" customHeight="1">
      <c r="A893" s="21" t="s">
        <v>856</v>
      </c>
      <c r="B893" s="13" t="str">
        <f>IFERROR(__xludf.DUMMYFUNCTION("GOOGLEFINANCE(A893,""PRICE"")"),"#N/A")</f>
        <v>#N/A</v>
      </c>
      <c r="C893" s="14" t="str">
        <f>IFERROR(__xludf.DUMMYFUNCTION("GOOGLEFINANCE(A893,""PRICEOPEN"")"),"#N/A")</f>
        <v>#N/A</v>
      </c>
      <c r="D893" s="14" t="str">
        <f>IFERROR(__xludf.DUMMYFUNCTION("GOOGLEFINANCE(A893,""HIGH"")"),"#N/A")</f>
        <v>#N/A</v>
      </c>
      <c r="E893" s="14" t="str">
        <f>IFERROR(__xludf.DUMMYFUNCTION("GOOGLEFINANCE(A893,""LOW"")"),"#N/A")</f>
        <v>#N/A</v>
      </c>
      <c r="F893" s="15" t="str">
        <f t="shared" si="8"/>
        <v>#N/A</v>
      </c>
      <c r="G893" s="16" t="str">
        <f>IFERROR(__xludf.DUMMYFUNCTION("GOOGLEFINANCE(A893,""CLOSEYEST"")"),"#N/A")</f>
        <v>#N/A</v>
      </c>
      <c r="H893" s="17" t="str">
        <f t="shared" si="14"/>
        <v>#N/A</v>
      </c>
      <c r="I893" s="18" t="str">
        <f t="shared" si="9"/>
        <v>#N/A</v>
      </c>
      <c r="J893" s="19" t="str">
        <f t="shared" si="10"/>
        <v>#N/A</v>
      </c>
      <c r="K893" s="19"/>
      <c r="L893" s="19" t="str">
        <f t="shared" si="11"/>
        <v>#N/A</v>
      </c>
      <c r="M893" s="19" t="str">
        <f t="shared" si="12"/>
        <v>#N/A</v>
      </c>
      <c r="N893" s="19" t="str">
        <f t="shared" si="13"/>
        <v>#N/A</v>
      </c>
    </row>
    <row r="894" ht="24.75" customHeight="1">
      <c r="A894" s="21" t="s">
        <v>857</v>
      </c>
      <c r="B894" s="13">
        <f>IFERROR(__xludf.DUMMYFUNCTION("GOOGLEFINANCE(A894,""PRICE"")"),630.0)</f>
        <v>630</v>
      </c>
      <c r="C894" s="14">
        <f>IFERROR(__xludf.DUMMYFUNCTION("GOOGLEFINANCE(A894,""PRICEOPEN"")"),616.9)</f>
        <v>616.9</v>
      </c>
      <c r="D894" s="14">
        <f>IFERROR(__xludf.DUMMYFUNCTION("GOOGLEFINANCE(A894,""HIGH"")"),653.0)</f>
        <v>653</v>
      </c>
      <c r="E894" s="14">
        <f>IFERROR(__xludf.DUMMYFUNCTION("GOOGLEFINANCE(A894,""LOW"")"),616.9)</f>
        <v>616.9</v>
      </c>
      <c r="F894" s="15" t="str">
        <f t="shared" si="8"/>
        <v>BUY</v>
      </c>
      <c r="G894" s="16">
        <f>IFERROR(__xludf.DUMMYFUNCTION("GOOGLEFINANCE(A894,""CLOSEYEST"")"),616.9)</f>
        <v>616.9</v>
      </c>
      <c r="H894" s="17" t="str">
        <f t="shared" si="14"/>
        <v/>
      </c>
      <c r="I894" s="18">
        <f t="shared" si="9"/>
        <v>628.9333333</v>
      </c>
      <c r="J894" s="19">
        <f t="shared" si="10"/>
        <v>640.9666667</v>
      </c>
      <c r="K894" s="19"/>
      <c r="L894" s="19">
        <f t="shared" si="11"/>
        <v>604.8666667</v>
      </c>
      <c r="M894" s="19">
        <f t="shared" si="12"/>
        <v>665.0333333</v>
      </c>
      <c r="N894" s="19">
        <f t="shared" si="13"/>
        <v>592.8333333</v>
      </c>
    </row>
    <row r="895" ht="24.75" customHeight="1">
      <c r="A895" s="21" t="s">
        <v>858</v>
      </c>
      <c r="B895" s="13">
        <f>IFERROR(__xludf.DUMMYFUNCTION("GOOGLEFINANCE(A895,""PRICE"")"),745.0)</f>
        <v>745</v>
      </c>
      <c r="C895" s="14">
        <f>IFERROR(__xludf.DUMMYFUNCTION("GOOGLEFINANCE(A895,""PRICEOPEN"")"),747.7)</f>
        <v>747.7</v>
      </c>
      <c r="D895" s="14">
        <f>IFERROR(__xludf.DUMMYFUNCTION("GOOGLEFINANCE(A895,""HIGH"")"),754.8)</f>
        <v>754.8</v>
      </c>
      <c r="E895" s="14">
        <f>IFERROR(__xludf.DUMMYFUNCTION("GOOGLEFINANCE(A895,""LOW"")"),741.0)</f>
        <v>741</v>
      </c>
      <c r="F895" s="15" t="str">
        <f t="shared" si="8"/>
        <v/>
      </c>
      <c r="G895" s="16">
        <f>IFERROR(__xludf.DUMMYFUNCTION("GOOGLEFINANCE(A895,""CLOSEYEST"")"),747.7)</f>
        <v>747.7</v>
      </c>
      <c r="H895" s="17" t="str">
        <f t="shared" si="14"/>
        <v/>
      </c>
      <c r="I895" s="18">
        <f t="shared" si="9"/>
        <v>747.8333333</v>
      </c>
      <c r="J895" s="19">
        <f t="shared" si="10"/>
        <v>754.6666667</v>
      </c>
      <c r="K895" s="19"/>
      <c r="L895" s="19">
        <f t="shared" si="11"/>
        <v>740.8666667</v>
      </c>
      <c r="M895" s="19">
        <f t="shared" si="12"/>
        <v>761.6333333</v>
      </c>
      <c r="N895" s="19">
        <f t="shared" si="13"/>
        <v>734.0333333</v>
      </c>
    </row>
    <row r="896" ht="24.75" customHeight="1">
      <c r="A896" s="21" t="s">
        <v>859</v>
      </c>
      <c r="B896" s="13">
        <f>IFERROR(__xludf.DUMMYFUNCTION("GOOGLEFINANCE(A896,""PRICE"")"),1.99)</f>
        <v>1.99</v>
      </c>
      <c r="C896" s="14">
        <f>IFERROR(__xludf.DUMMYFUNCTION("GOOGLEFINANCE(A896,""PRICEOPEN"")"),2.02)</f>
        <v>2.02</v>
      </c>
      <c r="D896" s="14">
        <f>IFERROR(__xludf.DUMMYFUNCTION("GOOGLEFINANCE(A896,""HIGH"")"),2.13)</f>
        <v>2.13</v>
      </c>
      <c r="E896" s="14">
        <f>IFERROR(__xludf.DUMMYFUNCTION("GOOGLEFINANCE(A896,""LOW"")"),1.97)</f>
        <v>1.97</v>
      </c>
      <c r="F896" s="15" t="str">
        <f t="shared" si="8"/>
        <v/>
      </c>
      <c r="G896" s="16">
        <f>IFERROR(__xludf.DUMMYFUNCTION("GOOGLEFINANCE(A896,""CLOSEYEST"")"),2.0)</f>
        <v>2</v>
      </c>
      <c r="H896" s="17" t="str">
        <f t="shared" si="14"/>
        <v>GAP UP</v>
      </c>
      <c r="I896" s="18">
        <f t="shared" si="9"/>
        <v>2.033333333</v>
      </c>
      <c r="J896" s="19">
        <f t="shared" si="10"/>
        <v>2.096666667</v>
      </c>
      <c r="K896" s="19"/>
      <c r="L896" s="19">
        <f t="shared" si="11"/>
        <v>1.936666667</v>
      </c>
      <c r="M896" s="19">
        <f t="shared" si="12"/>
        <v>2.193333333</v>
      </c>
      <c r="N896" s="19">
        <f t="shared" si="13"/>
        <v>1.873333333</v>
      </c>
    </row>
    <row r="897" ht="24.75" customHeight="1">
      <c r="A897" s="21" t="s">
        <v>860</v>
      </c>
      <c r="B897" s="13">
        <f>IFERROR(__xludf.DUMMYFUNCTION("GOOGLEFINANCE(A897,""PRICE"")"),687.0)</f>
        <v>687</v>
      </c>
      <c r="C897" s="14">
        <f>IFERROR(__xludf.DUMMYFUNCTION("GOOGLEFINANCE(A897,""PRICEOPEN"")"),693.0)</f>
        <v>693</v>
      </c>
      <c r="D897" s="14">
        <f>IFERROR(__xludf.DUMMYFUNCTION("GOOGLEFINANCE(A897,""HIGH"")"),696.3)</f>
        <v>696.3</v>
      </c>
      <c r="E897" s="14">
        <f>IFERROR(__xludf.DUMMYFUNCTION("GOOGLEFINANCE(A897,""LOW"")"),685.5)</f>
        <v>685.5</v>
      </c>
      <c r="F897" s="15" t="str">
        <f t="shared" si="8"/>
        <v/>
      </c>
      <c r="G897" s="16">
        <f>IFERROR(__xludf.DUMMYFUNCTION("GOOGLEFINANCE(A897,""CLOSEYEST"")"),690.5)</f>
        <v>690.5</v>
      </c>
      <c r="H897" s="17" t="str">
        <f t="shared" si="14"/>
        <v/>
      </c>
      <c r="I897" s="18">
        <f t="shared" si="9"/>
        <v>690.7666667</v>
      </c>
      <c r="J897" s="19">
        <f t="shared" si="10"/>
        <v>696.0333333</v>
      </c>
      <c r="K897" s="19"/>
      <c r="L897" s="19">
        <f t="shared" si="11"/>
        <v>685.2333333</v>
      </c>
      <c r="M897" s="19">
        <f t="shared" si="12"/>
        <v>701.5666667</v>
      </c>
      <c r="N897" s="19">
        <f t="shared" si="13"/>
        <v>679.9666667</v>
      </c>
    </row>
    <row r="898" ht="24.75" customHeight="1">
      <c r="A898" s="21" t="s">
        <v>861</v>
      </c>
      <c r="B898" s="13">
        <f>IFERROR(__xludf.DUMMYFUNCTION("GOOGLEFINANCE(A898,""PRICE"")"),488.0)</f>
        <v>488</v>
      </c>
      <c r="C898" s="14">
        <f>IFERROR(__xludf.DUMMYFUNCTION("GOOGLEFINANCE(A898,""PRICEOPEN"")"),482.75)</f>
        <v>482.75</v>
      </c>
      <c r="D898" s="14">
        <f>IFERROR(__xludf.DUMMYFUNCTION("GOOGLEFINANCE(A898,""HIGH"")"),494.0)</f>
        <v>494</v>
      </c>
      <c r="E898" s="14">
        <f>IFERROR(__xludf.DUMMYFUNCTION("GOOGLEFINANCE(A898,""LOW"")"),479.7)</f>
        <v>479.7</v>
      </c>
      <c r="F898" s="15" t="str">
        <f t="shared" si="8"/>
        <v/>
      </c>
      <c r="G898" s="16">
        <f>IFERROR(__xludf.DUMMYFUNCTION("GOOGLEFINANCE(A898,""CLOSEYEST"")"),481.95)</f>
        <v>481.95</v>
      </c>
      <c r="H898" s="17" t="str">
        <f t="shared" si="14"/>
        <v/>
      </c>
      <c r="I898" s="18">
        <f t="shared" si="9"/>
        <v>485.2166667</v>
      </c>
      <c r="J898" s="19">
        <f t="shared" si="10"/>
        <v>490.7333333</v>
      </c>
      <c r="K898" s="19"/>
      <c r="L898" s="19">
        <f t="shared" si="11"/>
        <v>476.4333333</v>
      </c>
      <c r="M898" s="19">
        <f t="shared" si="12"/>
        <v>499.5166667</v>
      </c>
      <c r="N898" s="19">
        <f t="shared" si="13"/>
        <v>470.9166667</v>
      </c>
    </row>
    <row r="899" ht="24.75" customHeight="1">
      <c r="A899" s="21" t="s">
        <v>862</v>
      </c>
      <c r="B899" s="13">
        <f>IFERROR(__xludf.DUMMYFUNCTION("GOOGLEFINANCE(A899,""PRICE"")"),314.0)</f>
        <v>314</v>
      </c>
      <c r="C899" s="14">
        <f>IFERROR(__xludf.DUMMYFUNCTION("GOOGLEFINANCE(A899,""PRICEOPEN"")"),314.8)</f>
        <v>314.8</v>
      </c>
      <c r="D899" s="14">
        <f>IFERROR(__xludf.DUMMYFUNCTION("GOOGLEFINANCE(A899,""HIGH"")"),314.8)</f>
        <v>314.8</v>
      </c>
      <c r="E899" s="14">
        <f>IFERROR(__xludf.DUMMYFUNCTION("GOOGLEFINANCE(A899,""LOW"")"),310.05)</f>
        <v>310.05</v>
      </c>
      <c r="F899" s="15" t="str">
        <f t="shared" si="8"/>
        <v>SELL</v>
      </c>
      <c r="G899" s="16">
        <f>IFERROR(__xludf.DUMMYFUNCTION("GOOGLEFINANCE(A899,""CLOSEYEST"")"),313.3)</f>
        <v>313.3</v>
      </c>
      <c r="H899" s="17" t="str">
        <f t="shared" si="14"/>
        <v/>
      </c>
      <c r="I899" s="18">
        <f t="shared" si="9"/>
        <v>312.7166667</v>
      </c>
      <c r="J899" s="19">
        <f t="shared" si="10"/>
        <v>315.3833333</v>
      </c>
      <c r="K899" s="19"/>
      <c r="L899" s="19">
        <f t="shared" si="11"/>
        <v>310.6333333</v>
      </c>
      <c r="M899" s="19">
        <f t="shared" si="12"/>
        <v>317.4666667</v>
      </c>
      <c r="N899" s="19">
        <f t="shared" si="13"/>
        <v>307.9666667</v>
      </c>
    </row>
    <row r="900" ht="24.75" customHeight="1">
      <c r="A900" s="21" t="s">
        <v>863</v>
      </c>
      <c r="B900" s="13">
        <f>IFERROR(__xludf.DUMMYFUNCTION("GOOGLEFINANCE(A900,""PRICE"")"),0.03)</f>
        <v>0.03</v>
      </c>
      <c r="C900" s="14">
        <f>IFERROR(__xludf.DUMMYFUNCTION("GOOGLEFINANCE(A900,""PRICEOPEN"")"),0.03)</f>
        <v>0.03</v>
      </c>
      <c r="D900" s="14">
        <f>IFERROR(__xludf.DUMMYFUNCTION("GOOGLEFINANCE(A900,""HIGH"")"),0.03)</f>
        <v>0.03</v>
      </c>
      <c r="E900" s="14">
        <f>IFERROR(__xludf.DUMMYFUNCTION("GOOGLEFINANCE(A900,""LOW"")"),0.03)</f>
        <v>0.03</v>
      </c>
      <c r="F900" s="15" t="str">
        <f t="shared" si="8"/>
        <v>SELL</v>
      </c>
      <c r="G900" s="16">
        <f>IFERROR(__xludf.DUMMYFUNCTION("GOOGLEFINANCE(A900,""CLOSEYEST"")"),0.03)</f>
        <v>0.03</v>
      </c>
      <c r="H900" s="17" t="str">
        <f t="shared" si="14"/>
        <v/>
      </c>
      <c r="I900" s="18">
        <f t="shared" si="9"/>
        <v>0.03</v>
      </c>
      <c r="J900" s="19">
        <f t="shared" si="10"/>
        <v>0.03</v>
      </c>
      <c r="K900" s="19"/>
      <c r="L900" s="19">
        <f t="shared" si="11"/>
        <v>0.03</v>
      </c>
      <c r="M900" s="19">
        <f t="shared" si="12"/>
        <v>0.03</v>
      </c>
      <c r="N900" s="19">
        <f t="shared" si="13"/>
        <v>0.03</v>
      </c>
    </row>
    <row r="901" ht="24.75" customHeight="1">
      <c r="A901" s="21" t="s">
        <v>864</v>
      </c>
      <c r="B901" s="13">
        <f>IFERROR(__xludf.DUMMYFUNCTION("GOOGLEFINANCE(A901,""PRICE"")"),559.0)</f>
        <v>559</v>
      </c>
      <c r="C901" s="14">
        <f>IFERROR(__xludf.DUMMYFUNCTION("GOOGLEFINANCE(A901,""PRICEOPEN"")"),541.7)</f>
        <v>541.7</v>
      </c>
      <c r="D901" s="14">
        <f>IFERROR(__xludf.DUMMYFUNCTION("GOOGLEFINANCE(A901,""HIGH"")"),559.45)</f>
        <v>559.45</v>
      </c>
      <c r="E901" s="14">
        <f>IFERROR(__xludf.DUMMYFUNCTION("GOOGLEFINANCE(A901,""LOW"")"),536.6)</f>
        <v>536.6</v>
      </c>
      <c r="F901" s="15" t="str">
        <f t="shared" si="8"/>
        <v/>
      </c>
      <c r="G901" s="16">
        <f>IFERROR(__xludf.DUMMYFUNCTION("GOOGLEFINANCE(A901,""CLOSEYEST"")"),540.65)</f>
        <v>540.65</v>
      </c>
      <c r="H901" s="17" t="str">
        <f t="shared" si="14"/>
        <v/>
      </c>
      <c r="I901" s="18">
        <f t="shared" si="9"/>
        <v>545.5666667</v>
      </c>
      <c r="J901" s="19">
        <f t="shared" si="10"/>
        <v>554.5333333</v>
      </c>
      <c r="K901" s="19"/>
      <c r="L901" s="19">
        <f t="shared" si="11"/>
        <v>531.6833333</v>
      </c>
      <c r="M901" s="19">
        <f t="shared" si="12"/>
        <v>568.4166667</v>
      </c>
      <c r="N901" s="19">
        <f t="shared" si="13"/>
        <v>522.7166667</v>
      </c>
    </row>
    <row r="902" ht="24.75" customHeight="1">
      <c r="A902" s="21" t="s">
        <v>865</v>
      </c>
      <c r="B902" s="13">
        <f>IFERROR(__xludf.DUMMYFUNCTION("GOOGLEFINANCE(A902,""PRICE"")"),641.8)</f>
        <v>641.8</v>
      </c>
      <c r="C902" s="14">
        <f>IFERROR(__xludf.DUMMYFUNCTION("GOOGLEFINANCE(A902,""PRICEOPEN"")"),604.0)</f>
        <v>604</v>
      </c>
      <c r="D902" s="14">
        <f>IFERROR(__xludf.DUMMYFUNCTION("GOOGLEFINANCE(A902,""HIGH"")"),659.75)</f>
        <v>659.75</v>
      </c>
      <c r="E902" s="14">
        <f>IFERROR(__xludf.DUMMYFUNCTION("GOOGLEFINANCE(A902,""LOW"")"),603.45)</f>
        <v>603.45</v>
      </c>
      <c r="F902" s="15" t="str">
        <f t="shared" si="8"/>
        <v/>
      </c>
      <c r="G902" s="16">
        <f>IFERROR(__xludf.DUMMYFUNCTION("GOOGLEFINANCE(A902,""CLOSEYEST"")"),598.35)</f>
        <v>598.35</v>
      </c>
      <c r="H902" s="17" t="str">
        <f t="shared" si="14"/>
        <v/>
      </c>
      <c r="I902" s="18">
        <f t="shared" si="9"/>
        <v>620.5166667</v>
      </c>
      <c r="J902" s="19">
        <f t="shared" si="10"/>
        <v>637.5833333</v>
      </c>
      <c r="K902" s="19"/>
      <c r="L902" s="19">
        <f t="shared" si="11"/>
        <v>581.2833333</v>
      </c>
      <c r="M902" s="19">
        <f t="shared" si="12"/>
        <v>676.8166667</v>
      </c>
      <c r="N902" s="19">
        <f t="shared" si="13"/>
        <v>564.2166667</v>
      </c>
    </row>
    <row r="903" ht="24.75" customHeight="1">
      <c r="A903" s="21" t="s">
        <v>866</v>
      </c>
      <c r="B903" s="13">
        <f>IFERROR(__xludf.DUMMYFUNCTION("GOOGLEFINANCE(A903,""PRICE"")"),268.1)</f>
        <v>268.1</v>
      </c>
      <c r="C903" s="14">
        <f>IFERROR(__xludf.DUMMYFUNCTION("GOOGLEFINANCE(A903,""PRICEOPEN"")"),263.7)</f>
        <v>263.7</v>
      </c>
      <c r="D903" s="14">
        <f>IFERROR(__xludf.DUMMYFUNCTION("GOOGLEFINANCE(A903,""HIGH"")"),275.6)</f>
        <v>275.6</v>
      </c>
      <c r="E903" s="14">
        <f>IFERROR(__xludf.DUMMYFUNCTION("GOOGLEFINANCE(A903,""LOW"")"),260.5)</f>
        <v>260.5</v>
      </c>
      <c r="F903" s="15" t="str">
        <f t="shared" si="8"/>
        <v/>
      </c>
      <c r="G903" s="16">
        <f>IFERROR(__xludf.DUMMYFUNCTION("GOOGLEFINANCE(A903,""CLOSEYEST"")"),262.25)</f>
        <v>262.25</v>
      </c>
      <c r="H903" s="17" t="str">
        <f t="shared" si="14"/>
        <v/>
      </c>
      <c r="I903" s="18">
        <f t="shared" si="9"/>
        <v>266.1166667</v>
      </c>
      <c r="J903" s="19">
        <f t="shared" si="10"/>
        <v>271.7333333</v>
      </c>
      <c r="K903" s="19"/>
      <c r="L903" s="19">
        <f t="shared" si="11"/>
        <v>256.6333333</v>
      </c>
      <c r="M903" s="19">
        <f t="shared" si="12"/>
        <v>281.2166667</v>
      </c>
      <c r="N903" s="19">
        <f t="shared" si="13"/>
        <v>251.0166667</v>
      </c>
    </row>
    <row r="904" ht="24.75" customHeight="1">
      <c r="A904" s="21" t="s">
        <v>867</v>
      </c>
      <c r="B904" s="13">
        <f>IFERROR(__xludf.DUMMYFUNCTION("GOOGLEFINANCE(A904,""PRICE"")"),6985.0)</f>
        <v>6985</v>
      </c>
      <c r="C904" s="14">
        <f>IFERROR(__xludf.DUMMYFUNCTION("GOOGLEFINANCE(A904,""PRICEOPEN"")"),7194.0)</f>
        <v>7194</v>
      </c>
      <c r="D904" s="14">
        <f>IFERROR(__xludf.DUMMYFUNCTION("GOOGLEFINANCE(A904,""HIGH"")"),7213.0)</f>
        <v>7213</v>
      </c>
      <c r="E904" s="14">
        <f>IFERROR(__xludf.DUMMYFUNCTION("GOOGLEFINANCE(A904,""LOW"")"),6984.0)</f>
        <v>6984</v>
      </c>
      <c r="F904" s="15" t="str">
        <f t="shared" si="8"/>
        <v/>
      </c>
      <c r="G904" s="16">
        <f>IFERROR(__xludf.DUMMYFUNCTION("GOOGLEFINANCE(A904,""CLOSEYEST"")"),7101.5)</f>
        <v>7101.5</v>
      </c>
      <c r="H904" s="17" t="str">
        <f t="shared" si="14"/>
        <v>GAP UP</v>
      </c>
      <c r="I904" s="18">
        <f t="shared" si="9"/>
        <v>7099.5</v>
      </c>
      <c r="J904" s="19">
        <f t="shared" si="10"/>
        <v>7215</v>
      </c>
      <c r="K904" s="19"/>
      <c r="L904" s="19">
        <f t="shared" si="11"/>
        <v>6986</v>
      </c>
      <c r="M904" s="19">
        <f t="shared" si="12"/>
        <v>7328.5</v>
      </c>
      <c r="N904" s="19">
        <f t="shared" si="13"/>
        <v>6870.5</v>
      </c>
    </row>
    <row r="905" ht="24.75" customHeight="1">
      <c r="A905" s="21" t="s">
        <v>868</v>
      </c>
      <c r="B905" s="13">
        <f>IFERROR(__xludf.DUMMYFUNCTION("GOOGLEFINANCE(A905,""PRICE"")"),587.5)</f>
        <v>587.5</v>
      </c>
      <c r="C905" s="14">
        <f>IFERROR(__xludf.DUMMYFUNCTION("GOOGLEFINANCE(A905,""PRICEOPEN"")"),590.05)</f>
        <v>590.05</v>
      </c>
      <c r="D905" s="14">
        <f>IFERROR(__xludf.DUMMYFUNCTION("GOOGLEFINANCE(A905,""HIGH"")"),606.2)</f>
        <v>606.2</v>
      </c>
      <c r="E905" s="14">
        <f>IFERROR(__xludf.DUMMYFUNCTION("GOOGLEFINANCE(A905,""LOW"")"),581.6)</f>
        <v>581.6</v>
      </c>
      <c r="F905" s="15" t="str">
        <f t="shared" si="8"/>
        <v/>
      </c>
      <c r="G905" s="16">
        <f>IFERROR(__xludf.DUMMYFUNCTION("GOOGLEFINANCE(A905,""CLOSEYEST"")"),593.25)</f>
        <v>593.25</v>
      </c>
      <c r="H905" s="17" t="str">
        <f t="shared" si="14"/>
        <v/>
      </c>
      <c r="I905" s="18">
        <f t="shared" si="9"/>
        <v>593.6833333</v>
      </c>
      <c r="J905" s="19">
        <f t="shared" si="10"/>
        <v>605.7666667</v>
      </c>
      <c r="K905" s="19"/>
      <c r="L905" s="19">
        <f t="shared" si="11"/>
        <v>581.1666667</v>
      </c>
      <c r="M905" s="19">
        <f t="shared" si="12"/>
        <v>618.2833333</v>
      </c>
      <c r="N905" s="19">
        <f t="shared" si="13"/>
        <v>569.0833333</v>
      </c>
    </row>
    <row r="906" ht="24.75" customHeight="1">
      <c r="A906" s="21" t="s">
        <v>869</v>
      </c>
      <c r="B906" s="13" t="str">
        <f>IFERROR(__xludf.DUMMYFUNCTION("GOOGLEFINANCE(A906,""PRICE"")"),"#N/A")</f>
        <v>#N/A</v>
      </c>
      <c r="C906" s="14" t="str">
        <f>IFERROR(__xludf.DUMMYFUNCTION("GOOGLEFINANCE(A906,""PRICEOPEN"")"),"#N/A")</f>
        <v>#N/A</v>
      </c>
      <c r="D906" s="14" t="str">
        <f>IFERROR(__xludf.DUMMYFUNCTION("GOOGLEFINANCE(A906,""HIGH"")"),"#N/A")</f>
        <v>#N/A</v>
      </c>
      <c r="E906" s="14" t="str">
        <f>IFERROR(__xludf.DUMMYFUNCTION("GOOGLEFINANCE(A906,""LOW"")"),"#N/A")</f>
        <v>#N/A</v>
      </c>
      <c r="F906" s="15" t="str">
        <f t="shared" si="8"/>
        <v>#N/A</v>
      </c>
      <c r="G906" s="16" t="str">
        <f>IFERROR(__xludf.DUMMYFUNCTION("GOOGLEFINANCE(A906,""CLOSEYEST"")"),"#N/A")</f>
        <v>#N/A</v>
      </c>
      <c r="H906" s="17" t="str">
        <f t="shared" si="14"/>
        <v>#N/A</v>
      </c>
      <c r="I906" s="18" t="str">
        <f t="shared" si="9"/>
        <v>#N/A</v>
      </c>
      <c r="J906" s="19" t="str">
        <f t="shared" si="10"/>
        <v>#N/A</v>
      </c>
      <c r="K906" s="19"/>
      <c r="L906" s="19" t="str">
        <f t="shared" si="11"/>
        <v>#N/A</v>
      </c>
      <c r="M906" s="19" t="str">
        <f t="shared" si="12"/>
        <v>#N/A</v>
      </c>
      <c r="N906" s="19" t="str">
        <f t="shared" si="13"/>
        <v>#N/A</v>
      </c>
    </row>
    <row r="907" ht="24.75" customHeight="1">
      <c r="A907" s="21" t="s">
        <v>870</v>
      </c>
      <c r="B907" s="13">
        <f>IFERROR(__xludf.DUMMYFUNCTION("GOOGLEFINANCE(A907,""PRICE"")"),730.7)</f>
        <v>730.7</v>
      </c>
      <c r="C907" s="14">
        <f>IFERROR(__xludf.DUMMYFUNCTION("GOOGLEFINANCE(A907,""PRICEOPEN"")"),739.85)</f>
        <v>739.85</v>
      </c>
      <c r="D907" s="14">
        <f>IFERROR(__xludf.DUMMYFUNCTION("GOOGLEFINANCE(A907,""HIGH"")"),752.8)</f>
        <v>752.8</v>
      </c>
      <c r="E907" s="14">
        <f>IFERROR(__xludf.DUMMYFUNCTION("GOOGLEFINANCE(A907,""LOW"")"),727.2)</f>
        <v>727.2</v>
      </c>
      <c r="F907" s="15" t="str">
        <f t="shared" si="8"/>
        <v/>
      </c>
      <c r="G907" s="16">
        <f>IFERROR(__xludf.DUMMYFUNCTION("GOOGLEFINANCE(A907,""CLOSEYEST"")"),733.35)</f>
        <v>733.35</v>
      </c>
      <c r="H907" s="17" t="str">
        <f t="shared" si="14"/>
        <v/>
      </c>
      <c r="I907" s="18">
        <f t="shared" si="9"/>
        <v>737.7833333</v>
      </c>
      <c r="J907" s="19">
        <f t="shared" si="10"/>
        <v>748.3666667</v>
      </c>
      <c r="K907" s="19"/>
      <c r="L907" s="19">
        <f t="shared" si="11"/>
        <v>722.7666667</v>
      </c>
      <c r="M907" s="19">
        <f t="shared" si="12"/>
        <v>763.3833333</v>
      </c>
      <c r="N907" s="19">
        <f t="shared" si="13"/>
        <v>712.1833333</v>
      </c>
    </row>
    <row r="908" ht="24.75" customHeight="1">
      <c r="A908" s="21" t="s">
        <v>871</v>
      </c>
      <c r="B908" s="13" t="str">
        <f>IFERROR(__xludf.DUMMYFUNCTION("GOOGLEFINANCE(A908,""PRICE"")"),"#N/A")</f>
        <v>#N/A</v>
      </c>
      <c r="C908" s="14" t="str">
        <f>IFERROR(__xludf.DUMMYFUNCTION("GOOGLEFINANCE(A908,""PRICEOPEN"")"),"#N/A")</f>
        <v>#N/A</v>
      </c>
      <c r="D908" s="14" t="str">
        <f>IFERROR(__xludf.DUMMYFUNCTION("GOOGLEFINANCE(A908,""HIGH"")"),"#N/A")</f>
        <v>#N/A</v>
      </c>
      <c r="E908" s="14" t="str">
        <f>IFERROR(__xludf.DUMMYFUNCTION("GOOGLEFINANCE(A908,""LOW"")"),"#N/A")</f>
        <v>#N/A</v>
      </c>
      <c r="F908" s="15" t="str">
        <f t="shared" si="8"/>
        <v>#N/A</v>
      </c>
      <c r="G908" s="16" t="str">
        <f>IFERROR(__xludf.DUMMYFUNCTION("GOOGLEFINANCE(A908,""CLOSEYEST"")"),"#N/A")</f>
        <v>#N/A</v>
      </c>
      <c r="H908" s="17" t="str">
        <f t="shared" si="14"/>
        <v>#N/A</v>
      </c>
      <c r="I908" s="18" t="str">
        <f t="shared" si="9"/>
        <v>#N/A</v>
      </c>
      <c r="J908" s="19" t="str">
        <f t="shared" si="10"/>
        <v>#N/A</v>
      </c>
      <c r="K908" s="19"/>
      <c r="L908" s="19" t="str">
        <f t="shared" si="11"/>
        <v>#N/A</v>
      </c>
      <c r="M908" s="19" t="str">
        <f t="shared" si="12"/>
        <v>#N/A</v>
      </c>
      <c r="N908" s="19" t="str">
        <f t="shared" si="13"/>
        <v>#N/A</v>
      </c>
    </row>
    <row r="909" ht="24.75" customHeight="1">
      <c r="A909" s="21" t="s">
        <v>872</v>
      </c>
      <c r="B909" s="13">
        <f>IFERROR(__xludf.DUMMYFUNCTION("GOOGLEFINANCE(A909,""PRICE"")"),5.4)</f>
        <v>5.4</v>
      </c>
      <c r="C909" s="14">
        <f>IFERROR(__xludf.DUMMYFUNCTION("GOOGLEFINANCE(A909,""PRICEOPEN"")"),5.4)</f>
        <v>5.4</v>
      </c>
      <c r="D909" s="14">
        <f>IFERROR(__xludf.DUMMYFUNCTION("GOOGLEFINANCE(A909,""HIGH"")"),5.4)</f>
        <v>5.4</v>
      </c>
      <c r="E909" s="14">
        <f>IFERROR(__xludf.DUMMYFUNCTION("GOOGLEFINANCE(A909,""LOW"")"),5.3)</f>
        <v>5.3</v>
      </c>
      <c r="F909" s="15" t="str">
        <f t="shared" si="8"/>
        <v>SELL</v>
      </c>
      <c r="G909" s="16">
        <f>IFERROR(__xludf.DUMMYFUNCTION("GOOGLEFINANCE(A909,""CLOSEYEST"")"),5.5)</f>
        <v>5.5</v>
      </c>
      <c r="H909" s="17" t="str">
        <f t="shared" si="14"/>
        <v>GAP DOWN</v>
      </c>
      <c r="I909" s="18">
        <f t="shared" si="9"/>
        <v>5.4</v>
      </c>
      <c r="J909" s="19">
        <f t="shared" si="10"/>
        <v>5.5</v>
      </c>
      <c r="K909" s="19"/>
      <c r="L909" s="19">
        <f t="shared" si="11"/>
        <v>5.4</v>
      </c>
      <c r="M909" s="19">
        <f t="shared" si="12"/>
        <v>5.5</v>
      </c>
      <c r="N909" s="19">
        <f t="shared" si="13"/>
        <v>5.3</v>
      </c>
    </row>
    <row r="910" ht="24.75" customHeight="1">
      <c r="A910" s="21" t="s">
        <v>873</v>
      </c>
      <c r="B910" s="13">
        <f>IFERROR(__xludf.DUMMYFUNCTION("GOOGLEFINANCE(A910,""PRICE"")"),523.9)</f>
        <v>523.9</v>
      </c>
      <c r="C910" s="14">
        <f>IFERROR(__xludf.DUMMYFUNCTION("GOOGLEFINANCE(A910,""PRICEOPEN"")"),503.45)</f>
        <v>503.45</v>
      </c>
      <c r="D910" s="14">
        <f>IFERROR(__xludf.DUMMYFUNCTION("GOOGLEFINANCE(A910,""HIGH"")"),525.4)</f>
        <v>525.4</v>
      </c>
      <c r="E910" s="14">
        <f>IFERROR(__xludf.DUMMYFUNCTION("GOOGLEFINANCE(A910,""LOW"")"),502.1)</f>
        <v>502.1</v>
      </c>
      <c r="F910" s="15" t="str">
        <f t="shared" si="8"/>
        <v/>
      </c>
      <c r="G910" s="16">
        <f>IFERROR(__xludf.DUMMYFUNCTION("GOOGLEFINANCE(A910,""CLOSEYEST"")"),503.8)</f>
        <v>503.8</v>
      </c>
      <c r="H910" s="17" t="str">
        <f t="shared" si="14"/>
        <v/>
      </c>
      <c r="I910" s="18">
        <f t="shared" si="9"/>
        <v>510.4333333</v>
      </c>
      <c r="J910" s="19">
        <f t="shared" si="10"/>
        <v>518.7666667</v>
      </c>
      <c r="K910" s="19"/>
      <c r="L910" s="19">
        <f t="shared" si="11"/>
        <v>495.4666667</v>
      </c>
      <c r="M910" s="19">
        <f t="shared" si="12"/>
        <v>533.7333333</v>
      </c>
      <c r="N910" s="19">
        <f t="shared" si="13"/>
        <v>487.1333333</v>
      </c>
    </row>
    <row r="911" ht="24.75" customHeight="1">
      <c r="A911" s="21" t="s">
        <v>874</v>
      </c>
      <c r="B911" s="13">
        <f>IFERROR(__xludf.DUMMYFUNCTION("GOOGLEFINANCE(A911,""PRICE"")"),308.1)</f>
        <v>308.1</v>
      </c>
      <c r="C911" s="14">
        <f>IFERROR(__xludf.DUMMYFUNCTION("GOOGLEFINANCE(A911,""PRICEOPEN"")"),301.8)</f>
        <v>301.8</v>
      </c>
      <c r="D911" s="14">
        <f>IFERROR(__xludf.DUMMYFUNCTION("GOOGLEFINANCE(A911,""HIGH"")"),310.55)</f>
        <v>310.55</v>
      </c>
      <c r="E911" s="14">
        <f>IFERROR(__xludf.DUMMYFUNCTION("GOOGLEFINANCE(A911,""LOW"")"),301.8)</f>
        <v>301.8</v>
      </c>
      <c r="F911" s="15" t="str">
        <f t="shared" si="8"/>
        <v>BUY</v>
      </c>
      <c r="G911" s="16">
        <f>IFERROR(__xludf.DUMMYFUNCTION("GOOGLEFINANCE(A911,""CLOSEYEST"")"),300.95)</f>
        <v>300.95</v>
      </c>
      <c r="H911" s="17" t="str">
        <f t="shared" si="14"/>
        <v/>
      </c>
      <c r="I911" s="18">
        <f t="shared" si="9"/>
        <v>304.4333333</v>
      </c>
      <c r="J911" s="19">
        <f t="shared" si="10"/>
        <v>307.0666667</v>
      </c>
      <c r="K911" s="19"/>
      <c r="L911" s="19">
        <f t="shared" si="11"/>
        <v>298.3166667</v>
      </c>
      <c r="M911" s="19">
        <f t="shared" si="12"/>
        <v>313.1833333</v>
      </c>
      <c r="N911" s="19">
        <f t="shared" si="13"/>
        <v>295.6833333</v>
      </c>
    </row>
    <row r="912" ht="24.75" customHeight="1">
      <c r="A912" s="21" t="s">
        <v>875</v>
      </c>
      <c r="B912" s="13">
        <f>IFERROR(__xludf.DUMMYFUNCTION("GOOGLEFINANCE(A912,""PRICE"")"),183.0)</f>
        <v>183</v>
      </c>
      <c r="C912" s="14">
        <f>IFERROR(__xludf.DUMMYFUNCTION("GOOGLEFINANCE(A912,""PRICEOPEN"")"),175.62)</f>
        <v>175.62</v>
      </c>
      <c r="D912" s="14">
        <f>IFERROR(__xludf.DUMMYFUNCTION("GOOGLEFINANCE(A912,""HIGH"")"),184.0)</f>
        <v>184</v>
      </c>
      <c r="E912" s="14">
        <f>IFERROR(__xludf.DUMMYFUNCTION("GOOGLEFINANCE(A912,""LOW"")"),174.62)</f>
        <v>174.62</v>
      </c>
      <c r="F912" s="15" t="str">
        <f t="shared" si="8"/>
        <v/>
      </c>
      <c r="G912" s="16">
        <f>IFERROR(__xludf.DUMMYFUNCTION("GOOGLEFINANCE(A912,""CLOSEYEST"")"),175.62)</f>
        <v>175.62</v>
      </c>
      <c r="H912" s="17" t="str">
        <f t="shared" si="14"/>
        <v/>
      </c>
      <c r="I912" s="18">
        <f t="shared" si="9"/>
        <v>178.08</v>
      </c>
      <c r="J912" s="19">
        <f t="shared" si="10"/>
        <v>181.54</v>
      </c>
      <c r="K912" s="19"/>
      <c r="L912" s="19">
        <f t="shared" si="11"/>
        <v>172.16</v>
      </c>
      <c r="M912" s="19">
        <f t="shared" si="12"/>
        <v>187.46</v>
      </c>
      <c r="N912" s="19">
        <f t="shared" si="13"/>
        <v>168.7</v>
      </c>
    </row>
    <row r="913" ht="24.75" customHeight="1">
      <c r="A913" s="21" t="s">
        <v>876</v>
      </c>
      <c r="B913" s="13">
        <f>IFERROR(__xludf.DUMMYFUNCTION("GOOGLEFINANCE(A913,""PRICE"")"),487.9)</f>
        <v>487.9</v>
      </c>
      <c r="C913" s="14">
        <f>IFERROR(__xludf.DUMMYFUNCTION("GOOGLEFINANCE(A913,""PRICEOPEN"")"),469.7)</f>
        <v>469.7</v>
      </c>
      <c r="D913" s="14">
        <f>IFERROR(__xludf.DUMMYFUNCTION("GOOGLEFINANCE(A913,""HIGH"")"),487.9)</f>
        <v>487.9</v>
      </c>
      <c r="E913" s="14">
        <f>IFERROR(__xludf.DUMMYFUNCTION("GOOGLEFINANCE(A913,""LOW"")"),464.1)</f>
        <v>464.1</v>
      </c>
      <c r="F913" s="15" t="str">
        <f t="shared" si="8"/>
        <v/>
      </c>
      <c r="G913" s="16">
        <f>IFERROR(__xludf.DUMMYFUNCTION("GOOGLEFINANCE(A913,""CLOSEYEST"")"),465.65)</f>
        <v>465.65</v>
      </c>
      <c r="H913" s="17" t="str">
        <f t="shared" si="14"/>
        <v/>
      </c>
      <c r="I913" s="18">
        <f t="shared" si="9"/>
        <v>472.55</v>
      </c>
      <c r="J913" s="19">
        <f t="shared" si="10"/>
        <v>481</v>
      </c>
      <c r="K913" s="19"/>
      <c r="L913" s="19">
        <f t="shared" si="11"/>
        <v>457.2</v>
      </c>
      <c r="M913" s="19">
        <f t="shared" si="12"/>
        <v>496.35</v>
      </c>
      <c r="N913" s="19">
        <f t="shared" si="13"/>
        <v>448.75</v>
      </c>
    </row>
    <row r="914" ht="24.75" customHeight="1">
      <c r="A914" s="21" t="s">
        <v>877</v>
      </c>
      <c r="B914" s="13">
        <f>IFERROR(__xludf.DUMMYFUNCTION("GOOGLEFINANCE(A914,""PRICE"")"),849.3)</f>
        <v>849.3</v>
      </c>
      <c r="C914" s="14">
        <f>IFERROR(__xludf.DUMMYFUNCTION("GOOGLEFINANCE(A914,""PRICEOPEN"")"),864.0)</f>
        <v>864</v>
      </c>
      <c r="D914" s="14">
        <f>IFERROR(__xludf.DUMMYFUNCTION("GOOGLEFINANCE(A914,""HIGH"")"),869.55)</f>
        <v>869.55</v>
      </c>
      <c r="E914" s="14">
        <f>IFERROR(__xludf.DUMMYFUNCTION("GOOGLEFINANCE(A914,""LOW"")"),835.55)</f>
        <v>835.55</v>
      </c>
      <c r="F914" s="15" t="str">
        <f t="shared" si="8"/>
        <v/>
      </c>
      <c r="G914" s="16">
        <f>IFERROR(__xludf.DUMMYFUNCTION("GOOGLEFINANCE(A914,""CLOSEYEST"")"),859.85)</f>
        <v>859.85</v>
      </c>
      <c r="H914" s="17" t="str">
        <f t="shared" si="14"/>
        <v/>
      </c>
      <c r="I914" s="18">
        <f t="shared" si="9"/>
        <v>854.9833333</v>
      </c>
      <c r="J914" s="19">
        <f t="shared" si="10"/>
        <v>874.4166667</v>
      </c>
      <c r="K914" s="19"/>
      <c r="L914" s="19">
        <f t="shared" si="11"/>
        <v>840.4166667</v>
      </c>
      <c r="M914" s="19">
        <f t="shared" si="12"/>
        <v>888.9833333</v>
      </c>
      <c r="N914" s="19">
        <f t="shared" si="13"/>
        <v>820.9833333</v>
      </c>
    </row>
    <row r="915" ht="24.75" customHeight="1">
      <c r="A915" s="21" t="s">
        <v>878</v>
      </c>
      <c r="B915" s="13">
        <f>IFERROR(__xludf.DUMMYFUNCTION("GOOGLEFINANCE(A915,""PRICE"")"),19.69)</f>
        <v>19.69</v>
      </c>
      <c r="C915" s="14">
        <f>IFERROR(__xludf.DUMMYFUNCTION("GOOGLEFINANCE(A915,""PRICEOPEN"")"),19.57)</f>
        <v>19.57</v>
      </c>
      <c r="D915" s="14">
        <f>IFERROR(__xludf.DUMMYFUNCTION("GOOGLEFINANCE(A915,""HIGH"")"),19.88)</f>
        <v>19.88</v>
      </c>
      <c r="E915" s="14">
        <f>IFERROR(__xludf.DUMMYFUNCTION("GOOGLEFINANCE(A915,""LOW"")"),19.56)</f>
        <v>19.56</v>
      </c>
      <c r="F915" s="15" t="str">
        <f t="shared" si="8"/>
        <v/>
      </c>
      <c r="G915" s="16">
        <f>IFERROR(__xludf.DUMMYFUNCTION("GOOGLEFINANCE(A915,""CLOSEYEST"")"),19.48)</f>
        <v>19.48</v>
      </c>
      <c r="H915" s="17" t="str">
        <f t="shared" si="14"/>
        <v/>
      </c>
      <c r="I915" s="18">
        <f t="shared" si="9"/>
        <v>19.64</v>
      </c>
      <c r="J915" s="19">
        <f t="shared" si="10"/>
        <v>19.72</v>
      </c>
      <c r="K915" s="19"/>
      <c r="L915" s="19">
        <f t="shared" si="11"/>
        <v>19.4</v>
      </c>
      <c r="M915" s="19">
        <f t="shared" si="12"/>
        <v>19.96</v>
      </c>
      <c r="N915" s="19">
        <f t="shared" si="13"/>
        <v>19.32</v>
      </c>
    </row>
    <row r="916" ht="24.75" customHeight="1">
      <c r="A916" s="21" t="s">
        <v>879</v>
      </c>
      <c r="B916" s="13">
        <f>IFERROR(__xludf.DUMMYFUNCTION("GOOGLEFINANCE(A916,""PRICE"")"),865.0)</f>
        <v>865</v>
      </c>
      <c r="C916" s="14">
        <f>IFERROR(__xludf.DUMMYFUNCTION("GOOGLEFINANCE(A916,""PRICEOPEN"")"),850.0)</f>
        <v>850</v>
      </c>
      <c r="D916" s="14">
        <f>IFERROR(__xludf.DUMMYFUNCTION("GOOGLEFINANCE(A916,""HIGH"")"),865.0)</f>
        <v>865</v>
      </c>
      <c r="E916" s="14">
        <f>IFERROR(__xludf.DUMMYFUNCTION("GOOGLEFINANCE(A916,""LOW"")"),839.85)</f>
        <v>839.85</v>
      </c>
      <c r="F916" s="15" t="str">
        <f t="shared" si="8"/>
        <v/>
      </c>
      <c r="G916" s="16">
        <f>IFERROR(__xludf.DUMMYFUNCTION("GOOGLEFINANCE(A916,""CLOSEYEST"")"),843.55)</f>
        <v>843.55</v>
      </c>
      <c r="H916" s="17" t="str">
        <f t="shared" si="14"/>
        <v/>
      </c>
      <c r="I916" s="18">
        <f t="shared" si="9"/>
        <v>849.4666667</v>
      </c>
      <c r="J916" s="19">
        <f t="shared" si="10"/>
        <v>859.0833333</v>
      </c>
      <c r="K916" s="19"/>
      <c r="L916" s="19">
        <f t="shared" si="11"/>
        <v>833.9333333</v>
      </c>
      <c r="M916" s="19">
        <f t="shared" si="12"/>
        <v>874.6166667</v>
      </c>
      <c r="N916" s="19">
        <f t="shared" si="13"/>
        <v>824.3166667</v>
      </c>
    </row>
    <row r="917" ht="24.75" customHeight="1">
      <c r="A917" s="21" t="s">
        <v>880</v>
      </c>
      <c r="B917" s="13" t="str">
        <f>IFERROR(__xludf.DUMMYFUNCTION("GOOGLEFINANCE(A917,""PRICE"")"),"#N/A")</f>
        <v>#N/A</v>
      </c>
      <c r="C917" s="14" t="str">
        <f>IFERROR(__xludf.DUMMYFUNCTION("GOOGLEFINANCE(A917,""PRICEOPEN"")"),"#N/A")</f>
        <v>#N/A</v>
      </c>
      <c r="D917" s="14" t="str">
        <f>IFERROR(__xludf.DUMMYFUNCTION("GOOGLEFINANCE(A917,""HIGH"")"),"#N/A")</f>
        <v>#N/A</v>
      </c>
      <c r="E917" s="14" t="str">
        <f>IFERROR(__xludf.DUMMYFUNCTION("GOOGLEFINANCE(A917,""LOW"")"),"#N/A")</f>
        <v>#N/A</v>
      </c>
      <c r="F917" s="15" t="str">
        <f t="shared" si="8"/>
        <v>#N/A</v>
      </c>
      <c r="G917" s="16" t="str">
        <f>IFERROR(__xludf.DUMMYFUNCTION("GOOGLEFINANCE(A917,""CLOSEYEST"")"),"#N/A")</f>
        <v>#N/A</v>
      </c>
      <c r="H917" s="17" t="str">
        <f t="shared" si="14"/>
        <v>#N/A</v>
      </c>
      <c r="I917" s="18" t="str">
        <f t="shared" si="9"/>
        <v>#N/A</v>
      </c>
      <c r="J917" s="19" t="str">
        <f t="shared" si="10"/>
        <v>#N/A</v>
      </c>
      <c r="K917" s="19"/>
      <c r="L917" s="19" t="str">
        <f t="shared" si="11"/>
        <v>#N/A</v>
      </c>
      <c r="M917" s="19" t="str">
        <f t="shared" si="12"/>
        <v>#N/A</v>
      </c>
      <c r="N917" s="19" t="str">
        <f t="shared" si="13"/>
        <v>#N/A</v>
      </c>
    </row>
    <row r="918" ht="24.75" customHeight="1">
      <c r="A918" s="21" t="s">
        <v>881</v>
      </c>
      <c r="B918" s="13">
        <f>IFERROR(__xludf.DUMMYFUNCTION("GOOGLEFINANCE(A918,""PRICE"")"),735.75)</f>
        <v>735.75</v>
      </c>
      <c r="C918" s="14">
        <f>IFERROR(__xludf.DUMMYFUNCTION("GOOGLEFINANCE(A918,""PRICEOPEN"")"),728.8)</f>
        <v>728.8</v>
      </c>
      <c r="D918" s="14">
        <f>IFERROR(__xludf.DUMMYFUNCTION("GOOGLEFINANCE(A918,""HIGH"")"),738.9)</f>
        <v>738.9</v>
      </c>
      <c r="E918" s="14">
        <f>IFERROR(__xludf.DUMMYFUNCTION("GOOGLEFINANCE(A918,""LOW"")"),728.8)</f>
        <v>728.8</v>
      </c>
      <c r="F918" s="15" t="str">
        <f t="shared" si="8"/>
        <v>BUY</v>
      </c>
      <c r="G918" s="16">
        <f>IFERROR(__xludf.DUMMYFUNCTION("GOOGLEFINANCE(A918,""CLOSEYEST"")"),727.45)</f>
        <v>727.45</v>
      </c>
      <c r="H918" s="17" t="str">
        <f t="shared" si="14"/>
        <v/>
      </c>
      <c r="I918" s="18">
        <f t="shared" si="9"/>
        <v>731.7166667</v>
      </c>
      <c r="J918" s="19">
        <f t="shared" si="10"/>
        <v>734.6333333</v>
      </c>
      <c r="K918" s="19"/>
      <c r="L918" s="19">
        <f t="shared" si="11"/>
        <v>724.5333333</v>
      </c>
      <c r="M918" s="19">
        <f t="shared" si="12"/>
        <v>741.8166667</v>
      </c>
      <c r="N918" s="19">
        <f t="shared" si="13"/>
        <v>721.6166667</v>
      </c>
    </row>
    <row r="919" ht="24.75" customHeight="1">
      <c r="A919" s="21" t="s">
        <v>882</v>
      </c>
      <c r="B919" s="13">
        <f>IFERROR(__xludf.DUMMYFUNCTION("GOOGLEFINANCE(A919,""PRICE"")"),1007.5)</f>
        <v>1007.5</v>
      </c>
      <c r="C919" s="14">
        <f>IFERROR(__xludf.DUMMYFUNCTION("GOOGLEFINANCE(A919,""PRICEOPEN"")"),1010.95)</f>
        <v>1010.95</v>
      </c>
      <c r="D919" s="14">
        <f>IFERROR(__xludf.DUMMYFUNCTION("GOOGLEFINANCE(A919,""HIGH"")"),1020.0)</f>
        <v>1020</v>
      </c>
      <c r="E919" s="14">
        <f>IFERROR(__xludf.DUMMYFUNCTION("GOOGLEFINANCE(A919,""LOW"")"),992.4)</f>
        <v>992.4</v>
      </c>
      <c r="F919" s="15" t="str">
        <f t="shared" si="8"/>
        <v/>
      </c>
      <c r="G919" s="16">
        <f>IFERROR(__xludf.DUMMYFUNCTION("GOOGLEFINANCE(A919,""CLOSEYEST"")"),1003.35)</f>
        <v>1003.35</v>
      </c>
      <c r="H919" s="17" t="str">
        <f t="shared" si="14"/>
        <v/>
      </c>
      <c r="I919" s="18">
        <f t="shared" si="9"/>
        <v>1005.25</v>
      </c>
      <c r="J919" s="19">
        <f t="shared" si="10"/>
        <v>1018.1</v>
      </c>
      <c r="K919" s="19"/>
      <c r="L919" s="19">
        <f t="shared" si="11"/>
        <v>990.5</v>
      </c>
      <c r="M919" s="19">
        <f t="shared" si="12"/>
        <v>1032.85</v>
      </c>
      <c r="N919" s="19">
        <f t="shared" si="13"/>
        <v>977.65</v>
      </c>
    </row>
    <row r="920" ht="24.75" customHeight="1">
      <c r="A920" s="21" t="s">
        <v>883</v>
      </c>
      <c r="B920" s="13">
        <f>IFERROR(__xludf.DUMMYFUNCTION("GOOGLEFINANCE(A920,""PRICE"")"),503.75)</f>
        <v>503.75</v>
      </c>
      <c r="C920" s="14">
        <f>IFERROR(__xludf.DUMMYFUNCTION("GOOGLEFINANCE(A920,""PRICEOPEN"")"),504.0)</f>
        <v>504</v>
      </c>
      <c r="D920" s="14">
        <f>IFERROR(__xludf.DUMMYFUNCTION("GOOGLEFINANCE(A920,""HIGH"")"),515.95)</f>
        <v>515.95</v>
      </c>
      <c r="E920" s="14">
        <f>IFERROR(__xludf.DUMMYFUNCTION("GOOGLEFINANCE(A920,""LOW"")"),501.0)</f>
        <v>501</v>
      </c>
      <c r="F920" s="15" t="str">
        <f t="shared" si="8"/>
        <v/>
      </c>
      <c r="G920" s="16">
        <f>IFERROR(__xludf.DUMMYFUNCTION("GOOGLEFINANCE(A920,""CLOSEYEST"")"),510.8)</f>
        <v>510.8</v>
      </c>
      <c r="H920" s="17" t="str">
        <f t="shared" si="14"/>
        <v>GAP DOWN</v>
      </c>
      <c r="I920" s="18">
        <f t="shared" si="9"/>
        <v>509.25</v>
      </c>
      <c r="J920" s="19">
        <f t="shared" si="10"/>
        <v>517.5</v>
      </c>
      <c r="K920" s="19"/>
      <c r="L920" s="19">
        <f t="shared" si="11"/>
        <v>502.55</v>
      </c>
      <c r="M920" s="19">
        <f t="shared" si="12"/>
        <v>524.2</v>
      </c>
      <c r="N920" s="19">
        <f t="shared" si="13"/>
        <v>494.3</v>
      </c>
    </row>
    <row r="921" ht="24.75" customHeight="1">
      <c r="A921" s="21" t="s">
        <v>884</v>
      </c>
      <c r="B921" s="13">
        <f>IFERROR(__xludf.DUMMYFUNCTION("GOOGLEFINANCE(A921,""PRICE"")"),2780.0)</f>
        <v>2780</v>
      </c>
      <c r="C921" s="14">
        <f>IFERROR(__xludf.DUMMYFUNCTION("GOOGLEFINANCE(A921,""PRICEOPEN"")"),2759.0)</f>
        <v>2759</v>
      </c>
      <c r="D921" s="14">
        <f>IFERROR(__xludf.DUMMYFUNCTION("GOOGLEFINANCE(A921,""HIGH"")"),2780.0)</f>
        <v>2780</v>
      </c>
      <c r="E921" s="14">
        <f>IFERROR(__xludf.DUMMYFUNCTION("GOOGLEFINANCE(A921,""LOW"")"),2732.2)</f>
        <v>2732.2</v>
      </c>
      <c r="F921" s="15" t="str">
        <f t="shared" si="8"/>
        <v/>
      </c>
      <c r="G921" s="16">
        <f>IFERROR(__xludf.DUMMYFUNCTION("GOOGLEFINANCE(A921,""CLOSEYEST"")"),2739.9)</f>
        <v>2739.9</v>
      </c>
      <c r="H921" s="17" t="str">
        <f t="shared" si="14"/>
        <v/>
      </c>
      <c r="I921" s="18">
        <f t="shared" si="9"/>
        <v>2750.7</v>
      </c>
      <c r="J921" s="19">
        <f t="shared" si="10"/>
        <v>2769.2</v>
      </c>
      <c r="K921" s="19"/>
      <c r="L921" s="19">
        <f t="shared" si="11"/>
        <v>2721.4</v>
      </c>
      <c r="M921" s="19">
        <f t="shared" si="12"/>
        <v>2798.5</v>
      </c>
      <c r="N921" s="19">
        <f t="shared" si="13"/>
        <v>2702.9</v>
      </c>
    </row>
    <row r="922" ht="24.75" customHeight="1">
      <c r="A922" s="21" t="s">
        <v>885</v>
      </c>
      <c r="B922" s="13">
        <f>IFERROR(__xludf.DUMMYFUNCTION("GOOGLEFINANCE(A922,""PRICE"")"),256.5)</f>
        <v>256.5</v>
      </c>
      <c r="C922" s="14">
        <f>IFERROR(__xludf.DUMMYFUNCTION("GOOGLEFINANCE(A922,""PRICEOPEN"")"),258.55)</f>
        <v>258.55</v>
      </c>
      <c r="D922" s="14">
        <f>IFERROR(__xludf.DUMMYFUNCTION("GOOGLEFINANCE(A922,""HIGH"")"),262.2)</f>
        <v>262.2</v>
      </c>
      <c r="E922" s="14">
        <f>IFERROR(__xludf.DUMMYFUNCTION("GOOGLEFINANCE(A922,""LOW"")"),255.25)</f>
        <v>255.25</v>
      </c>
      <c r="F922" s="15" t="str">
        <f t="shared" si="8"/>
        <v/>
      </c>
      <c r="G922" s="16">
        <f>IFERROR(__xludf.DUMMYFUNCTION("GOOGLEFINANCE(A922,""CLOSEYEST"")"),258.55)</f>
        <v>258.55</v>
      </c>
      <c r="H922" s="17" t="str">
        <f t="shared" si="14"/>
        <v/>
      </c>
      <c r="I922" s="18">
        <f t="shared" si="9"/>
        <v>258.6666667</v>
      </c>
      <c r="J922" s="19">
        <f t="shared" si="10"/>
        <v>262.0833333</v>
      </c>
      <c r="K922" s="19"/>
      <c r="L922" s="19">
        <f t="shared" si="11"/>
        <v>255.1333333</v>
      </c>
      <c r="M922" s="19">
        <f t="shared" si="12"/>
        <v>265.6166667</v>
      </c>
      <c r="N922" s="19">
        <f t="shared" si="13"/>
        <v>251.7166667</v>
      </c>
    </row>
    <row r="923" ht="24.75" customHeight="1">
      <c r="A923" s="21" t="s">
        <v>886</v>
      </c>
      <c r="B923" s="13">
        <f>IFERROR(__xludf.DUMMYFUNCTION("GOOGLEFINANCE(A923,""PRICE"")"),99.85)</f>
        <v>99.85</v>
      </c>
      <c r="C923" s="14">
        <f>IFERROR(__xludf.DUMMYFUNCTION("GOOGLEFINANCE(A923,""PRICEOPEN"")"),99.3)</f>
        <v>99.3</v>
      </c>
      <c r="D923" s="14">
        <f>IFERROR(__xludf.DUMMYFUNCTION("GOOGLEFINANCE(A923,""HIGH"")"),100.41)</f>
        <v>100.41</v>
      </c>
      <c r="E923" s="14">
        <f>IFERROR(__xludf.DUMMYFUNCTION("GOOGLEFINANCE(A923,""LOW"")"),98.1)</f>
        <v>98.1</v>
      </c>
      <c r="F923" s="15" t="str">
        <f t="shared" si="8"/>
        <v/>
      </c>
      <c r="G923" s="16">
        <f>IFERROR(__xludf.DUMMYFUNCTION("GOOGLEFINANCE(A923,""CLOSEYEST"")"),100.1)</f>
        <v>100.1</v>
      </c>
      <c r="H923" s="17" t="str">
        <f t="shared" si="14"/>
        <v/>
      </c>
      <c r="I923" s="18">
        <f t="shared" si="9"/>
        <v>99.53666667</v>
      </c>
      <c r="J923" s="19">
        <f t="shared" si="10"/>
        <v>100.9733333</v>
      </c>
      <c r="K923" s="19"/>
      <c r="L923" s="19">
        <f t="shared" si="11"/>
        <v>98.66333333</v>
      </c>
      <c r="M923" s="19">
        <f t="shared" si="12"/>
        <v>101.8466667</v>
      </c>
      <c r="N923" s="19">
        <f t="shared" si="13"/>
        <v>97.22666667</v>
      </c>
    </row>
    <row r="924" ht="24.75" customHeight="1">
      <c r="A924" s="21" t="s">
        <v>887</v>
      </c>
      <c r="B924" s="13">
        <f>IFERROR(__xludf.DUMMYFUNCTION("GOOGLEFINANCE(A924,""PRICE"")"),86.5)</f>
        <v>86.5</v>
      </c>
      <c r="C924" s="14">
        <f>IFERROR(__xludf.DUMMYFUNCTION("GOOGLEFINANCE(A924,""PRICEOPEN"")"),85.02)</f>
        <v>85.02</v>
      </c>
      <c r="D924" s="14">
        <f>IFERROR(__xludf.DUMMYFUNCTION("GOOGLEFINANCE(A924,""HIGH"")"),87.84)</f>
        <v>87.84</v>
      </c>
      <c r="E924" s="14">
        <f>IFERROR(__xludf.DUMMYFUNCTION("GOOGLEFINANCE(A924,""LOW"")"),85.02)</f>
        <v>85.02</v>
      </c>
      <c r="F924" s="15" t="str">
        <f t="shared" si="8"/>
        <v>BUY</v>
      </c>
      <c r="G924" s="16">
        <f>IFERROR(__xludf.DUMMYFUNCTION("GOOGLEFINANCE(A924,""CLOSEYEST"")"),85.7)</f>
        <v>85.7</v>
      </c>
      <c r="H924" s="17" t="str">
        <f t="shared" si="14"/>
        <v/>
      </c>
      <c r="I924" s="18">
        <f t="shared" si="9"/>
        <v>86.18666667</v>
      </c>
      <c r="J924" s="19">
        <f t="shared" si="10"/>
        <v>87.35333333</v>
      </c>
      <c r="K924" s="19"/>
      <c r="L924" s="19">
        <f t="shared" si="11"/>
        <v>84.53333333</v>
      </c>
      <c r="M924" s="19">
        <f t="shared" si="12"/>
        <v>89.00666667</v>
      </c>
      <c r="N924" s="19">
        <f t="shared" si="13"/>
        <v>83.36666667</v>
      </c>
    </row>
    <row r="925" ht="24.75" customHeight="1">
      <c r="A925" s="21" t="s">
        <v>888</v>
      </c>
      <c r="B925" s="13">
        <f>IFERROR(__xludf.DUMMYFUNCTION("GOOGLEFINANCE(A925,""PRICE"")"),274.0)</f>
        <v>274</v>
      </c>
      <c r="C925" s="14">
        <f>IFERROR(__xludf.DUMMYFUNCTION("GOOGLEFINANCE(A925,""PRICEOPEN"")"),268.45)</f>
        <v>268.45</v>
      </c>
      <c r="D925" s="14">
        <f>IFERROR(__xludf.DUMMYFUNCTION("GOOGLEFINANCE(A925,""HIGH"")"),277.1)</f>
        <v>277.1</v>
      </c>
      <c r="E925" s="14">
        <f>IFERROR(__xludf.DUMMYFUNCTION("GOOGLEFINANCE(A925,""LOW"")"),263.85)</f>
        <v>263.85</v>
      </c>
      <c r="F925" s="15" t="str">
        <f t="shared" si="8"/>
        <v/>
      </c>
      <c r="G925" s="16">
        <f>IFERROR(__xludf.DUMMYFUNCTION("GOOGLEFINANCE(A925,""CLOSEYEST"")"),265.9)</f>
        <v>265.9</v>
      </c>
      <c r="H925" s="17" t="str">
        <f t="shared" si="14"/>
        <v/>
      </c>
      <c r="I925" s="18">
        <f t="shared" si="9"/>
        <v>268.95</v>
      </c>
      <c r="J925" s="19">
        <f t="shared" si="10"/>
        <v>274.05</v>
      </c>
      <c r="K925" s="19"/>
      <c r="L925" s="19">
        <f t="shared" si="11"/>
        <v>260.8</v>
      </c>
      <c r="M925" s="19">
        <f t="shared" si="12"/>
        <v>282.2</v>
      </c>
      <c r="N925" s="19">
        <f t="shared" si="13"/>
        <v>255.7</v>
      </c>
    </row>
    <row r="926" ht="24.75" customHeight="1">
      <c r="A926" s="21" t="s">
        <v>889</v>
      </c>
      <c r="B926" s="13">
        <f>IFERROR(__xludf.DUMMYFUNCTION("GOOGLEFINANCE(A926,""PRICE"")"),648.0)</f>
        <v>648</v>
      </c>
      <c r="C926" s="14">
        <f>IFERROR(__xludf.DUMMYFUNCTION("GOOGLEFINANCE(A926,""PRICEOPEN"")"),645.65)</f>
        <v>645.65</v>
      </c>
      <c r="D926" s="14">
        <f>IFERROR(__xludf.DUMMYFUNCTION("GOOGLEFINANCE(A926,""HIGH"")"),648.0)</f>
        <v>648</v>
      </c>
      <c r="E926" s="14">
        <f>IFERROR(__xludf.DUMMYFUNCTION("GOOGLEFINANCE(A926,""LOW"")"),637.3)</f>
        <v>637.3</v>
      </c>
      <c r="F926" s="15" t="str">
        <f t="shared" si="8"/>
        <v/>
      </c>
      <c r="G926" s="16">
        <f>IFERROR(__xludf.DUMMYFUNCTION("GOOGLEFINANCE(A926,""CLOSEYEST"")"),644.45)</f>
        <v>644.45</v>
      </c>
      <c r="H926" s="17" t="str">
        <f t="shared" si="14"/>
        <v/>
      </c>
      <c r="I926" s="18">
        <f t="shared" si="9"/>
        <v>643.25</v>
      </c>
      <c r="J926" s="19">
        <f t="shared" si="10"/>
        <v>649.2</v>
      </c>
      <c r="K926" s="19"/>
      <c r="L926" s="19">
        <f t="shared" si="11"/>
        <v>638.5</v>
      </c>
      <c r="M926" s="19">
        <f t="shared" si="12"/>
        <v>653.95</v>
      </c>
      <c r="N926" s="19">
        <f t="shared" si="13"/>
        <v>632.55</v>
      </c>
    </row>
    <row r="927" ht="24.75" customHeight="1">
      <c r="A927" s="21" t="s">
        <v>890</v>
      </c>
      <c r="B927" s="13">
        <f>IFERROR(__xludf.DUMMYFUNCTION("GOOGLEFINANCE(A927,""PRICE"")"),185.45)</f>
        <v>185.45</v>
      </c>
      <c r="C927" s="14">
        <f>IFERROR(__xludf.DUMMYFUNCTION("GOOGLEFINANCE(A927,""PRICEOPEN"")"),181.57)</f>
        <v>181.57</v>
      </c>
      <c r="D927" s="14">
        <f>IFERROR(__xludf.DUMMYFUNCTION("GOOGLEFINANCE(A927,""HIGH"")"),185.45)</f>
        <v>185.45</v>
      </c>
      <c r="E927" s="14">
        <f>IFERROR(__xludf.DUMMYFUNCTION("GOOGLEFINANCE(A927,""LOW"")"),181.57)</f>
        <v>181.57</v>
      </c>
      <c r="F927" s="15" t="str">
        <f t="shared" si="8"/>
        <v>BUY</v>
      </c>
      <c r="G927" s="16">
        <f>IFERROR(__xludf.DUMMYFUNCTION("GOOGLEFINANCE(A927,""CLOSEYEST"")"),181.99)</f>
        <v>181.99</v>
      </c>
      <c r="H927" s="17" t="str">
        <f t="shared" si="14"/>
        <v/>
      </c>
      <c r="I927" s="18">
        <f t="shared" si="9"/>
        <v>183.0033333</v>
      </c>
      <c r="J927" s="19">
        <f t="shared" si="10"/>
        <v>184.4366667</v>
      </c>
      <c r="K927" s="19"/>
      <c r="L927" s="19">
        <f t="shared" si="11"/>
        <v>180.5566667</v>
      </c>
      <c r="M927" s="19">
        <f t="shared" si="12"/>
        <v>186.8833333</v>
      </c>
      <c r="N927" s="19">
        <f t="shared" si="13"/>
        <v>179.1233333</v>
      </c>
    </row>
    <row r="928" ht="24.75" customHeight="1">
      <c r="A928" s="21" t="s">
        <v>891</v>
      </c>
      <c r="B928" s="13">
        <f>IFERROR(__xludf.DUMMYFUNCTION("GOOGLEFINANCE(A928,""PRICE"")"),13.39)</f>
        <v>13.39</v>
      </c>
      <c r="C928" s="14">
        <f>IFERROR(__xludf.DUMMYFUNCTION("GOOGLEFINANCE(A928,""PRICEOPEN"")"),13.12)</f>
        <v>13.12</v>
      </c>
      <c r="D928" s="14">
        <f>IFERROR(__xludf.DUMMYFUNCTION("GOOGLEFINANCE(A928,""HIGH"")"),13.64)</f>
        <v>13.64</v>
      </c>
      <c r="E928" s="14">
        <f>IFERROR(__xludf.DUMMYFUNCTION("GOOGLEFINANCE(A928,""LOW"")"),13.02)</f>
        <v>13.02</v>
      </c>
      <c r="F928" s="15" t="str">
        <f t="shared" si="8"/>
        <v/>
      </c>
      <c r="G928" s="16">
        <f>IFERROR(__xludf.DUMMYFUNCTION("GOOGLEFINANCE(A928,""CLOSEYEST"")"),12.68)</f>
        <v>12.68</v>
      </c>
      <c r="H928" s="17" t="str">
        <f t="shared" si="14"/>
        <v>GAP UP</v>
      </c>
      <c r="I928" s="18">
        <f t="shared" si="9"/>
        <v>13.11333333</v>
      </c>
      <c r="J928" s="19">
        <f t="shared" si="10"/>
        <v>13.20666667</v>
      </c>
      <c r="K928" s="19"/>
      <c r="L928" s="19">
        <f t="shared" si="11"/>
        <v>12.58666667</v>
      </c>
      <c r="M928" s="19">
        <f t="shared" si="12"/>
        <v>13.73333333</v>
      </c>
      <c r="N928" s="19">
        <f t="shared" si="13"/>
        <v>12.49333333</v>
      </c>
    </row>
    <row r="929" ht="24.75" customHeight="1">
      <c r="A929" s="21" t="s">
        <v>892</v>
      </c>
      <c r="B929" s="13">
        <f>IFERROR(__xludf.DUMMYFUNCTION("GOOGLEFINANCE(A929,""PRICE"")"),2192.8)</f>
        <v>2192.8</v>
      </c>
      <c r="C929" s="14">
        <f>IFERROR(__xludf.DUMMYFUNCTION("GOOGLEFINANCE(A929,""PRICEOPEN"")"),2204.4)</f>
        <v>2204.4</v>
      </c>
      <c r="D929" s="14">
        <f>IFERROR(__xludf.DUMMYFUNCTION("GOOGLEFINANCE(A929,""HIGH"")"),2210.4)</f>
        <v>2210.4</v>
      </c>
      <c r="E929" s="14">
        <f>IFERROR(__xludf.DUMMYFUNCTION("GOOGLEFINANCE(A929,""LOW"")"),2157.2)</f>
        <v>2157.2</v>
      </c>
      <c r="F929" s="15" t="str">
        <f t="shared" si="8"/>
        <v/>
      </c>
      <c r="G929" s="16">
        <f>IFERROR(__xludf.DUMMYFUNCTION("GOOGLEFINANCE(A929,""CLOSEYEST"")"),2192.9)</f>
        <v>2192.9</v>
      </c>
      <c r="H929" s="17" t="str">
        <f t="shared" si="14"/>
        <v/>
      </c>
      <c r="I929" s="18">
        <f t="shared" si="9"/>
        <v>2186.833333</v>
      </c>
      <c r="J929" s="19">
        <f t="shared" si="10"/>
        <v>2216.466667</v>
      </c>
      <c r="K929" s="19"/>
      <c r="L929" s="19">
        <f t="shared" si="11"/>
        <v>2163.266667</v>
      </c>
      <c r="M929" s="19">
        <f t="shared" si="12"/>
        <v>2240.033333</v>
      </c>
      <c r="N929" s="19">
        <f t="shared" si="13"/>
        <v>2133.633333</v>
      </c>
    </row>
    <row r="930" ht="24.75" customHeight="1">
      <c r="A930" s="21" t="s">
        <v>893</v>
      </c>
      <c r="B930" s="13">
        <f>IFERROR(__xludf.DUMMYFUNCTION("GOOGLEFINANCE(A930,""PRICE"")"),68.99)</f>
        <v>68.99</v>
      </c>
      <c r="C930" s="14">
        <f>IFERROR(__xludf.DUMMYFUNCTION("GOOGLEFINANCE(A930,""PRICEOPEN"")"),68.21)</f>
        <v>68.21</v>
      </c>
      <c r="D930" s="14">
        <f>IFERROR(__xludf.DUMMYFUNCTION("GOOGLEFINANCE(A930,""HIGH"")"),70.95)</f>
        <v>70.95</v>
      </c>
      <c r="E930" s="14">
        <f>IFERROR(__xludf.DUMMYFUNCTION("GOOGLEFINANCE(A930,""LOW"")"),67.5)</f>
        <v>67.5</v>
      </c>
      <c r="F930" s="15" t="str">
        <f t="shared" si="8"/>
        <v/>
      </c>
      <c r="G930" s="16">
        <f>IFERROR(__xludf.DUMMYFUNCTION("GOOGLEFINANCE(A930,""CLOSEYEST"")"),68.21)</f>
        <v>68.21</v>
      </c>
      <c r="H930" s="17" t="str">
        <f t="shared" si="14"/>
        <v/>
      </c>
      <c r="I930" s="18">
        <f t="shared" si="9"/>
        <v>68.88666667</v>
      </c>
      <c r="J930" s="19">
        <f t="shared" si="10"/>
        <v>70.27333333</v>
      </c>
      <c r="K930" s="19"/>
      <c r="L930" s="19">
        <f t="shared" si="11"/>
        <v>66.82333333</v>
      </c>
      <c r="M930" s="19">
        <f t="shared" si="12"/>
        <v>72.33666667</v>
      </c>
      <c r="N930" s="19">
        <f t="shared" si="13"/>
        <v>65.43666667</v>
      </c>
    </row>
    <row r="931" ht="24.75" customHeight="1">
      <c r="A931" s="21" t="s">
        <v>894</v>
      </c>
      <c r="B931" s="13">
        <f>IFERROR(__xludf.DUMMYFUNCTION("GOOGLEFINANCE(A931,""PRICE"")"),140.64)</f>
        <v>140.64</v>
      </c>
      <c r="C931" s="14">
        <f>IFERROR(__xludf.DUMMYFUNCTION("GOOGLEFINANCE(A931,""PRICEOPEN"")"),140.5)</f>
        <v>140.5</v>
      </c>
      <c r="D931" s="14">
        <f>IFERROR(__xludf.DUMMYFUNCTION("GOOGLEFINANCE(A931,""HIGH"")"),140.87)</f>
        <v>140.87</v>
      </c>
      <c r="E931" s="14">
        <f>IFERROR(__xludf.DUMMYFUNCTION("GOOGLEFINANCE(A931,""LOW"")"),139.01)</f>
        <v>139.01</v>
      </c>
      <c r="F931" s="15" t="str">
        <f t="shared" si="8"/>
        <v/>
      </c>
      <c r="G931" s="16">
        <f>IFERROR(__xludf.DUMMYFUNCTION("GOOGLEFINANCE(A931,""CLOSEYEST"")"),139.84)</f>
        <v>139.84</v>
      </c>
      <c r="H931" s="17" t="str">
        <f t="shared" si="14"/>
        <v/>
      </c>
      <c r="I931" s="18">
        <f t="shared" si="9"/>
        <v>139.9066667</v>
      </c>
      <c r="J931" s="19">
        <f t="shared" si="10"/>
        <v>140.8033333</v>
      </c>
      <c r="K931" s="19"/>
      <c r="L931" s="19">
        <f t="shared" si="11"/>
        <v>138.9433333</v>
      </c>
      <c r="M931" s="19">
        <f t="shared" si="12"/>
        <v>141.7666667</v>
      </c>
      <c r="N931" s="19">
        <f t="shared" si="13"/>
        <v>138.0466667</v>
      </c>
    </row>
    <row r="932" ht="24.75" customHeight="1">
      <c r="A932" s="21" t="s">
        <v>895</v>
      </c>
      <c r="B932" s="13">
        <f>IFERROR(__xludf.DUMMYFUNCTION("GOOGLEFINANCE(A932,""PRICE"")"),730.0)</f>
        <v>730</v>
      </c>
      <c r="C932" s="14">
        <f>IFERROR(__xludf.DUMMYFUNCTION("GOOGLEFINANCE(A932,""PRICEOPEN"")"),725.0)</f>
        <v>725</v>
      </c>
      <c r="D932" s="14">
        <f>IFERROR(__xludf.DUMMYFUNCTION("GOOGLEFINANCE(A932,""HIGH"")"),739.4)</f>
        <v>739.4</v>
      </c>
      <c r="E932" s="14">
        <f>IFERROR(__xludf.DUMMYFUNCTION("GOOGLEFINANCE(A932,""LOW"")"),718.65)</f>
        <v>718.65</v>
      </c>
      <c r="F932" s="15" t="str">
        <f t="shared" si="8"/>
        <v/>
      </c>
      <c r="G932" s="16">
        <f>IFERROR(__xludf.DUMMYFUNCTION("GOOGLEFINANCE(A932,""CLOSEYEST"")"),722.0)</f>
        <v>722</v>
      </c>
      <c r="H932" s="17" t="str">
        <f t="shared" si="14"/>
        <v/>
      </c>
      <c r="I932" s="18">
        <f t="shared" si="9"/>
        <v>726.6833333</v>
      </c>
      <c r="J932" s="19">
        <f t="shared" si="10"/>
        <v>734.7166667</v>
      </c>
      <c r="K932" s="19"/>
      <c r="L932" s="19">
        <f t="shared" si="11"/>
        <v>713.9666667</v>
      </c>
      <c r="M932" s="19">
        <f t="shared" si="12"/>
        <v>747.4333333</v>
      </c>
      <c r="N932" s="19">
        <f t="shared" si="13"/>
        <v>705.9333333</v>
      </c>
    </row>
    <row r="933" ht="24.75" customHeight="1">
      <c r="A933" s="21" t="s">
        <v>896</v>
      </c>
      <c r="B933" s="13">
        <f>IFERROR(__xludf.DUMMYFUNCTION("GOOGLEFINANCE(A933,""PRICE"")"),525.0)</f>
        <v>525</v>
      </c>
      <c r="C933" s="14">
        <f>IFERROR(__xludf.DUMMYFUNCTION("GOOGLEFINANCE(A933,""PRICEOPEN"")"),523.65)</f>
        <v>523.65</v>
      </c>
      <c r="D933" s="14">
        <f>IFERROR(__xludf.DUMMYFUNCTION("GOOGLEFINANCE(A933,""HIGH"")"),529.45)</f>
        <v>529.45</v>
      </c>
      <c r="E933" s="14">
        <f>IFERROR(__xludf.DUMMYFUNCTION("GOOGLEFINANCE(A933,""LOW"")"),520.2)</f>
        <v>520.2</v>
      </c>
      <c r="F933" s="15" t="str">
        <f t="shared" si="8"/>
        <v/>
      </c>
      <c r="G933" s="16">
        <f>IFERROR(__xludf.DUMMYFUNCTION("GOOGLEFINANCE(A933,""CLOSEYEST"")"),524.45)</f>
        <v>524.45</v>
      </c>
      <c r="H933" s="17" t="str">
        <f t="shared" si="14"/>
        <v/>
      </c>
      <c r="I933" s="18">
        <f t="shared" si="9"/>
        <v>524.7</v>
      </c>
      <c r="J933" s="19">
        <f t="shared" si="10"/>
        <v>529.2</v>
      </c>
      <c r="K933" s="19"/>
      <c r="L933" s="19">
        <f t="shared" si="11"/>
        <v>519.95</v>
      </c>
      <c r="M933" s="19">
        <f t="shared" si="12"/>
        <v>533.95</v>
      </c>
      <c r="N933" s="19">
        <f t="shared" si="13"/>
        <v>515.45</v>
      </c>
    </row>
    <row r="934" ht="24.75" customHeight="1">
      <c r="A934" s="21" t="s">
        <v>897</v>
      </c>
      <c r="B934" s="13">
        <f>IFERROR(__xludf.DUMMYFUNCTION("GOOGLEFINANCE(A934,""PRICE"")"),356.9)</f>
        <v>356.9</v>
      </c>
      <c r="C934" s="14">
        <f>IFERROR(__xludf.DUMMYFUNCTION("GOOGLEFINANCE(A934,""PRICEOPEN"")"),349.3)</f>
        <v>349.3</v>
      </c>
      <c r="D934" s="14">
        <f>IFERROR(__xludf.DUMMYFUNCTION("GOOGLEFINANCE(A934,""HIGH"")"),357.0)</f>
        <v>357</v>
      </c>
      <c r="E934" s="14">
        <f>IFERROR(__xludf.DUMMYFUNCTION("GOOGLEFINANCE(A934,""LOW"")"),349.2)</f>
        <v>349.2</v>
      </c>
      <c r="F934" s="15" t="str">
        <f t="shared" si="8"/>
        <v/>
      </c>
      <c r="G934" s="16">
        <f>IFERROR(__xludf.DUMMYFUNCTION("GOOGLEFINANCE(A934,""CLOSEYEST"")"),349.2)</f>
        <v>349.2</v>
      </c>
      <c r="H934" s="17" t="str">
        <f t="shared" si="14"/>
        <v/>
      </c>
      <c r="I934" s="18">
        <f t="shared" si="9"/>
        <v>351.8</v>
      </c>
      <c r="J934" s="19">
        <f t="shared" si="10"/>
        <v>354.4</v>
      </c>
      <c r="K934" s="19"/>
      <c r="L934" s="19">
        <f t="shared" si="11"/>
        <v>346.6</v>
      </c>
      <c r="M934" s="19">
        <f t="shared" si="12"/>
        <v>359.6</v>
      </c>
      <c r="N934" s="19">
        <f t="shared" si="13"/>
        <v>344</v>
      </c>
    </row>
    <row r="935" ht="24.75" customHeight="1">
      <c r="A935" s="21" t="s">
        <v>898</v>
      </c>
      <c r="B935" s="13">
        <f>IFERROR(__xludf.DUMMYFUNCTION("GOOGLEFINANCE(A935,""PRICE"")"),178.15)</f>
        <v>178.15</v>
      </c>
      <c r="C935" s="14">
        <f>IFERROR(__xludf.DUMMYFUNCTION("GOOGLEFINANCE(A935,""PRICEOPEN"")"),178.15)</f>
        <v>178.15</v>
      </c>
      <c r="D935" s="14">
        <f>IFERROR(__xludf.DUMMYFUNCTION("GOOGLEFINANCE(A935,""HIGH"")"),178.15)</f>
        <v>178.15</v>
      </c>
      <c r="E935" s="14">
        <f>IFERROR(__xludf.DUMMYFUNCTION("GOOGLEFINANCE(A935,""LOW"")"),178.15)</f>
        <v>178.15</v>
      </c>
      <c r="F935" s="15" t="str">
        <f t="shared" si="8"/>
        <v>SELL</v>
      </c>
      <c r="G935" s="16">
        <f>IFERROR(__xludf.DUMMYFUNCTION("GOOGLEFINANCE(A935,""CLOSEYEST"")"),187.53)</f>
        <v>187.53</v>
      </c>
      <c r="H935" s="17" t="str">
        <f t="shared" si="14"/>
        <v>GAP DOWN</v>
      </c>
      <c r="I935" s="18">
        <f t="shared" si="9"/>
        <v>181.2766667</v>
      </c>
      <c r="J935" s="19">
        <f t="shared" si="10"/>
        <v>184.4033333</v>
      </c>
      <c r="K935" s="19"/>
      <c r="L935" s="19">
        <f t="shared" si="11"/>
        <v>184.4033333</v>
      </c>
      <c r="M935" s="19">
        <f t="shared" si="12"/>
        <v>181.2766667</v>
      </c>
      <c r="N935" s="19">
        <f t="shared" si="13"/>
        <v>181.2766667</v>
      </c>
    </row>
    <row r="936" ht="24.75" customHeight="1">
      <c r="A936" s="21" t="s">
        <v>899</v>
      </c>
      <c r="B936" s="13">
        <f>IFERROR(__xludf.DUMMYFUNCTION("GOOGLEFINANCE(A936,""PRICE"")"),2675.0)</f>
        <v>2675</v>
      </c>
      <c r="C936" s="14">
        <f>IFERROR(__xludf.DUMMYFUNCTION("GOOGLEFINANCE(A936,""PRICEOPEN"")"),2699.9)</f>
        <v>2699.9</v>
      </c>
      <c r="D936" s="14">
        <f>IFERROR(__xludf.DUMMYFUNCTION("GOOGLEFINANCE(A936,""HIGH"")"),2699.9)</f>
        <v>2699.9</v>
      </c>
      <c r="E936" s="14">
        <f>IFERROR(__xludf.DUMMYFUNCTION("GOOGLEFINANCE(A936,""LOW"")"),2665.0)</f>
        <v>2665</v>
      </c>
      <c r="F936" s="15" t="str">
        <f t="shared" si="8"/>
        <v>SELL</v>
      </c>
      <c r="G936" s="16">
        <f>IFERROR(__xludf.DUMMYFUNCTION("GOOGLEFINANCE(A936,""CLOSEYEST"")"),2664.5)</f>
        <v>2664.5</v>
      </c>
      <c r="H936" s="17" t="str">
        <f t="shared" si="14"/>
        <v>GAP UP</v>
      </c>
      <c r="I936" s="18">
        <f t="shared" si="9"/>
        <v>2676.466667</v>
      </c>
      <c r="J936" s="19">
        <f t="shared" si="10"/>
        <v>2687.933333</v>
      </c>
      <c r="K936" s="19"/>
      <c r="L936" s="19">
        <f t="shared" si="11"/>
        <v>2653.033333</v>
      </c>
      <c r="M936" s="19">
        <f t="shared" si="12"/>
        <v>2711.366667</v>
      </c>
      <c r="N936" s="19">
        <f t="shared" si="13"/>
        <v>2641.566667</v>
      </c>
    </row>
    <row r="937" ht="24.75" customHeight="1">
      <c r="A937" s="21" t="s">
        <v>900</v>
      </c>
      <c r="B937" s="13">
        <f>IFERROR(__xludf.DUMMYFUNCTION("GOOGLEFINANCE(A937,""PRICE"")"),1425.0)</f>
        <v>1425</v>
      </c>
      <c r="C937" s="14">
        <f>IFERROR(__xludf.DUMMYFUNCTION("GOOGLEFINANCE(A937,""PRICEOPEN"")"),1440.0)</f>
        <v>1440</v>
      </c>
      <c r="D937" s="14">
        <f>IFERROR(__xludf.DUMMYFUNCTION("GOOGLEFINANCE(A937,""HIGH"")"),1449.0)</f>
        <v>1449</v>
      </c>
      <c r="E937" s="14">
        <f>IFERROR(__xludf.DUMMYFUNCTION("GOOGLEFINANCE(A937,""LOW"")"),1405.4)</f>
        <v>1405.4</v>
      </c>
      <c r="F937" s="15" t="str">
        <f t="shared" si="8"/>
        <v/>
      </c>
      <c r="G937" s="16">
        <f>IFERROR(__xludf.DUMMYFUNCTION("GOOGLEFINANCE(A937,""CLOSEYEST"")"),1433.6)</f>
        <v>1433.6</v>
      </c>
      <c r="H937" s="17" t="str">
        <f t="shared" si="14"/>
        <v/>
      </c>
      <c r="I937" s="18">
        <f t="shared" si="9"/>
        <v>1429.333333</v>
      </c>
      <c r="J937" s="19">
        <f t="shared" si="10"/>
        <v>1453.266667</v>
      </c>
      <c r="K937" s="19"/>
      <c r="L937" s="19">
        <f t="shared" si="11"/>
        <v>1409.666667</v>
      </c>
      <c r="M937" s="19">
        <f t="shared" si="12"/>
        <v>1472.933333</v>
      </c>
      <c r="N937" s="19">
        <f t="shared" si="13"/>
        <v>1385.733333</v>
      </c>
    </row>
    <row r="938" ht="24.75" customHeight="1">
      <c r="A938" s="21" t="s">
        <v>901</v>
      </c>
      <c r="B938" s="13">
        <f>IFERROR(__xludf.DUMMYFUNCTION("GOOGLEFINANCE(A938,""PRICE"")"),147.7)</f>
        <v>147.7</v>
      </c>
      <c r="C938" s="14">
        <f>IFERROR(__xludf.DUMMYFUNCTION("GOOGLEFINANCE(A938,""PRICEOPEN"")"),147.01)</f>
        <v>147.01</v>
      </c>
      <c r="D938" s="14">
        <f>IFERROR(__xludf.DUMMYFUNCTION("GOOGLEFINANCE(A938,""HIGH"")"),150.78)</f>
        <v>150.78</v>
      </c>
      <c r="E938" s="14">
        <f>IFERROR(__xludf.DUMMYFUNCTION("GOOGLEFINANCE(A938,""LOW"")"),147.0)</f>
        <v>147</v>
      </c>
      <c r="F938" s="15" t="str">
        <f t="shared" si="8"/>
        <v/>
      </c>
      <c r="G938" s="16">
        <f>IFERROR(__xludf.DUMMYFUNCTION("GOOGLEFINANCE(A938,""CLOSEYEST"")"),148.11)</f>
        <v>148.11</v>
      </c>
      <c r="H938" s="17" t="str">
        <f t="shared" si="14"/>
        <v/>
      </c>
      <c r="I938" s="18">
        <f t="shared" si="9"/>
        <v>148.63</v>
      </c>
      <c r="J938" s="19">
        <f t="shared" si="10"/>
        <v>150.26</v>
      </c>
      <c r="K938" s="19"/>
      <c r="L938" s="19">
        <f t="shared" si="11"/>
        <v>146.48</v>
      </c>
      <c r="M938" s="19">
        <f t="shared" si="12"/>
        <v>152.41</v>
      </c>
      <c r="N938" s="19">
        <f t="shared" si="13"/>
        <v>144.85</v>
      </c>
    </row>
    <row r="939" ht="24.75" customHeight="1">
      <c r="A939" s="21" t="s">
        <v>902</v>
      </c>
      <c r="B939" s="13">
        <f>IFERROR(__xludf.DUMMYFUNCTION("GOOGLEFINANCE(A939,""PRICE"")"),1218.0)</f>
        <v>1218</v>
      </c>
      <c r="C939" s="14">
        <f>IFERROR(__xludf.DUMMYFUNCTION("GOOGLEFINANCE(A939,""PRICEOPEN"")"),1211.1)</f>
        <v>1211.1</v>
      </c>
      <c r="D939" s="14">
        <f>IFERROR(__xludf.DUMMYFUNCTION("GOOGLEFINANCE(A939,""HIGH"")"),1238.2)</f>
        <v>1238.2</v>
      </c>
      <c r="E939" s="14">
        <f>IFERROR(__xludf.DUMMYFUNCTION("GOOGLEFINANCE(A939,""LOW"")"),1206.6)</f>
        <v>1206.6</v>
      </c>
      <c r="F939" s="15" t="str">
        <f t="shared" si="8"/>
        <v/>
      </c>
      <c r="G939" s="16">
        <f>IFERROR(__xludf.DUMMYFUNCTION("GOOGLEFINANCE(A939,""CLOSEYEST"")"),1206.3)</f>
        <v>1206.3</v>
      </c>
      <c r="H939" s="17" t="str">
        <f t="shared" si="14"/>
        <v/>
      </c>
      <c r="I939" s="18">
        <f t="shared" si="9"/>
        <v>1217.033333</v>
      </c>
      <c r="J939" s="19">
        <f t="shared" si="10"/>
        <v>1227.466667</v>
      </c>
      <c r="K939" s="19"/>
      <c r="L939" s="19">
        <f t="shared" si="11"/>
        <v>1195.866667</v>
      </c>
      <c r="M939" s="19">
        <f t="shared" si="12"/>
        <v>1248.633333</v>
      </c>
      <c r="N939" s="19">
        <f t="shared" si="13"/>
        <v>1185.433333</v>
      </c>
    </row>
    <row r="940" ht="24.75" customHeight="1">
      <c r="A940" s="21" t="s">
        <v>903</v>
      </c>
      <c r="B940" s="13">
        <f>IFERROR(__xludf.DUMMYFUNCTION("GOOGLEFINANCE(A940,""PRICE"")"),71.2)</f>
        <v>71.2</v>
      </c>
      <c r="C940" s="14">
        <f>IFERROR(__xludf.DUMMYFUNCTION("GOOGLEFINANCE(A940,""PRICEOPEN"")"),72.59)</f>
        <v>72.59</v>
      </c>
      <c r="D940" s="14">
        <f>IFERROR(__xludf.DUMMYFUNCTION("GOOGLEFINANCE(A940,""HIGH"")"),72.79)</f>
        <v>72.79</v>
      </c>
      <c r="E940" s="14">
        <f>IFERROR(__xludf.DUMMYFUNCTION("GOOGLEFINANCE(A940,""LOW"")"),71.0)</f>
        <v>71</v>
      </c>
      <c r="F940" s="15" t="str">
        <f t="shared" si="8"/>
        <v/>
      </c>
      <c r="G940" s="16">
        <f>IFERROR(__xludf.DUMMYFUNCTION("GOOGLEFINANCE(A940,""CLOSEYEST"")"),72.35)</f>
        <v>72.35</v>
      </c>
      <c r="H940" s="17" t="str">
        <f t="shared" si="14"/>
        <v/>
      </c>
      <c r="I940" s="18">
        <f t="shared" si="9"/>
        <v>72.04666667</v>
      </c>
      <c r="J940" s="19">
        <f t="shared" si="10"/>
        <v>73.09333333</v>
      </c>
      <c r="K940" s="19"/>
      <c r="L940" s="19">
        <f t="shared" si="11"/>
        <v>71.30333333</v>
      </c>
      <c r="M940" s="19">
        <f t="shared" si="12"/>
        <v>73.83666667</v>
      </c>
      <c r="N940" s="19">
        <f t="shared" si="13"/>
        <v>70.25666667</v>
      </c>
    </row>
    <row r="941" ht="24.75" customHeight="1">
      <c r="A941" s="21" t="s">
        <v>904</v>
      </c>
      <c r="B941" s="13">
        <f>IFERROR(__xludf.DUMMYFUNCTION("GOOGLEFINANCE(A941,""PRICE"")"),209.0)</f>
        <v>209</v>
      </c>
      <c r="C941" s="14">
        <f>IFERROR(__xludf.DUMMYFUNCTION("GOOGLEFINANCE(A941,""PRICEOPEN"")"),208.79)</f>
        <v>208.79</v>
      </c>
      <c r="D941" s="14">
        <f>IFERROR(__xludf.DUMMYFUNCTION("GOOGLEFINANCE(A941,""HIGH"")"),211.0)</f>
        <v>211</v>
      </c>
      <c r="E941" s="14">
        <f>IFERROR(__xludf.DUMMYFUNCTION("GOOGLEFINANCE(A941,""LOW"")"),204.5)</f>
        <v>204.5</v>
      </c>
      <c r="F941" s="15" t="str">
        <f t="shared" si="8"/>
        <v/>
      </c>
      <c r="G941" s="16">
        <f>IFERROR(__xludf.DUMMYFUNCTION("GOOGLEFINANCE(A941,""CLOSEYEST"")"),207.05)</f>
        <v>207.05</v>
      </c>
      <c r="H941" s="17" t="str">
        <f t="shared" si="14"/>
        <v/>
      </c>
      <c r="I941" s="18">
        <f t="shared" si="9"/>
        <v>207.5166667</v>
      </c>
      <c r="J941" s="19">
        <f t="shared" si="10"/>
        <v>210.5333333</v>
      </c>
      <c r="K941" s="19"/>
      <c r="L941" s="19">
        <f t="shared" si="11"/>
        <v>204.0333333</v>
      </c>
      <c r="M941" s="19">
        <f t="shared" si="12"/>
        <v>214.0166667</v>
      </c>
      <c r="N941" s="19">
        <f t="shared" si="13"/>
        <v>201.0166667</v>
      </c>
    </row>
    <row r="942" ht="24.75" customHeight="1">
      <c r="A942" s="21" t="s">
        <v>905</v>
      </c>
      <c r="B942" s="13">
        <f>IFERROR(__xludf.DUMMYFUNCTION("GOOGLEFINANCE(A942,""PRICE"")"),823.5)</f>
        <v>823.5</v>
      </c>
      <c r="C942" s="14">
        <f>IFERROR(__xludf.DUMMYFUNCTION("GOOGLEFINANCE(A942,""PRICEOPEN"")"),827.9)</f>
        <v>827.9</v>
      </c>
      <c r="D942" s="14">
        <f>IFERROR(__xludf.DUMMYFUNCTION("GOOGLEFINANCE(A942,""HIGH"")"),831.05)</f>
        <v>831.05</v>
      </c>
      <c r="E942" s="14">
        <f>IFERROR(__xludf.DUMMYFUNCTION("GOOGLEFINANCE(A942,""LOW"")"),819.0)</f>
        <v>819</v>
      </c>
      <c r="F942" s="15" t="str">
        <f t="shared" si="8"/>
        <v/>
      </c>
      <c r="G942" s="16">
        <f>IFERROR(__xludf.DUMMYFUNCTION("GOOGLEFINANCE(A942,""CLOSEYEST"")"),823.55)</f>
        <v>823.55</v>
      </c>
      <c r="H942" s="17" t="str">
        <f t="shared" si="14"/>
        <v/>
      </c>
      <c r="I942" s="18">
        <f t="shared" si="9"/>
        <v>824.5333333</v>
      </c>
      <c r="J942" s="19">
        <f t="shared" si="10"/>
        <v>830.0666667</v>
      </c>
      <c r="K942" s="19"/>
      <c r="L942" s="19">
        <f t="shared" si="11"/>
        <v>818.0166667</v>
      </c>
      <c r="M942" s="19">
        <f t="shared" si="12"/>
        <v>836.5833333</v>
      </c>
      <c r="N942" s="19">
        <f t="shared" si="13"/>
        <v>812.4833333</v>
      </c>
    </row>
    <row r="943" ht="24.75" customHeight="1">
      <c r="A943" s="21" t="s">
        <v>906</v>
      </c>
      <c r="B943" s="13">
        <f>IFERROR(__xludf.DUMMYFUNCTION("GOOGLEFINANCE(A943,""PRICE"")"),289.0)</f>
        <v>289</v>
      </c>
      <c r="C943" s="14">
        <f>IFERROR(__xludf.DUMMYFUNCTION("GOOGLEFINANCE(A943,""PRICEOPEN"")"),279.0)</f>
        <v>279</v>
      </c>
      <c r="D943" s="14">
        <f>IFERROR(__xludf.DUMMYFUNCTION("GOOGLEFINANCE(A943,""HIGH"")"),290.0)</f>
        <v>290</v>
      </c>
      <c r="E943" s="14">
        <f>IFERROR(__xludf.DUMMYFUNCTION("GOOGLEFINANCE(A943,""LOW"")"),278.05)</f>
        <v>278.05</v>
      </c>
      <c r="F943" s="15" t="str">
        <f t="shared" si="8"/>
        <v/>
      </c>
      <c r="G943" s="16">
        <f>IFERROR(__xludf.DUMMYFUNCTION("GOOGLEFINANCE(A943,""CLOSEYEST"")"),282.85)</f>
        <v>282.85</v>
      </c>
      <c r="H943" s="17" t="str">
        <f t="shared" si="14"/>
        <v>GAP DOWN</v>
      </c>
      <c r="I943" s="18">
        <f t="shared" si="9"/>
        <v>283.6333333</v>
      </c>
      <c r="J943" s="19">
        <f t="shared" si="10"/>
        <v>289.2166667</v>
      </c>
      <c r="K943" s="19"/>
      <c r="L943" s="19">
        <f t="shared" si="11"/>
        <v>277.2666667</v>
      </c>
      <c r="M943" s="19">
        <f t="shared" si="12"/>
        <v>295.5833333</v>
      </c>
      <c r="N943" s="19">
        <f t="shared" si="13"/>
        <v>271.6833333</v>
      </c>
    </row>
    <row r="944" ht="24.75" customHeight="1">
      <c r="A944" s="21" t="s">
        <v>907</v>
      </c>
      <c r="B944" s="13">
        <f>IFERROR(__xludf.DUMMYFUNCTION("GOOGLEFINANCE(A944,""PRICE"")"),414.4)</f>
        <v>414.4</v>
      </c>
      <c r="C944" s="14">
        <f>IFERROR(__xludf.DUMMYFUNCTION("GOOGLEFINANCE(A944,""PRICEOPEN"")"),403.0)</f>
        <v>403</v>
      </c>
      <c r="D944" s="14">
        <f>IFERROR(__xludf.DUMMYFUNCTION("GOOGLEFINANCE(A944,""HIGH"")"),425.0)</f>
        <v>425</v>
      </c>
      <c r="E944" s="14">
        <f>IFERROR(__xludf.DUMMYFUNCTION("GOOGLEFINANCE(A944,""LOW"")"),398.5)</f>
        <v>398.5</v>
      </c>
      <c r="F944" s="15" t="str">
        <f t="shared" si="8"/>
        <v/>
      </c>
      <c r="G944" s="16">
        <f>IFERROR(__xludf.DUMMYFUNCTION("GOOGLEFINANCE(A944,""CLOSEYEST"")"),401.0)</f>
        <v>401</v>
      </c>
      <c r="H944" s="17" t="str">
        <f t="shared" si="14"/>
        <v/>
      </c>
      <c r="I944" s="18">
        <f t="shared" si="9"/>
        <v>408.1666667</v>
      </c>
      <c r="J944" s="19">
        <f t="shared" si="10"/>
        <v>417.8333333</v>
      </c>
      <c r="K944" s="19"/>
      <c r="L944" s="19">
        <f t="shared" si="11"/>
        <v>391.3333333</v>
      </c>
      <c r="M944" s="19">
        <f t="shared" si="12"/>
        <v>434.6666667</v>
      </c>
      <c r="N944" s="19">
        <f t="shared" si="13"/>
        <v>381.6666667</v>
      </c>
    </row>
    <row r="945" ht="24.75" customHeight="1">
      <c r="A945" s="21" t="s">
        <v>908</v>
      </c>
      <c r="B945" s="13">
        <f>IFERROR(__xludf.DUMMYFUNCTION("GOOGLEFINANCE(A945,""PRICE"")"),41.0)</f>
        <v>41</v>
      </c>
      <c r="C945" s="14">
        <f>IFERROR(__xludf.DUMMYFUNCTION("GOOGLEFINANCE(A945,""PRICEOPEN"")"),41.42)</f>
        <v>41.42</v>
      </c>
      <c r="D945" s="14">
        <f>IFERROR(__xludf.DUMMYFUNCTION("GOOGLEFINANCE(A945,""HIGH"")"),42.2)</f>
        <v>42.2</v>
      </c>
      <c r="E945" s="14">
        <f>IFERROR(__xludf.DUMMYFUNCTION("GOOGLEFINANCE(A945,""LOW"")"),40.8)</f>
        <v>40.8</v>
      </c>
      <c r="F945" s="15" t="str">
        <f t="shared" si="8"/>
        <v/>
      </c>
      <c r="G945" s="16">
        <f>IFERROR(__xludf.DUMMYFUNCTION("GOOGLEFINANCE(A945,""CLOSEYEST"")"),41.42)</f>
        <v>41.42</v>
      </c>
      <c r="H945" s="17" t="str">
        <f t="shared" si="14"/>
        <v/>
      </c>
      <c r="I945" s="18">
        <f t="shared" si="9"/>
        <v>41.47333333</v>
      </c>
      <c r="J945" s="19">
        <f t="shared" si="10"/>
        <v>42.14666667</v>
      </c>
      <c r="K945" s="19"/>
      <c r="L945" s="19">
        <f t="shared" si="11"/>
        <v>40.74666667</v>
      </c>
      <c r="M945" s="19">
        <f t="shared" si="12"/>
        <v>42.87333333</v>
      </c>
      <c r="N945" s="19">
        <f t="shared" si="13"/>
        <v>40.07333333</v>
      </c>
    </row>
    <row r="946" ht="24.75" customHeight="1">
      <c r="A946" s="21" t="s">
        <v>909</v>
      </c>
      <c r="B946" s="13">
        <f>IFERROR(__xludf.DUMMYFUNCTION("GOOGLEFINANCE(A946,""PRICE"")"),1050.0)</f>
        <v>1050</v>
      </c>
      <c r="C946" s="14">
        <f>IFERROR(__xludf.DUMMYFUNCTION("GOOGLEFINANCE(A946,""PRICEOPEN"")"),1008.75)</f>
        <v>1008.75</v>
      </c>
      <c r="D946" s="14">
        <f>IFERROR(__xludf.DUMMYFUNCTION("GOOGLEFINANCE(A946,""HIGH"")"),1050.0)</f>
        <v>1050</v>
      </c>
      <c r="E946" s="14">
        <f>IFERROR(__xludf.DUMMYFUNCTION("GOOGLEFINANCE(A946,""LOW"")"),1008.05)</f>
        <v>1008.05</v>
      </c>
      <c r="F946" s="15" t="str">
        <f t="shared" si="8"/>
        <v/>
      </c>
      <c r="G946" s="16">
        <f>IFERROR(__xludf.DUMMYFUNCTION("GOOGLEFINANCE(A946,""CLOSEYEST"")"),1003.85)</f>
        <v>1003.85</v>
      </c>
      <c r="H946" s="17" t="str">
        <f t="shared" si="14"/>
        <v/>
      </c>
      <c r="I946" s="18">
        <f t="shared" si="9"/>
        <v>1020.633333</v>
      </c>
      <c r="J946" s="19">
        <f t="shared" si="10"/>
        <v>1033.216667</v>
      </c>
      <c r="K946" s="19"/>
      <c r="L946" s="19">
        <f t="shared" si="11"/>
        <v>991.2666667</v>
      </c>
      <c r="M946" s="19">
        <f t="shared" si="12"/>
        <v>1062.583333</v>
      </c>
      <c r="N946" s="19">
        <f t="shared" si="13"/>
        <v>978.6833333</v>
      </c>
    </row>
    <row r="947" ht="24.75" customHeight="1">
      <c r="A947" s="21" t="s">
        <v>910</v>
      </c>
      <c r="B947" s="13">
        <f>IFERROR(__xludf.DUMMYFUNCTION("GOOGLEFINANCE(A947,""PRICE"")"),2.24)</f>
        <v>2.24</v>
      </c>
      <c r="C947" s="14">
        <f>IFERROR(__xludf.DUMMYFUNCTION("GOOGLEFINANCE(A947,""PRICEOPEN"")"),2.26)</f>
        <v>2.26</v>
      </c>
      <c r="D947" s="14">
        <f>IFERROR(__xludf.DUMMYFUNCTION("GOOGLEFINANCE(A947,""HIGH"")"),2.3)</f>
        <v>2.3</v>
      </c>
      <c r="E947" s="14">
        <f>IFERROR(__xludf.DUMMYFUNCTION("GOOGLEFINANCE(A947,""LOW"")"),2.22)</f>
        <v>2.22</v>
      </c>
      <c r="F947" s="15" t="str">
        <f t="shared" si="8"/>
        <v/>
      </c>
      <c r="G947" s="16">
        <f>IFERROR(__xludf.DUMMYFUNCTION("GOOGLEFINANCE(A947,""CLOSEYEST"")"),2.26)</f>
        <v>2.26</v>
      </c>
      <c r="H947" s="17" t="str">
        <f t="shared" si="14"/>
        <v/>
      </c>
      <c r="I947" s="18">
        <f t="shared" si="9"/>
        <v>2.26</v>
      </c>
      <c r="J947" s="19">
        <f t="shared" si="10"/>
        <v>2.3</v>
      </c>
      <c r="K947" s="19"/>
      <c r="L947" s="19">
        <f t="shared" si="11"/>
        <v>2.22</v>
      </c>
      <c r="M947" s="19">
        <f t="shared" si="12"/>
        <v>2.34</v>
      </c>
      <c r="N947" s="19">
        <f t="shared" si="13"/>
        <v>2.18</v>
      </c>
    </row>
    <row r="948" ht="24.75" customHeight="1">
      <c r="A948" s="21" t="s">
        <v>911</v>
      </c>
      <c r="B948" s="13">
        <f>IFERROR(__xludf.DUMMYFUNCTION("GOOGLEFINANCE(A948,""PRICE"")"),1136.0)</f>
        <v>1136</v>
      </c>
      <c r="C948" s="14">
        <f>IFERROR(__xludf.DUMMYFUNCTION("GOOGLEFINANCE(A948,""PRICEOPEN"")"),1135.2)</f>
        <v>1135.2</v>
      </c>
      <c r="D948" s="14">
        <f>IFERROR(__xludf.DUMMYFUNCTION("GOOGLEFINANCE(A948,""HIGH"")"),1158.3)</f>
        <v>1158.3</v>
      </c>
      <c r="E948" s="14">
        <f>IFERROR(__xludf.DUMMYFUNCTION("GOOGLEFINANCE(A948,""LOW"")"),1122.2)</f>
        <v>1122.2</v>
      </c>
      <c r="F948" s="15" t="str">
        <f t="shared" si="8"/>
        <v/>
      </c>
      <c r="G948" s="16">
        <f>IFERROR(__xludf.DUMMYFUNCTION("GOOGLEFINANCE(A948,""CLOSEYEST"")"),1131.0)</f>
        <v>1131</v>
      </c>
      <c r="H948" s="17" t="str">
        <f t="shared" si="14"/>
        <v/>
      </c>
      <c r="I948" s="18">
        <f t="shared" si="9"/>
        <v>1137.166667</v>
      </c>
      <c r="J948" s="19">
        <f t="shared" si="10"/>
        <v>1152.133333</v>
      </c>
      <c r="K948" s="19"/>
      <c r="L948" s="19">
        <f t="shared" si="11"/>
        <v>1116.033333</v>
      </c>
      <c r="M948" s="19">
        <f t="shared" si="12"/>
        <v>1173.266667</v>
      </c>
      <c r="N948" s="19">
        <f t="shared" si="13"/>
        <v>1101.066667</v>
      </c>
    </row>
    <row r="949" ht="24.75" customHeight="1">
      <c r="A949" s="21" t="s">
        <v>912</v>
      </c>
      <c r="B949" s="13">
        <f>IFERROR(__xludf.DUMMYFUNCTION("GOOGLEFINANCE(A949,""PRICE"")"),1299.8)</f>
        <v>1299.8</v>
      </c>
      <c r="C949" s="14">
        <f>IFERROR(__xludf.DUMMYFUNCTION("GOOGLEFINANCE(A949,""PRICEOPEN"")"),1336.5)</f>
        <v>1336.5</v>
      </c>
      <c r="D949" s="14">
        <f>IFERROR(__xludf.DUMMYFUNCTION("GOOGLEFINANCE(A949,""HIGH"")"),1336.5)</f>
        <v>1336.5</v>
      </c>
      <c r="E949" s="14">
        <f>IFERROR(__xludf.DUMMYFUNCTION("GOOGLEFINANCE(A949,""LOW"")"),1291.0)</f>
        <v>1291</v>
      </c>
      <c r="F949" s="15" t="str">
        <f t="shared" si="8"/>
        <v>SELL</v>
      </c>
      <c r="G949" s="16">
        <f>IFERROR(__xludf.DUMMYFUNCTION("GOOGLEFINANCE(A949,""CLOSEYEST"")"),1318.1)</f>
        <v>1318.1</v>
      </c>
      <c r="H949" s="17" t="str">
        <f t="shared" si="14"/>
        <v>GAP UP</v>
      </c>
      <c r="I949" s="18">
        <f t="shared" si="9"/>
        <v>1315.2</v>
      </c>
      <c r="J949" s="19">
        <f t="shared" si="10"/>
        <v>1339.4</v>
      </c>
      <c r="K949" s="19"/>
      <c r="L949" s="19">
        <f t="shared" si="11"/>
        <v>1293.9</v>
      </c>
      <c r="M949" s="19">
        <f t="shared" si="12"/>
        <v>1360.7</v>
      </c>
      <c r="N949" s="19">
        <f t="shared" si="13"/>
        <v>1269.7</v>
      </c>
    </row>
    <row r="950" ht="24.75" customHeight="1">
      <c r="A950" s="21" t="s">
        <v>913</v>
      </c>
      <c r="B950" s="13">
        <f>IFERROR(__xludf.DUMMYFUNCTION("GOOGLEFINANCE(A950,""PRICE"")"),594.95)</f>
        <v>594.95</v>
      </c>
      <c r="C950" s="14">
        <f>IFERROR(__xludf.DUMMYFUNCTION("GOOGLEFINANCE(A950,""PRICEOPEN"")"),588.35)</f>
        <v>588.35</v>
      </c>
      <c r="D950" s="14">
        <f>IFERROR(__xludf.DUMMYFUNCTION("GOOGLEFINANCE(A950,""HIGH"")"),595.55)</f>
        <v>595.55</v>
      </c>
      <c r="E950" s="14">
        <f>IFERROR(__xludf.DUMMYFUNCTION("GOOGLEFINANCE(A950,""LOW"")"),584.85)</f>
        <v>584.85</v>
      </c>
      <c r="F950" s="15" t="str">
        <f t="shared" si="8"/>
        <v/>
      </c>
      <c r="G950" s="16">
        <f>IFERROR(__xludf.DUMMYFUNCTION("GOOGLEFINANCE(A950,""CLOSEYEST"")"),588.35)</f>
        <v>588.35</v>
      </c>
      <c r="H950" s="17" t="str">
        <f t="shared" si="14"/>
        <v/>
      </c>
      <c r="I950" s="18">
        <f t="shared" si="9"/>
        <v>589.5833333</v>
      </c>
      <c r="J950" s="19">
        <f t="shared" si="10"/>
        <v>594.3166667</v>
      </c>
      <c r="K950" s="19"/>
      <c r="L950" s="19">
        <f t="shared" si="11"/>
        <v>583.6166667</v>
      </c>
      <c r="M950" s="19">
        <f t="shared" si="12"/>
        <v>600.2833333</v>
      </c>
      <c r="N950" s="19">
        <f t="shared" si="13"/>
        <v>578.8833333</v>
      </c>
    </row>
    <row r="951" ht="24.75" customHeight="1">
      <c r="A951" s="21" t="s">
        <v>914</v>
      </c>
      <c r="B951" s="13">
        <f>IFERROR(__xludf.DUMMYFUNCTION("GOOGLEFINANCE(A951,""PRICE"")"),516.0)</f>
        <v>516</v>
      </c>
      <c r="C951" s="14">
        <f>IFERROR(__xludf.DUMMYFUNCTION("GOOGLEFINANCE(A951,""PRICEOPEN"")"),497.85)</f>
        <v>497.85</v>
      </c>
      <c r="D951" s="14">
        <f>IFERROR(__xludf.DUMMYFUNCTION("GOOGLEFINANCE(A951,""HIGH"")"),516.0)</f>
        <v>516</v>
      </c>
      <c r="E951" s="14">
        <f>IFERROR(__xludf.DUMMYFUNCTION("GOOGLEFINANCE(A951,""LOW"")"),494.0)</f>
        <v>494</v>
      </c>
      <c r="F951" s="15" t="str">
        <f t="shared" si="8"/>
        <v/>
      </c>
      <c r="G951" s="16">
        <f>IFERROR(__xludf.DUMMYFUNCTION("GOOGLEFINANCE(A951,""CLOSEYEST"")"),493.45)</f>
        <v>493.45</v>
      </c>
      <c r="H951" s="17" t="str">
        <f t="shared" si="14"/>
        <v/>
      </c>
      <c r="I951" s="18">
        <f t="shared" si="9"/>
        <v>501.15</v>
      </c>
      <c r="J951" s="19">
        <f t="shared" si="10"/>
        <v>508.3</v>
      </c>
      <c r="K951" s="19"/>
      <c r="L951" s="19">
        <f t="shared" si="11"/>
        <v>486.3</v>
      </c>
      <c r="M951" s="19">
        <f t="shared" si="12"/>
        <v>523.15</v>
      </c>
      <c r="N951" s="19">
        <f t="shared" si="13"/>
        <v>479.15</v>
      </c>
    </row>
    <row r="952" ht="24.75" customHeight="1">
      <c r="A952" s="21" t="s">
        <v>915</v>
      </c>
      <c r="B952" s="13">
        <f>IFERROR(__xludf.DUMMYFUNCTION("GOOGLEFINANCE(A952,""PRICE"")"),69.73)</f>
        <v>69.73</v>
      </c>
      <c r="C952" s="14">
        <f>IFERROR(__xludf.DUMMYFUNCTION("GOOGLEFINANCE(A952,""PRICEOPEN"")"),69.4)</f>
        <v>69.4</v>
      </c>
      <c r="D952" s="14">
        <f>IFERROR(__xludf.DUMMYFUNCTION("GOOGLEFINANCE(A952,""HIGH"")"),69.9)</f>
        <v>69.9</v>
      </c>
      <c r="E952" s="14">
        <f>IFERROR(__xludf.DUMMYFUNCTION("GOOGLEFINANCE(A952,""LOW"")"),68.81)</f>
        <v>68.81</v>
      </c>
      <c r="F952" s="15" t="str">
        <f t="shared" si="8"/>
        <v/>
      </c>
      <c r="G952" s="16">
        <f>IFERROR(__xludf.DUMMYFUNCTION("GOOGLEFINANCE(A952,""CLOSEYEST"")"),69.37)</f>
        <v>69.37</v>
      </c>
      <c r="H952" s="17" t="str">
        <f t="shared" si="14"/>
        <v/>
      </c>
      <c r="I952" s="18">
        <f t="shared" si="9"/>
        <v>69.36</v>
      </c>
      <c r="J952" s="19">
        <f t="shared" si="10"/>
        <v>69.91</v>
      </c>
      <c r="K952" s="19"/>
      <c r="L952" s="19">
        <f t="shared" si="11"/>
        <v>68.82</v>
      </c>
      <c r="M952" s="19">
        <f t="shared" si="12"/>
        <v>70.45</v>
      </c>
      <c r="N952" s="19">
        <f t="shared" si="13"/>
        <v>68.27</v>
      </c>
    </row>
    <row r="953" ht="24.75" customHeight="1">
      <c r="A953" s="21" t="s">
        <v>916</v>
      </c>
      <c r="B953" s="13">
        <f>IFERROR(__xludf.DUMMYFUNCTION("GOOGLEFINANCE(A953,""PRICE"")"),282.1)</f>
        <v>282.1</v>
      </c>
      <c r="C953" s="14">
        <f>IFERROR(__xludf.DUMMYFUNCTION("GOOGLEFINANCE(A953,""PRICEOPEN"")"),277.45)</f>
        <v>277.45</v>
      </c>
      <c r="D953" s="14">
        <f>IFERROR(__xludf.DUMMYFUNCTION("GOOGLEFINANCE(A953,""HIGH"")"),284.4)</f>
        <v>284.4</v>
      </c>
      <c r="E953" s="14">
        <f>IFERROR(__xludf.DUMMYFUNCTION("GOOGLEFINANCE(A953,""LOW"")"),275.15)</f>
        <v>275.15</v>
      </c>
      <c r="F953" s="15" t="str">
        <f t="shared" si="8"/>
        <v/>
      </c>
      <c r="G953" s="16">
        <f>IFERROR(__xludf.DUMMYFUNCTION("GOOGLEFINANCE(A953,""CLOSEYEST"")"),276.75)</f>
        <v>276.75</v>
      </c>
      <c r="H953" s="17" t="str">
        <f t="shared" si="14"/>
        <v/>
      </c>
      <c r="I953" s="18">
        <f t="shared" si="9"/>
        <v>278.7666667</v>
      </c>
      <c r="J953" s="19">
        <f t="shared" si="10"/>
        <v>282.3833333</v>
      </c>
      <c r="K953" s="19"/>
      <c r="L953" s="19">
        <f t="shared" si="11"/>
        <v>273.1333333</v>
      </c>
      <c r="M953" s="19">
        <f t="shared" si="12"/>
        <v>288.0166667</v>
      </c>
      <c r="N953" s="19">
        <f t="shared" si="13"/>
        <v>269.5166667</v>
      </c>
    </row>
    <row r="954" ht="24.75" customHeight="1">
      <c r="A954" s="21" t="s">
        <v>917</v>
      </c>
      <c r="B954" s="13">
        <f>IFERROR(__xludf.DUMMYFUNCTION("GOOGLEFINANCE(A954,""PRICE"")"),111.99)</f>
        <v>111.99</v>
      </c>
      <c r="C954" s="14">
        <f>IFERROR(__xludf.DUMMYFUNCTION("GOOGLEFINANCE(A954,""PRICEOPEN"")"),111.6)</f>
        <v>111.6</v>
      </c>
      <c r="D954" s="14">
        <f>IFERROR(__xludf.DUMMYFUNCTION("GOOGLEFINANCE(A954,""HIGH"")"),113.04)</f>
        <v>113.04</v>
      </c>
      <c r="E954" s="14">
        <f>IFERROR(__xludf.DUMMYFUNCTION("GOOGLEFINANCE(A954,""LOW"")"),110.73)</f>
        <v>110.73</v>
      </c>
      <c r="F954" s="15" t="str">
        <f t="shared" si="8"/>
        <v/>
      </c>
      <c r="G954" s="16">
        <f>IFERROR(__xludf.DUMMYFUNCTION("GOOGLEFINANCE(A954,""CLOSEYEST"")"),111.32)</f>
        <v>111.32</v>
      </c>
      <c r="H954" s="17" t="str">
        <f t="shared" si="14"/>
        <v/>
      </c>
      <c r="I954" s="18">
        <f t="shared" si="9"/>
        <v>111.6966667</v>
      </c>
      <c r="J954" s="19">
        <f t="shared" si="10"/>
        <v>112.6633333</v>
      </c>
      <c r="K954" s="19"/>
      <c r="L954" s="19">
        <f t="shared" si="11"/>
        <v>110.3533333</v>
      </c>
      <c r="M954" s="19">
        <f t="shared" si="12"/>
        <v>114.0066667</v>
      </c>
      <c r="N954" s="19">
        <f t="shared" si="13"/>
        <v>109.3866667</v>
      </c>
    </row>
    <row r="955" ht="24.75" customHeight="1">
      <c r="A955" s="21" t="s">
        <v>918</v>
      </c>
      <c r="B955" s="13" t="str">
        <f>IFERROR(__xludf.DUMMYFUNCTION("GOOGLEFINANCE(A955,""PRICE"")"),"#N/A")</f>
        <v>#N/A</v>
      </c>
      <c r="C955" s="14" t="str">
        <f>IFERROR(__xludf.DUMMYFUNCTION("GOOGLEFINANCE(A955,""PRICEOPEN"")"),"#N/A")</f>
        <v>#N/A</v>
      </c>
      <c r="D955" s="14" t="str">
        <f>IFERROR(__xludf.DUMMYFUNCTION("GOOGLEFINANCE(A955,""HIGH"")"),"#N/A")</f>
        <v>#N/A</v>
      </c>
      <c r="E955" s="14" t="str">
        <f>IFERROR(__xludf.DUMMYFUNCTION("GOOGLEFINANCE(A955,""LOW"")"),"#N/A")</f>
        <v>#N/A</v>
      </c>
      <c r="F955" s="15" t="str">
        <f t="shared" si="8"/>
        <v>#N/A</v>
      </c>
      <c r="G955" s="16" t="str">
        <f>IFERROR(__xludf.DUMMYFUNCTION("GOOGLEFINANCE(A955,""CLOSEYEST"")"),"#N/A")</f>
        <v>#N/A</v>
      </c>
      <c r="H955" s="17" t="str">
        <f t="shared" si="14"/>
        <v>#N/A</v>
      </c>
      <c r="I955" s="18" t="str">
        <f t="shared" si="9"/>
        <v>#N/A</v>
      </c>
      <c r="J955" s="19" t="str">
        <f t="shared" si="10"/>
        <v>#N/A</v>
      </c>
      <c r="K955" s="19"/>
      <c r="L955" s="19" t="str">
        <f t="shared" si="11"/>
        <v>#N/A</v>
      </c>
      <c r="M955" s="19" t="str">
        <f t="shared" si="12"/>
        <v>#N/A</v>
      </c>
      <c r="N955" s="19" t="str">
        <f t="shared" si="13"/>
        <v>#N/A</v>
      </c>
    </row>
    <row r="956" ht="24.75" customHeight="1">
      <c r="A956" s="21" t="s">
        <v>919</v>
      </c>
      <c r="B956" s="13">
        <f>IFERROR(__xludf.DUMMYFUNCTION("GOOGLEFINANCE(A956,""PRICE"")"),288.25)</f>
        <v>288.25</v>
      </c>
      <c r="C956" s="14">
        <f>IFERROR(__xludf.DUMMYFUNCTION("GOOGLEFINANCE(A956,""PRICEOPEN"")"),284.4)</f>
        <v>284.4</v>
      </c>
      <c r="D956" s="14">
        <f>IFERROR(__xludf.DUMMYFUNCTION("GOOGLEFINANCE(A956,""HIGH"")"),288.8)</f>
        <v>288.8</v>
      </c>
      <c r="E956" s="14">
        <f>IFERROR(__xludf.DUMMYFUNCTION("GOOGLEFINANCE(A956,""LOW"")"),282.7)</f>
        <v>282.7</v>
      </c>
      <c r="F956" s="15" t="str">
        <f t="shared" si="8"/>
        <v/>
      </c>
      <c r="G956" s="16">
        <f>IFERROR(__xludf.DUMMYFUNCTION("GOOGLEFINANCE(A956,""CLOSEYEST"")"),283.05)</f>
        <v>283.05</v>
      </c>
      <c r="H956" s="17" t="str">
        <f t="shared" si="14"/>
        <v/>
      </c>
      <c r="I956" s="18">
        <f t="shared" si="9"/>
        <v>284.85</v>
      </c>
      <c r="J956" s="19">
        <f t="shared" si="10"/>
        <v>287</v>
      </c>
      <c r="K956" s="19"/>
      <c r="L956" s="19">
        <f t="shared" si="11"/>
        <v>280.9</v>
      </c>
      <c r="M956" s="19">
        <f t="shared" si="12"/>
        <v>290.95</v>
      </c>
      <c r="N956" s="19">
        <f t="shared" si="13"/>
        <v>278.75</v>
      </c>
    </row>
    <row r="957" ht="24.75" customHeight="1">
      <c r="A957" s="21" t="s">
        <v>920</v>
      </c>
      <c r="B957" s="13">
        <f>IFERROR(__xludf.DUMMYFUNCTION("GOOGLEFINANCE(A957,""PRICE"")"),11.6)</f>
        <v>11.6</v>
      </c>
      <c r="C957" s="14">
        <f>IFERROR(__xludf.DUMMYFUNCTION("GOOGLEFINANCE(A957,""PRICEOPEN"")"),11.56)</f>
        <v>11.56</v>
      </c>
      <c r="D957" s="14">
        <f>IFERROR(__xludf.DUMMYFUNCTION("GOOGLEFINANCE(A957,""HIGH"")"),11.65)</f>
        <v>11.65</v>
      </c>
      <c r="E957" s="14">
        <f>IFERROR(__xludf.DUMMYFUNCTION("GOOGLEFINANCE(A957,""LOW"")"),11.45)</f>
        <v>11.45</v>
      </c>
      <c r="F957" s="15" t="str">
        <f t="shared" si="8"/>
        <v/>
      </c>
      <c r="G957" s="16">
        <f>IFERROR(__xludf.DUMMYFUNCTION("GOOGLEFINANCE(A957,""CLOSEYEST"")"),11.57)</f>
        <v>11.57</v>
      </c>
      <c r="H957" s="17" t="str">
        <f t="shared" si="14"/>
        <v/>
      </c>
      <c r="I957" s="18">
        <f t="shared" si="9"/>
        <v>11.55666667</v>
      </c>
      <c r="J957" s="19">
        <f t="shared" si="10"/>
        <v>11.66333333</v>
      </c>
      <c r="K957" s="19"/>
      <c r="L957" s="19">
        <f t="shared" si="11"/>
        <v>11.46333333</v>
      </c>
      <c r="M957" s="19">
        <f t="shared" si="12"/>
        <v>11.75666667</v>
      </c>
      <c r="N957" s="19">
        <f t="shared" si="13"/>
        <v>11.35666667</v>
      </c>
    </row>
    <row r="958" ht="24.75" customHeight="1">
      <c r="A958" s="21" t="s">
        <v>921</v>
      </c>
      <c r="B958" s="13">
        <f>IFERROR(__xludf.DUMMYFUNCTION("GOOGLEFINANCE(A958,""PRICE"")"),1.86)</f>
        <v>1.86</v>
      </c>
      <c r="C958" s="14">
        <f>IFERROR(__xludf.DUMMYFUNCTION("GOOGLEFINANCE(A958,""PRICEOPEN"")"),1.85)</f>
        <v>1.85</v>
      </c>
      <c r="D958" s="14">
        <f>IFERROR(__xludf.DUMMYFUNCTION("GOOGLEFINANCE(A958,""HIGH"")"),1.87)</f>
        <v>1.87</v>
      </c>
      <c r="E958" s="14">
        <f>IFERROR(__xludf.DUMMYFUNCTION("GOOGLEFINANCE(A958,""LOW"")"),1.73)</f>
        <v>1.73</v>
      </c>
      <c r="F958" s="15" t="str">
        <f t="shared" si="8"/>
        <v/>
      </c>
      <c r="G958" s="16">
        <f>IFERROR(__xludf.DUMMYFUNCTION("GOOGLEFINANCE(A958,""CLOSEYEST"")"),1.79)</f>
        <v>1.79</v>
      </c>
      <c r="H958" s="17" t="str">
        <f t="shared" si="14"/>
        <v>GAP UP</v>
      </c>
      <c r="I958" s="18">
        <f t="shared" si="9"/>
        <v>1.796666667</v>
      </c>
      <c r="J958" s="19">
        <f t="shared" si="10"/>
        <v>1.863333333</v>
      </c>
      <c r="K958" s="19"/>
      <c r="L958" s="19">
        <f t="shared" si="11"/>
        <v>1.723333333</v>
      </c>
      <c r="M958" s="19">
        <f t="shared" si="12"/>
        <v>1.936666667</v>
      </c>
      <c r="N958" s="19">
        <f t="shared" si="13"/>
        <v>1.656666667</v>
      </c>
    </row>
    <row r="959" ht="24.75" customHeight="1">
      <c r="A959" s="21" t="s">
        <v>922</v>
      </c>
      <c r="B959" s="13">
        <f>IFERROR(__xludf.DUMMYFUNCTION("GOOGLEFINANCE(A959,""PRICE"")"),387.85)</f>
        <v>387.85</v>
      </c>
      <c r="C959" s="14">
        <f>IFERROR(__xludf.DUMMYFUNCTION("GOOGLEFINANCE(A959,""PRICEOPEN"")"),375.0)</f>
        <v>375</v>
      </c>
      <c r="D959" s="14">
        <f>IFERROR(__xludf.DUMMYFUNCTION("GOOGLEFINANCE(A959,""HIGH"")"),393.3)</f>
        <v>393.3</v>
      </c>
      <c r="E959" s="14">
        <f>IFERROR(__xludf.DUMMYFUNCTION("GOOGLEFINANCE(A959,""LOW"")"),375.0)</f>
        <v>375</v>
      </c>
      <c r="F959" s="15" t="str">
        <f t="shared" si="8"/>
        <v>BUY</v>
      </c>
      <c r="G959" s="16">
        <f>IFERROR(__xludf.DUMMYFUNCTION("GOOGLEFINANCE(A959,""CLOSEYEST"")"),376.65)</f>
        <v>376.65</v>
      </c>
      <c r="H959" s="17" t="str">
        <f t="shared" si="14"/>
        <v/>
      </c>
      <c r="I959" s="18">
        <f t="shared" si="9"/>
        <v>381.65</v>
      </c>
      <c r="J959" s="19">
        <f t="shared" si="10"/>
        <v>388.3</v>
      </c>
      <c r="K959" s="19"/>
      <c r="L959" s="19">
        <f t="shared" si="11"/>
        <v>370</v>
      </c>
      <c r="M959" s="19">
        <f t="shared" si="12"/>
        <v>399.95</v>
      </c>
      <c r="N959" s="19">
        <f t="shared" si="13"/>
        <v>363.35</v>
      </c>
    </row>
    <row r="960" ht="24.75" customHeight="1">
      <c r="A960" s="21" t="s">
        <v>923</v>
      </c>
      <c r="B960" s="13">
        <f>IFERROR(__xludf.DUMMYFUNCTION("GOOGLEFINANCE(A960,""PRICE"")"),268.0)</f>
        <v>268</v>
      </c>
      <c r="C960" s="14">
        <f>IFERROR(__xludf.DUMMYFUNCTION("GOOGLEFINANCE(A960,""PRICEOPEN"")"),260.0)</f>
        <v>260</v>
      </c>
      <c r="D960" s="14">
        <f>IFERROR(__xludf.DUMMYFUNCTION("GOOGLEFINANCE(A960,""HIGH"")"),270.0)</f>
        <v>270</v>
      </c>
      <c r="E960" s="14">
        <f>IFERROR(__xludf.DUMMYFUNCTION("GOOGLEFINANCE(A960,""LOW"")"),257.29)</f>
        <v>257.29</v>
      </c>
      <c r="F960" s="15" t="str">
        <f t="shared" si="8"/>
        <v/>
      </c>
      <c r="G960" s="16">
        <f>IFERROR(__xludf.DUMMYFUNCTION("GOOGLEFINANCE(A960,""CLOSEYEST"")"),257.97)</f>
        <v>257.97</v>
      </c>
      <c r="H960" s="17" t="str">
        <f t="shared" si="14"/>
        <v/>
      </c>
      <c r="I960" s="18">
        <f t="shared" si="9"/>
        <v>261.7533333</v>
      </c>
      <c r="J960" s="19">
        <f t="shared" si="10"/>
        <v>266.2166667</v>
      </c>
      <c r="K960" s="19"/>
      <c r="L960" s="19">
        <f t="shared" si="11"/>
        <v>253.5066667</v>
      </c>
      <c r="M960" s="19">
        <f t="shared" si="12"/>
        <v>274.4633333</v>
      </c>
      <c r="N960" s="19">
        <f t="shared" si="13"/>
        <v>249.0433333</v>
      </c>
    </row>
    <row r="961" ht="24.75" customHeight="1">
      <c r="A961" s="21" t="s">
        <v>924</v>
      </c>
      <c r="B961" s="13">
        <f>IFERROR(__xludf.DUMMYFUNCTION("GOOGLEFINANCE(A961,""PRICE"")"),487.0)</f>
        <v>487</v>
      </c>
      <c r="C961" s="14">
        <f>IFERROR(__xludf.DUMMYFUNCTION("GOOGLEFINANCE(A961,""PRICEOPEN"")"),482.0)</f>
        <v>482</v>
      </c>
      <c r="D961" s="14">
        <f>IFERROR(__xludf.DUMMYFUNCTION("GOOGLEFINANCE(A961,""HIGH"")"),487.25)</f>
        <v>487.25</v>
      </c>
      <c r="E961" s="14">
        <f>IFERROR(__xludf.DUMMYFUNCTION("GOOGLEFINANCE(A961,""LOW"")"),475.15)</f>
        <v>475.15</v>
      </c>
      <c r="F961" s="15" t="str">
        <f t="shared" si="8"/>
        <v/>
      </c>
      <c r="G961" s="16">
        <f>IFERROR(__xludf.DUMMYFUNCTION("GOOGLEFINANCE(A961,""CLOSEYEST"")"),477.75)</f>
        <v>477.75</v>
      </c>
      <c r="H961" s="17" t="str">
        <f t="shared" si="14"/>
        <v/>
      </c>
      <c r="I961" s="18">
        <f t="shared" si="9"/>
        <v>480.05</v>
      </c>
      <c r="J961" s="19">
        <f t="shared" si="10"/>
        <v>484.95</v>
      </c>
      <c r="K961" s="19"/>
      <c r="L961" s="19">
        <f t="shared" si="11"/>
        <v>472.85</v>
      </c>
      <c r="M961" s="19">
        <f t="shared" si="12"/>
        <v>492.15</v>
      </c>
      <c r="N961" s="19">
        <f t="shared" si="13"/>
        <v>467.95</v>
      </c>
    </row>
    <row r="962" ht="24.75" customHeight="1">
      <c r="A962" s="21" t="s">
        <v>925</v>
      </c>
      <c r="B962" s="13">
        <f>IFERROR(__xludf.DUMMYFUNCTION("GOOGLEFINANCE(A962,""PRICE"")"),498.9)</f>
        <v>498.9</v>
      </c>
      <c r="C962" s="14">
        <f>IFERROR(__xludf.DUMMYFUNCTION("GOOGLEFINANCE(A962,""PRICEOPEN"")"),504.95)</f>
        <v>504.95</v>
      </c>
      <c r="D962" s="14">
        <f>IFERROR(__xludf.DUMMYFUNCTION("GOOGLEFINANCE(A962,""HIGH"")"),509.7)</f>
        <v>509.7</v>
      </c>
      <c r="E962" s="14">
        <f>IFERROR(__xludf.DUMMYFUNCTION("GOOGLEFINANCE(A962,""LOW"")"),491.3)</f>
        <v>491.3</v>
      </c>
      <c r="F962" s="15" t="str">
        <f t="shared" si="8"/>
        <v/>
      </c>
      <c r="G962" s="16">
        <f>IFERROR(__xludf.DUMMYFUNCTION("GOOGLEFINANCE(A962,""CLOSEYEST"")"),504.1)</f>
        <v>504.1</v>
      </c>
      <c r="H962" s="17" t="str">
        <f t="shared" si="14"/>
        <v/>
      </c>
      <c r="I962" s="18">
        <f t="shared" si="9"/>
        <v>501.7</v>
      </c>
      <c r="J962" s="19">
        <f t="shared" si="10"/>
        <v>512.1</v>
      </c>
      <c r="K962" s="19"/>
      <c r="L962" s="19">
        <f t="shared" si="11"/>
        <v>493.7</v>
      </c>
      <c r="M962" s="19">
        <f t="shared" si="12"/>
        <v>520.1</v>
      </c>
      <c r="N962" s="19">
        <f t="shared" si="13"/>
        <v>483.3</v>
      </c>
    </row>
    <row r="963" ht="24.75" customHeight="1">
      <c r="A963" s="21" t="s">
        <v>926</v>
      </c>
      <c r="B963" s="13">
        <f>IFERROR(__xludf.DUMMYFUNCTION("GOOGLEFINANCE(A963,""PRICE"")"),90.42)</f>
        <v>90.42</v>
      </c>
      <c r="C963" s="14">
        <f>IFERROR(__xludf.DUMMYFUNCTION("GOOGLEFINANCE(A963,""PRICEOPEN"")"),91.7)</f>
        <v>91.7</v>
      </c>
      <c r="D963" s="14">
        <f>IFERROR(__xludf.DUMMYFUNCTION("GOOGLEFINANCE(A963,""HIGH"")"),92.32)</f>
        <v>92.32</v>
      </c>
      <c r="E963" s="14">
        <f>IFERROR(__xludf.DUMMYFUNCTION("GOOGLEFINANCE(A963,""LOW"")"),90.4)</f>
        <v>90.4</v>
      </c>
      <c r="F963" s="15" t="str">
        <f t="shared" si="8"/>
        <v/>
      </c>
      <c r="G963" s="16">
        <f>IFERROR(__xludf.DUMMYFUNCTION("GOOGLEFINANCE(A963,""CLOSEYEST"")"),91.64)</f>
        <v>91.64</v>
      </c>
      <c r="H963" s="17" t="str">
        <f t="shared" si="14"/>
        <v/>
      </c>
      <c r="I963" s="18">
        <f t="shared" si="9"/>
        <v>91.45333333</v>
      </c>
      <c r="J963" s="19">
        <f t="shared" si="10"/>
        <v>92.50666667</v>
      </c>
      <c r="K963" s="19"/>
      <c r="L963" s="19">
        <f t="shared" si="11"/>
        <v>90.58666667</v>
      </c>
      <c r="M963" s="19">
        <f t="shared" si="12"/>
        <v>93.37333333</v>
      </c>
      <c r="N963" s="19">
        <f t="shared" si="13"/>
        <v>89.53333333</v>
      </c>
    </row>
    <row r="964" ht="24.75" customHeight="1">
      <c r="A964" s="21" t="s">
        <v>927</v>
      </c>
      <c r="B964" s="13">
        <f>IFERROR(__xludf.DUMMYFUNCTION("GOOGLEFINANCE(A964,""PRICE"")"),8.72)</f>
        <v>8.72</v>
      </c>
      <c r="C964" s="14">
        <f>IFERROR(__xludf.DUMMYFUNCTION("GOOGLEFINANCE(A964,""PRICEOPEN"")"),8.58)</f>
        <v>8.58</v>
      </c>
      <c r="D964" s="14">
        <f>IFERROR(__xludf.DUMMYFUNCTION("GOOGLEFINANCE(A964,""HIGH"")"),8.82)</f>
        <v>8.82</v>
      </c>
      <c r="E964" s="14">
        <f>IFERROR(__xludf.DUMMYFUNCTION("GOOGLEFINANCE(A964,""LOW"")"),8.57)</f>
        <v>8.57</v>
      </c>
      <c r="F964" s="15" t="str">
        <f t="shared" si="8"/>
        <v/>
      </c>
      <c r="G964" s="16">
        <f>IFERROR(__xludf.DUMMYFUNCTION("GOOGLEFINANCE(A964,""CLOSEYEST"")"),8.4)</f>
        <v>8.4</v>
      </c>
      <c r="H964" s="17" t="str">
        <f t="shared" si="14"/>
        <v>GAP UP</v>
      </c>
      <c r="I964" s="18">
        <f t="shared" si="9"/>
        <v>8.596666667</v>
      </c>
      <c r="J964" s="19">
        <f t="shared" si="10"/>
        <v>8.623333333</v>
      </c>
      <c r="K964" s="19"/>
      <c r="L964" s="19">
        <f t="shared" si="11"/>
        <v>8.373333333</v>
      </c>
      <c r="M964" s="19">
        <f t="shared" si="12"/>
        <v>8.846666667</v>
      </c>
      <c r="N964" s="19">
        <f t="shared" si="13"/>
        <v>8.346666667</v>
      </c>
    </row>
    <row r="965" ht="24.75" customHeight="1">
      <c r="A965" s="21" t="s">
        <v>928</v>
      </c>
      <c r="B965" s="13">
        <f>IFERROR(__xludf.DUMMYFUNCTION("GOOGLEFINANCE(A965,""PRICE"")"),199.85)</f>
        <v>199.85</v>
      </c>
      <c r="C965" s="14">
        <f>IFERROR(__xludf.DUMMYFUNCTION("GOOGLEFINANCE(A965,""PRICEOPEN"")"),199.89)</f>
        <v>199.89</v>
      </c>
      <c r="D965" s="14">
        <f>IFERROR(__xludf.DUMMYFUNCTION("GOOGLEFINANCE(A965,""HIGH"")"),200.5)</f>
        <v>200.5</v>
      </c>
      <c r="E965" s="14">
        <f>IFERROR(__xludf.DUMMYFUNCTION("GOOGLEFINANCE(A965,""LOW"")"),197.75)</f>
        <v>197.75</v>
      </c>
      <c r="F965" s="15" t="str">
        <f t="shared" si="8"/>
        <v/>
      </c>
      <c r="G965" s="16">
        <f>IFERROR(__xludf.DUMMYFUNCTION("GOOGLEFINANCE(A965,""CLOSEYEST"")"),198.2)</f>
        <v>198.2</v>
      </c>
      <c r="H965" s="17" t="str">
        <f t="shared" si="14"/>
        <v/>
      </c>
      <c r="I965" s="18">
        <f t="shared" si="9"/>
        <v>198.8166667</v>
      </c>
      <c r="J965" s="19">
        <f t="shared" si="10"/>
        <v>199.8833333</v>
      </c>
      <c r="K965" s="19"/>
      <c r="L965" s="19">
        <f t="shared" si="11"/>
        <v>197.1333333</v>
      </c>
      <c r="M965" s="19">
        <f t="shared" si="12"/>
        <v>201.5666667</v>
      </c>
      <c r="N965" s="19">
        <f t="shared" si="13"/>
        <v>196.0666667</v>
      </c>
    </row>
    <row r="966" ht="24.75" customHeight="1">
      <c r="A966" s="21" t="s">
        <v>929</v>
      </c>
      <c r="B966" s="13">
        <f>IFERROR(__xludf.DUMMYFUNCTION("GOOGLEFINANCE(A966,""PRICE"")"),178.8)</f>
        <v>178.8</v>
      </c>
      <c r="C966" s="14">
        <f>IFERROR(__xludf.DUMMYFUNCTION("GOOGLEFINANCE(A966,""PRICEOPEN"")"),173.29)</f>
        <v>173.29</v>
      </c>
      <c r="D966" s="14">
        <f>IFERROR(__xludf.DUMMYFUNCTION("GOOGLEFINANCE(A966,""HIGH"")"),181.9)</f>
        <v>181.9</v>
      </c>
      <c r="E966" s="14">
        <f>IFERROR(__xludf.DUMMYFUNCTION("GOOGLEFINANCE(A966,""LOW"")"),173.29)</f>
        <v>173.29</v>
      </c>
      <c r="F966" s="15" t="str">
        <f t="shared" si="8"/>
        <v>BUY</v>
      </c>
      <c r="G966" s="16">
        <f>IFERROR(__xludf.DUMMYFUNCTION("GOOGLEFINANCE(A966,""CLOSEYEST"")"),173.29)</f>
        <v>173.29</v>
      </c>
      <c r="H966" s="17" t="str">
        <f t="shared" si="14"/>
        <v/>
      </c>
      <c r="I966" s="18">
        <f t="shared" si="9"/>
        <v>176.16</v>
      </c>
      <c r="J966" s="19">
        <f t="shared" si="10"/>
        <v>179.03</v>
      </c>
      <c r="K966" s="19"/>
      <c r="L966" s="19">
        <f t="shared" si="11"/>
        <v>170.42</v>
      </c>
      <c r="M966" s="19">
        <f t="shared" si="12"/>
        <v>184.77</v>
      </c>
      <c r="N966" s="19">
        <f t="shared" si="13"/>
        <v>167.55</v>
      </c>
    </row>
    <row r="967" ht="24.75" customHeight="1">
      <c r="A967" s="21" t="s">
        <v>930</v>
      </c>
      <c r="B967" s="13">
        <f>IFERROR(__xludf.DUMMYFUNCTION("GOOGLEFINANCE(A967,""PRICE"")"),169.5)</f>
        <v>169.5</v>
      </c>
      <c r="C967" s="14">
        <f>IFERROR(__xludf.DUMMYFUNCTION("GOOGLEFINANCE(A967,""PRICEOPEN"")"),166.95)</f>
        <v>166.95</v>
      </c>
      <c r="D967" s="14">
        <f>IFERROR(__xludf.DUMMYFUNCTION("GOOGLEFINANCE(A967,""HIGH"")"),171.04)</f>
        <v>171.04</v>
      </c>
      <c r="E967" s="14">
        <f>IFERROR(__xludf.DUMMYFUNCTION("GOOGLEFINANCE(A967,""LOW"")"),165.73)</f>
        <v>165.73</v>
      </c>
      <c r="F967" s="15" t="str">
        <f t="shared" si="8"/>
        <v/>
      </c>
      <c r="G967" s="16">
        <f>IFERROR(__xludf.DUMMYFUNCTION("GOOGLEFINANCE(A967,""CLOSEYEST"")"),166.19)</f>
        <v>166.19</v>
      </c>
      <c r="H967" s="17" t="str">
        <f t="shared" si="14"/>
        <v/>
      </c>
      <c r="I967" s="18">
        <f t="shared" si="9"/>
        <v>167.6533333</v>
      </c>
      <c r="J967" s="19">
        <f t="shared" si="10"/>
        <v>169.5766667</v>
      </c>
      <c r="K967" s="19"/>
      <c r="L967" s="19">
        <f t="shared" si="11"/>
        <v>164.2666667</v>
      </c>
      <c r="M967" s="19">
        <f t="shared" si="12"/>
        <v>172.9633333</v>
      </c>
      <c r="N967" s="19">
        <f t="shared" si="13"/>
        <v>162.3433333</v>
      </c>
    </row>
    <row r="968" ht="24.75" customHeight="1">
      <c r="A968" s="21" t="s">
        <v>931</v>
      </c>
      <c r="B968" s="13">
        <f>IFERROR(__xludf.DUMMYFUNCTION("GOOGLEFINANCE(A968,""PRICE"")"),81.35)</f>
        <v>81.35</v>
      </c>
      <c r="C968" s="14">
        <f>IFERROR(__xludf.DUMMYFUNCTION("GOOGLEFINANCE(A968,""PRICEOPEN"")"),78.45)</f>
        <v>78.45</v>
      </c>
      <c r="D968" s="14">
        <f>IFERROR(__xludf.DUMMYFUNCTION("GOOGLEFINANCE(A968,""HIGH"")"),82.15)</f>
        <v>82.15</v>
      </c>
      <c r="E968" s="14">
        <f>IFERROR(__xludf.DUMMYFUNCTION("GOOGLEFINANCE(A968,""LOW"")"),78.45)</f>
        <v>78.45</v>
      </c>
      <c r="F968" s="15" t="str">
        <f t="shared" si="8"/>
        <v>BUY</v>
      </c>
      <c r="G968" s="16">
        <f>IFERROR(__xludf.DUMMYFUNCTION("GOOGLEFINANCE(A968,""CLOSEYEST"")"),78.45)</f>
        <v>78.45</v>
      </c>
      <c r="H968" s="17" t="str">
        <f t="shared" si="14"/>
        <v/>
      </c>
      <c r="I968" s="18">
        <f t="shared" si="9"/>
        <v>79.68333333</v>
      </c>
      <c r="J968" s="19">
        <f t="shared" si="10"/>
        <v>80.91666667</v>
      </c>
      <c r="K968" s="19"/>
      <c r="L968" s="19">
        <f t="shared" si="11"/>
        <v>77.21666667</v>
      </c>
      <c r="M968" s="19">
        <f t="shared" si="12"/>
        <v>83.38333333</v>
      </c>
      <c r="N968" s="19">
        <f t="shared" si="13"/>
        <v>75.98333333</v>
      </c>
    </row>
    <row r="969" ht="24.75" customHeight="1">
      <c r="A969" s="21" t="s">
        <v>932</v>
      </c>
      <c r="B969" s="13">
        <f>IFERROR(__xludf.DUMMYFUNCTION("GOOGLEFINANCE(A969,""PRICE"")"),196.16)</f>
        <v>196.16</v>
      </c>
      <c r="C969" s="14">
        <f>IFERROR(__xludf.DUMMYFUNCTION("GOOGLEFINANCE(A969,""PRICEOPEN"")"),203.7)</f>
        <v>203.7</v>
      </c>
      <c r="D969" s="14">
        <f>IFERROR(__xludf.DUMMYFUNCTION("GOOGLEFINANCE(A969,""HIGH"")"),203.7)</f>
        <v>203.7</v>
      </c>
      <c r="E969" s="14">
        <f>IFERROR(__xludf.DUMMYFUNCTION("GOOGLEFINANCE(A969,""LOW"")"),196.01)</f>
        <v>196.01</v>
      </c>
      <c r="F969" s="15" t="str">
        <f t="shared" si="8"/>
        <v>SELL</v>
      </c>
      <c r="G969" s="16">
        <f>IFERROR(__xludf.DUMMYFUNCTION("GOOGLEFINANCE(A969,""CLOSEYEST"")"),198.9)</f>
        <v>198.9</v>
      </c>
      <c r="H969" s="17" t="str">
        <f t="shared" si="14"/>
        <v>GAP UP</v>
      </c>
      <c r="I969" s="18">
        <f t="shared" si="9"/>
        <v>199.5366667</v>
      </c>
      <c r="J969" s="19">
        <f t="shared" si="10"/>
        <v>203.0633333</v>
      </c>
      <c r="K969" s="19"/>
      <c r="L969" s="19">
        <f t="shared" si="11"/>
        <v>195.3733333</v>
      </c>
      <c r="M969" s="19">
        <f t="shared" si="12"/>
        <v>207.2266667</v>
      </c>
      <c r="N969" s="19">
        <f t="shared" si="13"/>
        <v>191.8466667</v>
      </c>
    </row>
    <row r="970" ht="24.75" customHeight="1">
      <c r="A970" s="21" t="s">
        <v>933</v>
      </c>
      <c r="B970" s="13">
        <f>IFERROR(__xludf.DUMMYFUNCTION("GOOGLEFINANCE(A970,""PRICE"")"),1.45)</f>
        <v>1.45</v>
      </c>
      <c r="C970" s="14">
        <f>IFERROR(__xludf.DUMMYFUNCTION("GOOGLEFINANCE(A970,""PRICEOPEN"")"),1.4)</f>
        <v>1.4</v>
      </c>
      <c r="D970" s="14">
        <f>IFERROR(__xludf.DUMMYFUNCTION("GOOGLEFINANCE(A970,""HIGH"")"),1.45)</f>
        <v>1.45</v>
      </c>
      <c r="E970" s="14">
        <f>IFERROR(__xludf.DUMMYFUNCTION("GOOGLEFINANCE(A970,""LOW"")"),1.38)</f>
        <v>1.38</v>
      </c>
      <c r="F970" s="15" t="str">
        <f t="shared" si="8"/>
        <v/>
      </c>
      <c r="G970" s="16">
        <f>IFERROR(__xludf.DUMMYFUNCTION("GOOGLEFINANCE(A970,""CLOSEYEST"")"),1.39)</f>
        <v>1.39</v>
      </c>
      <c r="H970" s="17" t="str">
        <f t="shared" si="14"/>
        <v/>
      </c>
      <c r="I970" s="18">
        <f t="shared" si="9"/>
        <v>1.406666667</v>
      </c>
      <c r="J970" s="19">
        <f t="shared" si="10"/>
        <v>1.433333333</v>
      </c>
      <c r="K970" s="19"/>
      <c r="L970" s="19">
        <f t="shared" si="11"/>
        <v>1.363333333</v>
      </c>
      <c r="M970" s="19">
        <f t="shared" si="12"/>
        <v>1.476666667</v>
      </c>
      <c r="N970" s="19">
        <f t="shared" si="13"/>
        <v>1.336666667</v>
      </c>
    </row>
    <row r="971" ht="24.75" customHeight="1">
      <c r="A971" s="21" t="s">
        <v>934</v>
      </c>
      <c r="B971" s="13" t="str">
        <f>IFERROR(__xludf.DUMMYFUNCTION("GOOGLEFINANCE(A971,""PRICE"")"),"#N/A")</f>
        <v>#N/A</v>
      </c>
      <c r="C971" s="14" t="str">
        <f>IFERROR(__xludf.DUMMYFUNCTION("GOOGLEFINANCE(A971,""PRICEOPEN"")"),"#N/A")</f>
        <v>#N/A</v>
      </c>
      <c r="D971" s="14" t="str">
        <f>IFERROR(__xludf.DUMMYFUNCTION("GOOGLEFINANCE(A971,""HIGH"")"),"#N/A")</f>
        <v>#N/A</v>
      </c>
      <c r="E971" s="14" t="str">
        <f>IFERROR(__xludf.DUMMYFUNCTION("GOOGLEFINANCE(A971,""LOW"")"),"#N/A")</f>
        <v>#N/A</v>
      </c>
      <c r="F971" s="15" t="str">
        <f t="shared" si="8"/>
        <v>#N/A</v>
      </c>
      <c r="G971" s="16" t="str">
        <f>IFERROR(__xludf.DUMMYFUNCTION("GOOGLEFINANCE(A971,""CLOSEYEST"")"),"#N/A")</f>
        <v>#N/A</v>
      </c>
      <c r="H971" s="17" t="str">
        <f t="shared" si="14"/>
        <v>#N/A</v>
      </c>
      <c r="I971" s="18" t="str">
        <f t="shared" si="9"/>
        <v>#N/A</v>
      </c>
      <c r="J971" s="19" t="str">
        <f t="shared" si="10"/>
        <v>#N/A</v>
      </c>
      <c r="K971" s="19"/>
      <c r="L971" s="19" t="str">
        <f t="shared" si="11"/>
        <v>#N/A</v>
      </c>
      <c r="M971" s="19" t="str">
        <f t="shared" si="12"/>
        <v>#N/A</v>
      </c>
      <c r="N971" s="19" t="str">
        <f t="shared" si="13"/>
        <v>#N/A</v>
      </c>
    </row>
    <row r="972" ht="24.75" customHeight="1">
      <c r="A972" s="21" t="s">
        <v>935</v>
      </c>
      <c r="B972" s="13">
        <f>IFERROR(__xludf.DUMMYFUNCTION("GOOGLEFINANCE(A972,""PRICE"")"),95.66)</f>
        <v>95.66</v>
      </c>
      <c r="C972" s="14">
        <f>IFERROR(__xludf.DUMMYFUNCTION("GOOGLEFINANCE(A972,""PRICEOPEN"")"),93.1)</f>
        <v>93.1</v>
      </c>
      <c r="D972" s="14">
        <f>IFERROR(__xludf.DUMMYFUNCTION("GOOGLEFINANCE(A972,""HIGH"")"),96.5)</f>
        <v>96.5</v>
      </c>
      <c r="E972" s="14">
        <f>IFERROR(__xludf.DUMMYFUNCTION("GOOGLEFINANCE(A972,""LOW"")"),91.66)</f>
        <v>91.66</v>
      </c>
      <c r="F972" s="15" t="str">
        <f t="shared" si="8"/>
        <v/>
      </c>
      <c r="G972" s="16">
        <f>IFERROR(__xludf.DUMMYFUNCTION("GOOGLEFINANCE(A972,""CLOSEYEST"")"),92.11)</f>
        <v>92.11</v>
      </c>
      <c r="H972" s="17" t="str">
        <f t="shared" si="14"/>
        <v>GAP UP</v>
      </c>
      <c r="I972" s="18">
        <f t="shared" si="9"/>
        <v>93.42333333</v>
      </c>
      <c r="J972" s="19">
        <f t="shared" si="10"/>
        <v>95.18666667</v>
      </c>
      <c r="K972" s="19"/>
      <c r="L972" s="19">
        <f t="shared" si="11"/>
        <v>90.34666667</v>
      </c>
      <c r="M972" s="19">
        <f t="shared" si="12"/>
        <v>98.26333333</v>
      </c>
      <c r="N972" s="19">
        <f t="shared" si="13"/>
        <v>88.58333333</v>
      </c>
    </row>
    <row r="973" ht="24.75" customHeight="1">
      <c r="A973" s="21" t="s">
        <v>936</v>
      </c>
      <c r="B973" s="13">
        <f>IFERROR(__xludf.DUMMYFUNCTION("GOOGLEFINANCE(A973,""PRICE"")"),652.5)</f>
        <v>652.5</v>
      </c>
      <c r="C973" s="14">
        <f>IFERROR(__xludf.DUMMYFUNCTION("GOOGLEFINANCE(A973,""PRICEOPEN"")"),666.35)</f>
        <v>666.35</v>
      </c>
      <c r="D973" s="14">
        <f>IFERROR(__xludf.DUMMYFUNCTION("GOOGLEFINANCE(A973,""HIGH"")"),666.8)</f>
        <v>666.8</v>
      </c>
      <c r="E973" s="14">
        <f>IFERROR(__xludf.DUMMYFUNCTION("GOOGLEFINANCE(A973,""LOW"")"),650.5)</f>
        <v>650.5</v>
      </c>
      <c r="F973" s="15" t="str">
        <f t="shared" si="8"/>
        <v/>
      </c>
      <c r="G973" s="16">
        <f>IFERROR(__xludf.DUMMYFUNCTION("GOOGLEFINANCE(A973,""CLOSEYEST"")"),663.05)</f>
        <v>663.05</v>
      </c>
      <c r="H973" s="17" t="str">
        <f t="shared" si="14"/>
        <v/>
      </c>
      <c r="I973" s="18">
        <f t="shared" si="9"/>
        <v>660.1166667</v>
      </c>
      <c r="J973" s="19">
        <f t="shared" si="10"/>
        <v>669.7333333</v>
      </c>
      <c r="K973" s="19"/>
      <c r="L973" s="19">
        <f t="shared" si="11"/>
        <v>653.4333333</v>
      </c>
      <c r="M973" s="19">
        <f t="shared" si="12"/>
        <v>676.4166667</v>
      </c>
      <c r="N973" s="19">
        <f t="shared" si="13"/>
        <v>643.8166667</v>
      </c>
    </row>
    <row r="974" ht="24.75" customHeight="1">
      <c r="A974" s="21" t="s">
        <v>937</v>
      </c>
      <c r="B974" s="13">
        <f>IFERROR(__xludf.DUMMYFUNCTION("GOOGLEFINANCE(A974,""PRICE"")"),403.0)</f>
        <v>403</v>
      </c>
      <c r="C974" s="14">
        <f>IFERROR(__xludf.DUMMYFUNCTION("GOOGLEFINANCE(A974,""PRICEOPEN"")"),415.0)</f>
        <v>415</v>
      </c>
      <c r="D974" s="14">
        <f>IFERROR(__xludf.DUMMYFUNCTION("GOOGLEFINANCE(A974,""HIGH"")"),416.05)</f>
        <v>416.05</v>
      </c>
      <c r="E974" s="14">
        <f>IFERROR(__xludf.DUMMYFUNCTION("GOOGLEFINANCE(A974,""LOW"")"),401.55)</f>
        <v>401.55</v>
      </c>
      <c r="F974" s="15" t="str">
        <f t="shared" si="8"/>
        <v/>
      </c>
      <c r="G974" s="16">
        <f>IFERROR(__xludf.DUMMYFUNCTION("GOOGLEFINANCE(A974,""CLOSEYEST"")"),410.25)</f>
        <v>410.25</v>
      </c>
      <c r="H974" s="17" t="str">
        <f t="shared" si="14"/>
        <v>GAP UP</v>
      </c>
      <c r="I974" s="18">
        <f t="shared" si="9"/>
        <v>409.2833333</v>
      </c>
      <c r="J974" s="19">
        <f t="shared" si="10"/>
        <v>417.0166667</v>
      </c>
      <c r="K974" s="19"/>
      <c r="L974" s="19">
        <f t="shared" si="11"/>
        <v>402.5166667</v>
      </c>
      <c r="M974" s="19">
        <f t="shared" si="12"/>
        <v>423.7833333</v>
      </c>
      <c r="N974" s="19">
        <f t="shared" si="13"/>
        <v>394.7833333</v>
      </c>
    </row>
    <row r="975" ht="24.75" customHeight="1">
      <c r="A975" s="21" t="s">
        <v>938</v>
      </c>
      <c r="B975" s="13">
        <f>IFERROR(__xludf.DUMMYFUNCTION("GOOGLEFINANCE(A975,""PRICE"")"),433.0)</f>
        <v>433</v>
      </c>
      <c r="C975" s="14">
        <f>IFERROR(__xludf.DUMMYFUNCTION("GOOGLEFINANCE(A975,""PRICEOPEN"")"),432.0)</f>
        <v>432</v>
      </c>
      <c r="D975" s="14">
        <f>IFERROR(__xludf.DUMMYFUNCTION("GOOGLEFINANCE(A975,""HIGH"")"),433.45)</f>
        <v>433.45</v>
      </c>
      <c r="E975" s="14">
        <f>IFERROR(__xludf.DUMMYFUNCTION("GOOGLEFINANCE(A975,""LOW"")"),426.45)</f>
        <v>426.45</v>
      </c>
      <c r="F975" s="15" t="str">
        <f t="shared" si="8"/>
        <v/>
      </c>
      <c r="G975" s="16">
        <f>IFERROR(__xludf.DUMMYFUNCTION("GOOGLEFINANCE(A975,""CLOSEYEST"")"),426.5)</f>
        <v>426.5</v>
      </c>
      <c r="H975" s="17" t="str">
        <f t="shared" si="14"/>
        <v>GAP UP</v>
      </c>
      <c r="I975" s="18">
        <f t="shared" si="9"/>
        <v>428.8</v>
      </c>
      <c r="J975" s="19">
        <f t="shared" si="10"/>
        <v>431.15</v>
      </c>
      <c r="K975" s="19"/>
      <c r="L975" s="19">
        <f t="shared" si="11"/>
        <v>424.15</v>
      </c>
      <c r="M975" s="19">
        <f t="shared" si="12"/>
        <v>435.8</v>
      </c>
      <c r="N975" s="19">
        <f t="shared" si="13"/>
        <v>421.8</v>
      </c>
    </row>
    <row r="976" ht="24.75" customHeight="1">
      <c r="A976" s="21" t="s">
        <v>939</v>
      </c>
      <c r="B976" s="13">
        <f>IFERROR(__xludf.DUMMYFUNCTION("GOOGLEFINANCE(A976,""PRICE"")"),1.32)</f>
        <v>1.32</v>
      </c>
      <c r="C976" s="14">
        <f>IFERROR(__xludf.DUMMYFUNCTION("GOOGLEFINANCE(A976,""PRICEOPEN"")"),1.32)</f>
        <v>1.32</v>
      </c>
      <c r="D976" s="14">
        <f>IFERROR(__xludf.DUMMYFUNCTION("GOOGLEFINANCE(A976,""HIGH"")"),1.32)</f>
        <v>1.32</v>
      </c>
      <c r="E976" s="14">
        <f>IFERROR(__xludf.DUMMYFUNCTION("GOOGLEFINANCE(A976,""LOW"")"),1.32)</f>
        <v>1.32</v>
      </c>
      <c r="F976" s="15" t="str">
        <f t="shared" si="8"/>
        <v>SELL</v>
      </c>
      <c r="G976" s="16">
        <f>IFERROR(__xludf.DUMMYFUNCTION("GOOGLEFINANCE(A976,""CLOSEYEST"")"),1.32)</f>
        <v>1.32</v>
      </c>
      <c r="H976" s="17" t="str">
        <f t="shared" si="14"/>
        <v/>
      </c>
      <c r="I976" s="18">
        <f t="shared" si="9"/>
        <v>1.32</v>
      </c>
      <c r="J976" s="19">
        <f t="shared" si="10"/>
        <v>1.32</v>
      </c>
      <c r="K976" s="19"/>
      <c r="L976" s="19">
        <f t="shared" si="11"/>
        <v>1.32</v>
      </c>
      <c r="M976" s="19">
        <f t="shared" si="12"/>
        <v>1.32</v>
      </c>
      <c r="N976" s="19">
        <f t="shared" si="13"/>
        <v>1.32</v>
      </c>
    </row>
    <row r="977" ht="24.75" customHeight="1">
      <c r="A977" s="21" t="s">
        <v>940</v>
      </c>
      <c r="B977" s="13">
        <f>IFERROR(__xludf.DUMMYFUNCTION("GOOGLEFINANCE(A977,""PRICE"")"),5310.0)</f>
        <v>5310</v>
      </c>
      <c r="C977" s="14">
        <f>IFERROR(__xludf.DUMMYFUNCTION("GOOGLEFINANCE(A977,""PRICEOPEN"")"),5140.0)</f>
        <v>5140</v>
      </c>
      <c r="D977" s="14">
        <f>IFERROR(__xludf.DUMMYFUNCTION("GOOGLEFINANCE(A977,""HIGH"")"),5345.0)</f>
        <v>5345</v>
      </c>
      <c r="E977" s="14">
        <f>IFERROR(__xludf.DUMMYFUNCTION("GOOGLEFINANCE(A977,""LOW"")"),5076.5)</f>
        <v>5076.5</v>
      </c>
      <c r="F977" s="15" t="str">
        <f t="shared" si="8"/>
        <v/>
      </c>
      <c r="G977" s="16">
        <f>IFERROR(__xludf.DUMMYFUNCTION("GOOGLEFINANCE(A977,""CLOSEYEST"")"),5118.0)</f>
        <v>5118</v>
      </c>
      <c r="H977" s="17" t="str">
        <f t="shared" si="14"/>
        <v/>
      </c>
      <c r="I977" s="18">
        <f t="shared" si="9"/>
        <v>5179.833333</v>
      </c>
      <c r="J977" s="19">
        <f t="shared" si="10"/>
        <v>5283.166667</v>
      </c>
      <c r="K977" s="19"/>
      <c r="L977" s="19">
        <f t="shared" si="11"/>
        <v>5014.666667</v>
      </c>
      <c r="M977" s="19">
        <f t="shared" si="12"/>
        <v>5448.333333</v>
      </c>
      <c r="N977" s="19">
        <f t="shared" si="13"/>
        <v>4911.333333</v>
      </c>
    </row>
    <row r="978" ht="24.75" customHeight="1">
      <c r="A978" s="21" t="s">
        <v>941</v>
      </c>
      <c r="B978" s="13">
        <f>IFERROR(__xludf.DUMMYFUNCTION("GOOGLEFINANCE(A978,""PRICE"")"),294.5)</f>
        <v>294.5</v>
      </c>
      <c r="C978" s="14">
        <f>IFERROR(__xludf.DUMMYFUNCTION("GOOGLEFINANCE(A978,""PRICEOPEN"")"),295.85)</f>
        <v>295.85</v>
      </c>
      <c r="D978" s="14">
        <f>IFERROR(__xludf.DUMMYFUNCTION("GOOGLEFINANCE(A978,""HIGH"")"),303.0)</f>
        <v>303</v>
      </c>
      <c r="E978" s="14">
        <f>IFERROR(__xludf.DUMMYFUNCTION("GOOGLEFINANCE(A978,""LOW"")"),291.05)</f>
        <v>291.05</v>
      </c>
      <c r="F978" s="15" t="str">
        <f t="shared" si="8"/>
        <v/>
      </c>
      <c r="G978" s="16">
        <f>IFERROR(__xludf.DUMMYFUNCTION("GOOGLEFINANCE(A978,""CLOSEYEST"")"),295.85)</f>
        <v>295.85</v>
      </c>
      <c r="H978" s="17" t="str">
        <f t="shared" si="14"/>
        <v/>
      </c>
      <c r="I978" s="18">
        <f t="shared" si="9"/>
        <v>296.6333333</v>
      </c>
      <c r="J978" s="19">
        <f t="shared" si="10"/>
        <v>302.2166667</v>
      </c>
      <c r="K978" s="19"/>
      <c r="L978" s="19">
        <f t="shared" si="11"/>
        <v>290.2666667</v>
      </c>
      <c r="M978" s="19">
        <f t="shared" si="12"/>
        <v>308.5833333</v>
      </c>
      <c r="N978" s="19">
        <f t="shared" si="13"/>
        <v>284.6833333</v>
      </c>
    </row>
    <row r="979" ht="24.75" customHeight="1">
      <c r="A979" s="21" t="s">
        <v>942</v>
      </c>
      <c r="B979" s="13" t="str">
        <f>IFERROR(__xludf.DUMMYFUNCTION("GOOGLEFINANCE(A979,""PRICE"")"),"#N/A")</f>
        <v>#N/A</v>
      </c>
      <c r="C979" s="14" t="str">
        <f>IFERROR(__xludf.DUMMYFUNCTION("GOOGLEFINANCE(A979,""PRICEOPEN"")"),"#N/A")</f>
        <v>#N/A</v>
      </c>
      <c r="D979" s="14" t="str">
        <f>IFERROR(__xludf.DUMMYFUNCTION("GOOGLEFINANCE(A979,""HIGH"")"),"#N/A")</f>
        <v>#N/A</v>
      </c>
      <c r="E979" s="14" t="str">
        <f>IFERROR(__xludf.DUMMYFUNCTION("GOOGLEFINANCE(A979,""LOW"")"),"#N/A")</f>
        <v>#N/A</v>
      </c>
      <c r="F979" s="15" t="str">
        <f t="shared" si="8"/>
        <v>#N/A</v>
      </c>
      <c r="G979" s="16" t="str">
        <f>IFERROR(__xludf.DUMMYFUNCTION("GOOGLEFINANCE(A979,""CLOSEYEST"")"),"#N/A")</f>
        <v>#N/A</v>
      </c>
      <c r="H979" s="17" t="str">
        <f t="shared" si="14"/>
        <v>#N/A</v>
      </c>
      <c r="I979" s="18" t="str">
        <f t="shared" si="9"/>
        <v>#N/A</v>
      </c>
      <c r="J979" s="19" t="str">
        <f t="shared" si="10"/>
        <v>#N/A</v>
      </c>
      <c r="K979" s="19"/>
      <c r="L979" s="19" t="str">
        <f t="shared" si="11"/>
        <v>#N/A</v>
      </c>
      <c r="M979" s="19" t="str">
        <f t="shared" si="12"/>
        <v>#N/A</v>
      </c>
      <c r="N979" s="19" t="str">
        <f t="shared" si="13"/>
        <v>#N/A</v>
      </c>
    </row>
    <row r="980" ht="24.75" customHeight="1">
      <c r="A980" s="21" t="s">
        <v>943</v>
      </c>
      <c r="B980" s="13">
        <f>IFERROR(__xludf.DUMMYFUNCTION("GOOGLEFINANCE(A980,""PRICE"")"),9155.0)</f>
        <v>9155</v>
      </c>
      <c r="C980" s="14">
        <f>IFERROR(__xludf.DUMMYFUNCTION("GOOGLEFINANCE(A980,""PRICEOPEN"")"),8880.0)</f>
        <v>8880</v>
      </c>
      <c r="D980" s="14">
        <f>IFERROR(__xludf.DUMMYFUNCTION("GOOGLEFINANCE(A980,""HIGH"")"),9270.5)</f>
        <v>9270.5</v>
      </c>
      <c r="E980" s="14">
        <f>IFERROR(__xludf.DUMMYFUNCTION("GOOGLEFINANCE(A980,""LOW"")"),8800.0)</f>
        <v>8800</v>
      </c>
      <c r="F980" s="15" t="str">
        <f t="shared" si="8"/>
        <v/>
      </c>
      <c r="G980" s="16">
        <f>IFERROR(__xludf.DUMMYFUNCTION("GOOGLEFINANCE(A980,""CLOSEYEST"")"),8882.5)</f>
        <v>8882.5</v>
      </c>
      <c r="H980" s="17" t="str">
        <f t="shared" si="14"/>
        <v/>
      </c>
      <c r="I980" s="18">
        <f t="shared" si="9"/>
        <v>8984.333333</v>
      </c>
      <c r="J980" s="19">
        <f t="shared" si="10"/>
        <v>9168.666667</v>
      </c>
      <c r="K980" s="19"/>
      <c r="L980" s="19">
        <f t="shared" si="11"/>
        <v>8698.166667</v>
      </c>
      <c r="M980" s="19">
        <f t="shared" si="12"/>
        <v>9454.833333</v>
      </c>
      <c r="N980" s="19">
        <f t="shared" si="13"/>
        <v>8513.833333</v>
      </c>
    </row>
    <row r="981" ht="24.75" customHeight="1">
      <c r="A981" s="21" t="s">
        <v>944</v>
      </c>
      <c r="B981" s="13">
        <f>IFERROR(__xludf.DUMMYFUNCTION("GOOGLEFINANCE(A981,""PRICE"")"),751.0)</f>
        <v>751</v>
      </c>
      <c r="C981" s="14">
        <f>IFERROR(__xludf.DUMMYFUNCTION("GOOGLEFINANCE(A981,""PRICEOPEN"")"),740.0)</f>
        <v>740</v>
      </c>
      <c r="D981" s="14">
        <f>IFERROR(__xludf.DUMMYFUNCTION("GOOGLEFINANCE(A981,""HIGH"")"),757.9)</f>
        <v>757.9</v>
      </c>
      <c r="E981" s="14">
        <f>IFERROR(__xludf.DUMMYFUNCTION("GOOGLEFINANCE(A981,""LOW"")"),740.0)</f>
        <v>740</v>
      </c>
      <c r="F981" s="15" t="str">
        <f t="shared" si="8"/>
        <v>BUY</v>
      </c>
      <c r="G981" s="16">
        <f>IFERROR(__xludf.DUMMYFUNCTION("GOOGLEFINANCE(A981,""CLOSEYEST"")"),744.15)</f>
        <v>744.15</v>
      </c>
      <c r="H981" s="17" t="str">
        <f t="shared" si="14"/>
        <v/>
      </c>
      <c r="I981" s="18">
        <f t="shared" si="9"/>
        <v>747.35</v>
      </c>
      <c r="J981" s="19">
        <f t="shared" si="10"/>
        <v>754.7</v>
      </c>
      <c r="K981" s="19"/>
      <c r="L981" s="19">
        <f t="shared" si="11"/>
        <v>736.8</v>
      </c>
      <c r="M981" s="19">
        <f t="shared" si="12"/>
        <v>765.25</v>
      </c>
      <c r="N981" s="19">
        <f t="shared" si="13"/>
        <v>729.45</v>
      </c>
    </row>
    <row r="982" ht="24.75" customHeight="1">
      <c r="A982" s="21" t="s">
        <v>945</v>
      </c>
      <c r="B982" s="13">
        <f>IFERROR(__xludf.DUMMYFUNCTION("GOOGLEFINANCE(A982,""PRICE"")"),484.0)</f>
        <v>484</v>
      </c>
      <c r="C982" s="14">
        <f>IFERROR(__xludf.DUMMYFUNCTION("GOOGLEFINANCE(A982,""PRICEOPEN"")"),489.75)</f>
        <v>489.75</v>
      </c>
      <c r="D982" s="14">
        <f>IFERROR(__xludf.DUMMYFUNCTION("GOOGLEFINANCE(A982,""HIGH"")"),489.75)</f>
        <v>489.75</v>
      </c>
      <c r="E982" s="14">
        <f>IFERROR(__xludf.DUMMYFUNCTION("GOOGLEFINANCE(A982,""LOW"")"),480.95)</f>
        <v>480.95</v>
      </c>
      <c r="F982" s="15" t="str">
        <f t="shared" si="8"/>
        <v>SELL</v>
      </c>
      <c r="G982" s="16">
        <f>IFERROR(__xludf.DUMMYFUNCTION("GOOGLEFINANCE(A982,""CLOSEYEST"")"),487.2)</f>
        <v>487.2</v>
      </c>
      <c r="H982" s="17" t="str">
        <f t="shared" si="14"/>
        <v/>
      </c>
      <c r="I982" s="18">
        <f t="shared" si="9"/>
        <v>485.9666667</v>
      </c>
      <c r="J982" s="19">
        <f t="shared" si="10"/>
        <v>490.9833333</v>
      </c>
      <c r="K982" s="19"/>
      <c r="L982" s="19">
        <f t="shared" si="11"/>
        <v>482.1833333</v>
      </c>
      <c r="M982" s="19">
        <f t="shared" si="12"/>
        <v>494.7666667</v>
      </c>
      <c r="N982" s="19">
        <f t="shared" si="13"/>
        <v>477.1666667</v>
      </c>
    </row>
    <row r="983" ht="24.75" customHeight="1">
      <c r="A983" s="21" t="s">
        <v>946</v>
      </c>
      <c r="B983" s="13">
        <f>IFERROR(__xludf.DUMMYFUNCTION("GOOGLEFINANCE(A983,""PRICE"")"),101.3)</f>
        <v>101.3</v>
      </c>
      <c r="C983" s="14">
        <f>IFERROR(__xludf.DUMMYFUNCTION("GOOGLEFINANCE(A983,""PRICEOPEN"")"),96.42)</f>
        <v>96.42</v>
      </c>
      <c r="D983" s="14">
        <f>IFERROR(__xludf.DUMMYFUNCTION("GOOGLEFINANCE(A983,""HIGH"")"),103.97)</f>
        <v>103.97</v>
      </c>
      <c r="E983" s="14">
        <f>IFERROR(__xludf.DUMMYFUNCTION("GOOGLEFINANCE(A983,""LOW"")"),96.41)</f>
        <v>96.41</v>
      </c>
      <c r="F983" s="15" t="str">
        <f t="shared" si="8"/>
        <v/>
      </c>
      <c r="G983" s="16">
        <f>IFERROR(__xludf.DUMMYFUNCTION("GOOGLEFINANCE(A983,""CLOSEYEST"")"),96.42)</f>
        <v>96.42</v>
      </c>
      <c r="H983" s="17" t="str">
        <f t="shared" si="14"/>
        <v/>
      </c>
      <c r="I983" s="18">
        <f t="shared" si="9"/>
        <v>98.93333333</v>
      </c>
      <c r="J983" s="19">
        <f t="shared" si="10"/>
        <v>101.4566667</v>
      </c>
      <c r="K983" s="19"/>
      <c r="L983" s="19">
        <f t="shared" si="11"/>
        <v>93.89666667</v>
      </c>
      <c r="M983" s="19">
        <f t="shared" si="12"/>
        <v>106.4933333</v>
      </c>
      <c r="N983" s="19">
        <f t="shared" si="13"/>
        <v>91.37333333</v>
      </c>
    </row>
    <row r="984" ht="24.75" customHeight="1">
      <c r="A984" s="21" t="s">
        <v>947</v>
      </c>
      <c r="B984" s="13" t="str">
        <f>IFERROR(__xludf.DUMMYFUNCTION("GOOGLEFINANCE(A984,""PRICE"")"),"#N/A")</f>
        <v>#N/A</v>
      </c>
      <c r="C984" s="14" t="str">
        <f>IFERROR(__xludf.DUMMYFUNCTION("GOOGLEFINANCE(A984,""PRICEOPEN"")"),"#N/A")</f>
        <v>#N/A</v>
      </c>
      <c r="D984" s="14" t="str">
        <f>IFERROR(__xludf.DUMMYFUNCTION("GOOGLEFINANCE(A984,""HIGH"")"),"#N/A")</f>
        <v>#N/A</v>
      </c>
      <c r="E984" s="14" t="str">
        <f>IFERROR(__xludf.DUMMYFUNCTION("GOOGLEFINANCE(A984,""LOW"")"),"#N/A")</f>
        <v>#N/A</v>
      </c>
      <c r="F984" s="15" t="str">
        <f t="shared" si="8"/>
        <v>#N/A</v>
      </c>
      <c r="G984" s="16" t="str">
        <f>IFERROR(__xludf.DUMMYFUNCTION("GOOGLEFINANCE(A984,""CLOSEYEST"")"),"#N/A")</f>
        <v>#N/A</v>
      </c>
      <c r="H984" s="17" t="str">
        <f t="shared" si="14"/>
        <v>#N/A</v>
      </c>
      <c r="I984" s="18" t="str">
        <f t="shared" si="9"/>
        <v>#N/A</v>
      </c>
      <c r="J984" s="19" t="str">
        <f t="shared" si="10"/>
        <v>#N/A</v>
      </c>
      <c r="K984" s="19"/>
      <c r="L984" s="19" t="str">
        <f t="shared" si="11"/>
        <v>#N/A</v>
      </c>
      <c r="M984" s="19" t="str">
        <f t="shared" si="12"/>
        <v>#N/A</v>
      </c>
      <c r="N984" s="19" t="str">
        <f t="shared" si="13"/>
        <v>#N/A</v>
      </c>
    </row>
    <row r="985" ht="24.75" customHeight="1">
      <c r="A985" s="21" t="s">
        <v>948</v>
      </c>
      <c r="B985" s="13">
        <f>IFERROR(__xludf.DUMMYFUNCTION("GOOGLEFINANCE(A985,""PRICE"")"),27.5)</f>
        <v>27.5</v>
      </c>
      <c r="C985" s="14">
        <f>IFERROR(__xludf.DUMMYFUNCTION("GOOGLEFINANCE(A985,""PRICEOPEN"")"),27.55)</f>
        <v>27.55</v>
      </c>
      <c r="D985" s="14">
        <f>IFERROR(__xludf.DUMMYFUNCTION("GOOGLEFINANCE(A985,""HIGH"")"),27.86)</f>
        <v>27.86</v>
      </c>
      <c r="E985" s="14">
        <f>IFERROR(__xludf.DUMMYFUNCTION("GOOGLEFINANCE(A985,""LOW"")"),26.5)</f>
        <v>26.5</v>
      </c>
      <c r="F985" s="15" t="str">
        <f t="shared" si="8"/>
        <v/>
      </c>
      <c r="G985" s="16">
        <f>IFERROR(__xludf.DUMMYFUNCTION("GOOGLEFINANCE(A985,""CLOSEYEST"")"),26.78)</f>
        <v>26.78</v>
      </c>
      <c r="H985" s="17" t="str">
        <f t="shared" si="14"/>
        <v>GAP UP</v>
      </c>
      <c r="I985" s="18">
        <f t="shared" si="9"/>
        <v>27.04666667</v>
      </c>
      <c r="J985" s="19">
        <f t="shared" si="10"/>
        <v>27.59333333</v>
      </c>
      <c r="K985" s="19"/>
      <c r="L985" s="19">
        <f t="shared" si="11"/>
        <v>26.23333333</v>
      </c>
      <c r="M985" s="19">
        <f t="shared" si="12"/>
        <v>28.40666667</v>
      </c>
      <c r="N985" s="19">
        <f t="shared" si="13"/>
        <v>25.68666667</v>
      </c>
    </row>
    <row r="986" ht="24.75" customHeight="1">
      <c r="A986" s="21" t="s">
        <v>949</v>
      </c>
      <c r="B986" s="13">
        <f>IFERROR(__xludf.DUMMYFUNCTION("GOOGLEFINANCE(A986,""PRICE"")"),150.0)</f>
        <v>150</v>
      </c>
      <c r="C986" s="14">
        <f>IFERROR(__xludf.DUMMYFUNCTION("GOOGLEFINANCE(A986,""PRICEOPEN"")"),150.19)</f>
        <v>150.19</v>
      </c>
      <c r="D986" s="14">
        <f>IFERROR(__xludf.DUMMYFUNCTION("GOOGLEFINANCE(A986,""HIGH"")"),152.0)</f>
        <v>152</v>
      </c>
      <c r="E986" s="14">
        <f>IFERROR(__xludf.DUMMYFUNCTION("GOOGLEFINANCE(A986,""LOW"")"),149.1)</f>
        <v>149.1</v>
      </c>
      <c r="F986" s="15" t="str">
        <f t="shared" si="8"/>
        <v/>
      </c>
      <c r="G986" s="16">
        <f>IFERROR(__xludf.DUMMYFUNCTION("GOOGLEFINANCE(A986,""CLOSEYEST"")"),149.1)</f>
        <v>149.1</v>
      </c>
      <c r="H986" s="17" t="str">
        <f t="shared" si="14"/>
        <v/>
      </c>
      <c r="I986" s="18">
        <f t="shared" si="9"/>
        <v>150.0666667</v>
      </c>
      <c r="J986" s="19">
        <f t="shared" si="10"/>
        <v>151.0333333</v>
      </c>
      <c r="K986" s="19"/>
      <c r="L986" s="19">
        <f t="shared" si="11"/>
        <v>148.1333333</v>
      </c>
      <c r="M986" s="19">
        <f t="shared" si="12"/>
        <v>152.9666667</v>
      </c>
      <c r="N986" s="19">
        <f t="shared" si="13"/>
        <v>147.1666667</v>
      </c>
    </row>
    <row r="987" ht="24.75" customHeight="1">
      <c r="A987" s="21" t="s">
        <v>950</v>
      </c>
      <c r="B987" s="13">
        <f>IFERROR(__xludf.DUMMYFUNCTION("GOOGLEFINANCE(A987,""PRICE"")"),2315.0)</f>
        <v>2315</v>
      </c>
      <c r="C987" s="14">
        <f>IFERROR(__xludf.DUMMYFUNCTION("GOOGLEFINANCE(A987,""PRICEOPEN"")"),2361.1)</f>
        <v>2361.1</v>
      </c>
      <c r="D987" s="14">
        <f>IFERROR(__xludf.DUMMYFUNCTION("GOOGLEFINANCE(A987,""HIGH"")"),2362.6)</f>
        <v>2362.6</v>
      </c>
      <c r="E987" s="14">
        <f>IFERROR(__xludf.DUMMYFUNCTION("GOOGLEFINANCE(A987,""LOW"")"),2315.0)</f>
        <v>2315</v>
      </c>
      <c r="F987" s="15" t="str">
        <f t="shared" si="8"/>
        <v/>
      </c>
      <c r="G987" s="16">
        <f>IFERROR(__xludf.DUMMYFUNCTION("GOOGLEFINANCE(A987,""CLOSEYEST"")"),2323.2)</f>
        <v>2323.2</v>
      </c>
      <c r="H987" s="17" t="str">
        <f t="shared" si="14"/>
        <v>GAP UP</v>
      </c>
      <c r="I987" s="18">
        <f t="shared" si="9"/>
        <v>2333.6</v>
      </c>
      <c r="J987" s="19">
        <f t="shared" si="10"/>
        <v>2352.2</v>
      </c>
      <c r="K987" s="19"/>
      <c r="L987" s="19">
        <f t="shared" si="11"/>
        <v>2304.6</v>
      </c>
      <c r="M987" s="19">
        <f t="shared" si="12"/>
        <v>2381.2</v>
      </c>
      <c r="N987" s="19">
        <f t="shared" si="13"/>
        <v>2286</v>
      </c>
    </row>
    <row r="988" ht="24.75" customHeight="1">
      <c r="A988" s="21" t="s">
        <v>951</v>
      </c>
      <c r="B988" s="13">
        <f>IFERROR(__xludf.DUMMYFUNCTION("GOOGLEFINANCE(A988,""PRICE"")"),384.0)</f>
        <v>384</v>
      </c>
      <c r="C988" s="14">
        <f>IFERROR(__xludf.DUMMYFUNCTION("GOOGLEFINANCE(A988,""PRICEOPEN"")"),384.8)</f>
        <v>384.8</v>
      </c>
      <c r="D988" s="14">
        <f>IFERROR(__xludf.DUMMYFUNCTION("GOOGLEFINANCE(A988,""HIGH"")"),390.0)</f>
        <v>390</v>
      </c>
      <c r="E988" s="14">
        <f>IFERROR(__xludf.DUMMYFUNCTION("GOOGLEFINANCE(A988,""LOW"")"),377.9)</f>
        <v>377.9</v>
      </c>
      <c r="F988" s="15" t="str">
        <f t="shared" si="8"/>
        <v/>
      </c>
      <c r="G988" s="16">
        <f>IFERROR(__xludf.DUMMYFUNCTION("GOOGLEFINANCE(A988,""CLOSEYEST"")"),383.95)</f>
        <v>383.95</v>
      </c>
      <c r="H988" s="17" t="str">
        <f t="shared" si="14"/>
        <v/>
      </c>
      <c r="I988" s="18">
        <f t="shared" si="9"/>
        <v>383.95</v>
      </c>
      <c r="J988" s="19">
        <f t="shared" si="10"/>
        <v>390</v>
      </c>
      <c r="K988" s="19"/>
      <c r="L988" s="19">
        <f t="shared" si="11"/>
        <v>377.9</v>
      </c>
      <c r="M988" s="19">
        <f t="shared" si="12"/>
        <v>396.05</v>
      </c>
      <c r="N988" s="19">
        <f t="shared" si="13"/>
        <v>371.85</v>
      </c>
    </row>
    <row r="989" ht="24.75" customHeight="1">
      <c r="A989" s="21" t="s">
        <v>952</v>
      </c>
      <c r="B989" s="13">
        <f>IFERROR(__xludf.DUMMYFUNCTION("GOOGLEFINANCE(A989,""PRICE"")"),264.7)</f>
        <v>264.7</v>
      </c>
      <c r="C989" s="14">
        <f>IFERROR(__xludf.DUMMYFUNCTION("GOOGLEFINANCE(A989,""PRICEOPEN"")"),259.9)</f>
        <v>259.9</v>
      </c>
      <c r="D989" s="14">
        <f>IFERROR(__xludf.DUMMYFUNCTION("GOOGLEFINANCE(A989,""HIGH"")"),267.5)</f>
        <v>267.5</v>
      </c>
      <c r="E989" s="14">
        <f>IFERROR(__xludf.DUMMYFUNCTION("GOOGLEFINANCE(A989,""LOW"")"),255.0)</f>
        <v>255</v>
      </c>
      <c r="F989" s="15" t="str">
        <f t="shared" si="8"/>
        <v/>
      </c>
      <c r="G989" s="16">
        <f>IFERROR(__xludf.DUMMYFUNCTION("GOOGLEFINANCE(A989,""CLOSEYEST"")"),258.1)</f>
        <v>258.1</v>
      </c>
      <c r="H989" s="17" t="str">
        <f t="shared" si="14"/>
        <v/>
      </c>
      <c r="I989" s="18">
        <f t="shared" si="9"/>
        <v>260.2</v>
      </c>
      <c r="J989" s="19">
        <f t="shared" si="10"/>
        <v>265.4</v>
      </c>
      <c r="K989" s="19"/>
      <c r="L989" s="19">
        <f t="shared" si="11"/>
        <v>252.9</v>
      </c>
      <c r="M989" s="19">
        <f t="shared" si="12"/>
        <v>272.7</v>
      </c>
      <c r="N989" s="19">
        <f t="shared" si="13"/>
        <v>247.7</v>
      </c>
    </row>
    <row r="990" ht="24.75" customHeight="1">
      <c r="A990" s="21" t="s">
        <v>953</v>
      </c>
      <c r="B990" s="13">
        <f>IFERROR(__xludf.DUMMYFUNCTION("GOOGLEFINANCE(A990,""PRICE"")"),151.41)</f>
        <v>151.41</v>
      </c>
      <c r="C990" s="14">
        <f>IFERROR(__xludf.DUMMYFUNCTION("GOOGLEFINANCE(A990,""PRICEOPEN"")"),152.98)</f>
        <v>152.98</v>
      </c>
      <c r="D990" s="14">
        <f>IFERROR(__xludf.DUMMYFUNCTION("GOOGLEFINANCE(A990,""HIGH"")"),153.95)</f>
        <v>153.95</v>
      </c>
      <c r="E990" s="14">
        <f>IFERROR(__xludf.DUMMYFUNCTION("GOOGLEFINANCE(A990,""LOW"")"),150.86)</f>
        <v>150.86</v>
      </c>
      <c r="F990" s="15" t="str">
        <f t="shared" si="8"/>
        <v/>
      </c>
      <c r="G990" s="16">
        <f>IFERROR(__xludf.DUMMYFUNCTION("GOOGLEFINANCE(A990,""CLOSEYEST"")"),152.98)</f>
        <v>152.98</v>
      </c>
      <c r="H990" s="17" t="str">
        <f t="shared" si="14"/>
        <v/>
      </c>
      <c r="I990" s="18">
        <f t="shared" si="9"/>
        <v>152.5966667</v>
      </c>
      <c r="J990" s="19">
        <f t="shared" si="10"/>
        <v>154.3333333</v>
      </c>
      <c r="K990" s="19"/>
      <c r="L990" s="19">
        <f t="shared" si="11"/>
        <v>151.2433333</v>
      </c>
      <c r="M990" s="19">
        <f t="shared" si="12"/>
        <v>155.6866667</v>
      </c>
      <c r="N990" s="19">
        <f t="shared" si="13"/>
        <v>149.5066667</v>
      </c>
    </row>
    <row r="991" ht="24.75" customHeight="1">
      <c r="A991" s="21" t="s">
        <v>954</v>
      </c>
      <c r="B991" s="13">
        <f>IFERROR(__xludf.DUMMYFUNCTION("GOOGLEFINANCE(A991,""PRICE"")"),109.49)</f>
        <v>109.49</v>
      </c>
      <c r="C991" s="14">
        <f>IFERROR(__xludf.DUMMYFUNCTION("GOOGLEFINANCE(A991,""PRICEOPEN"")"),104.0)</f>
        <v>104</v>
      </c>
      <c r="D991" s="14">
        <f>IFERROR(__xludf.DUMMYFUNCTION("GOOGLEFINANCE(A991,""HIGH"")"),111.0)</f>
        <v>111</v>
      </c>
      <c r="E991" s="14">
        <f>IFERROR(__xludf.DUMMYFUNCTION("GOOGLEFINANCE(A991,""LOW"")"),104.0)</f>
        <v>104</v>
      </c>
      <c r="F991" s="15" t="str">
        <f t="shared" si="8"/>
        <v>BUY</v>
      </c>
      <c r="G991" s="16">
        <f>IFERROR(__xludf.DUMMYFUNCTION("GOOGLEFINANCE(A991,""CLOSEYEST"")"),107.33)</f>
        <v>107.33</v>
      </c>
      <c r="H991" s="17" t="str">
        <f t="shared" si="14"/>
        <v>GAP DOWN</v>
      </c>
      <c r="I991" s="18">
        <f t="shared" si="9"/>
        <v>107.4433333</v>
      </c>
      <c r="J991" s="19">
        <f t="shared" si="10"/>
        <v>110.8866667</v>
      </c>
      <c r="K991" s="19"/>
      <c r="L991" s="19">
        <f t="shared" si="11"/>
        <v>103.8866667</v>
      </c>
      <c r="M991" s="19">
        <f t="shared" si="12"/>
        <v>114.4433333</v>
      </c>
      <c r="N991" s="19">
        <f t="shared" si="13"/>
        <v>100.4433333</v>
      </c>
    </row>
    <row r="992" ht="24.75" customHeight="1">
      <c r="A992" s="21" t="s">
        <v>955</v>
      </c>
      <c r="B992" s="13">
        <f>IFERROR(__xludf.DUMMYFUNCTION("GOOGLEFINANCE(A992,""PRICE"")"),1.02)</f>
        <v>1.02</v>
      </c>
      <c r="C992" s="14" t="str">
        <f>IFERROR(__xludf.DUMMYFUNCTION("GOOGLEFINANCE(A992,""PRICEOPEN"")"),"#N/A")</f>
        <v>#N/A</v>
      </c>
      <c r="D992" s="14" t="str">
        <f>IFERROR(__xludf.DUMMYFUNCTION("GOOGLEFINANCE(A992,""HIGH"")"),"#N/A")</f>
        <v>#N/A</v>
      </c>
      <c r="E992" s="14" t="str">
        <f>IFERROR(__xludf.DUMMYFUNCTION("GOOGLEFINANCE(A992,""LOW"")"),"#N/A")</f>
        <v>#N/A</v>
      </c>
      <c r="F992" s="15" t="str">
        <f t="shared" si="8"/>
        <v>#N/A</v>
      </c>
      <c r="G992" s="16">
        <f>IFERROR(__xludf.DUMMYFUNCTION("GOOGLEFINANCE(A992,""CLOSEYEST"")"),1.02)</f>
        <v>1.02</v>
      </c>
      <c r="H992" s="17" t="str">
        <f t="shared" si="14"/>
        <v>#N/A</v>
      </c>
      <c r="I992" s="18" t="str">
        <f t="shared" si="9"/>
        <v>#N/A</v>
      </c>
      <c r="J992" s="19" t="str">
        <f t="shared" si="10"/>
        <v>#N/A</v>
      </c>
      <c r="K992" s="19"/>
      <c r="L992" s="19" t="str">
        <f t="shared" si="11"/>
        <v>#N/A</v>
      </c>
      <c r="M992" s="19" t="str">
        <f t="shared" si="12"/>
        <v>#N/A</v>
      </c>
      <c r="N992" s="19" t="str">
        <f t="shared" si="13"/>
        <v>#N/A</v>
      </c>
    </row>
    <row r="993" ht="24.75" customHeight="1">
      <c r="A993" s="21" t="s">
        <v>956</v>
      </c>
      <c r="B993" s="13">
        <f>IFERROR(__xludf.DUMMYFUNCTION("GOOGLEFINANCE(A993,""PRICE"")"),181.82)</f>
        <v>181.82</v>
      </c>
      <c r="C993" s="14">
        <f>IFERROR(__xludf.DUMMYFUNCTION("GOOGLEFINANCE(A993,""PRICEOPEN"")"),182.1)</f>
        <v>182.1</v>
      </c>
      <c r="D993" s="14">
        <f>IFERROR(__xludf.DUMMYFUNCTION("GOOGLEFINANCE(A993,""HIGH"")"),182.1)</f>
        <v>182.1</v>
      </c>
      <c r="E993" s="14">
        <f>IFERROR(__xludf.DUMMYFUNCTION("GOOGLEFINANCE(A993,""LOW"")"),181.82)</f>
        <v>181.82</v>
      </c>
      <c r="F993" s="15" t="str">
        <f t="shared" si="8"/>
        <v>SELL</v>
      </c>
      <c r="G993" s="16">
        <f>IFERROR(__xludf.DUMMYFUNCTION("GOOGLEFINANCE(A993,""CLOSEYEST"")"),181.28)</f>
        <v>181.28</v>
      </c>
      <c r="H993" s="17" t="str">
        <f t="shared" si="14"/>
        <v/>
      </c>
      <c r="I993" s="18">
        <f t="shared" si="9"/>
        <v>181.7333333</v>
      </c>
      <c r="J993" s="19">
        <f t="shared" si="10"/>
        <v>181.6466667</v>
      </c>
      <c r="K993" s="19"/>
      <c r="L993" s="19">
        <f t="shared" si="11"/>
        <v>181.3666667</v>
      </c>
      <c r="M993" s="19">
        <f t="shared" si="12"/>
        <v>182.0133333</v>
      </c>
      <c r="N993" s="19">
        <f t="shared" si="13"/>
        <v>181.4533333</v>
      </c>
    </row>
    <row r="994" ht="24.75" customHeight="1">
      <c r="A994" s="21" t="s">
        <v>957</v>
      </c>
      <c r="B994" s="13">
        <f>IFERROR(__xludf.DUMMYFUNCTION("GOOGLEFINANCE(A994,""PRICE"")"),375.0)</f>
        <v>375</v>
      </c>
      <c r="C994" s="14">
        <f>IFERROR(__xludf.DUMMYFUNCTION("GOOGLEFINANCE(A994,""PRICEOPEN"")"),363.7)</f>
        <v>363.7</v>
      </c>
      <c r="D994" s="14">
        <f>IFERROR(__xludf.DUMMYFUNCTION("GOOGLEFINANCE(A994,""HIGH"")"),375.7)</f>
        <v>375.7</v>
      </c>
      <c r="E994" s="14">
        <f>IFERROR(__xludf.DUMMYFUNCTION("GOOGLEFINANCE(A994,""LOW"")"),363.65)</f>
        <v>363.65</v>
      </c>
      <c r="F994" s="15" t="str">
        <f t="shared" si="8"/>
        <v/>
      </c>
      <c r="G994" s="16">
        <f>IFERROR(__xludf.DUMMYFUNCTION("GOOGLEFINANCE(A994,""CLOSEYEST"")"),366.7)</f>
        <v>366.7</v>
      </c>
      <c r="H994" s="17" t="str">
        <f t="shared" si="14"/>
        <v/>
      </c>
      <c r="I994" s="18">
        <f t="shared" si="9"/>
        <v>368.6833333</v>
      </c>
      <c r="J994" s="19">
        <f t="shared" si="10"/>
        <v>373.7166667</v>
      </c>
      <c r="K994" s="19"/>
      <c r="L994" s="19">
        <f t="shared" si="11"/>
        <v>361.6666667</v>
      </c>
      <c r="M994" s="19">
        <f t="shared" si="12"/>
        <v>380.7333333</v>
      </c>
      <c r="N994" s="19">
        <f t="shared" si="13"/>
        <v>356.6333333</v>
      </c>
    </row>
    <row r="995" ht="24.75" customHeight="1">
      <c r="A995" s="21" t="s">
        <v>958</v>
      </c>
      <c r="B995" s="13" t="str">
        <f>IFERROR(__xludf.DUMMYFUNCTION("GOOGLEFINANCE(A995,""PRICE"")"),"#N/A")</f>
        <v>#N/A</v>
      </c>
      <c r="C995" s="14" t="str">
        <f>IFERROR(__xludf.DUMMYFUNCTION("GOOGLEFINANCE(A995,""PRICEOPEN"")"),"#N/A")</f>
        <v>#N/A</v>
      </c>
      <c r="D995" s="14" t="str">
        <f>IFERROR(__xludf.DUMMYFUNCTION("GOOGLEFINANCE(A995,""HIGH"")"),"#N/A")</f>
        <v>#N/A</v>
      </c>
      <c r="E995" s="14" t="str">
        <f>IFERROR(__xludf.DUMMYFUNCTION("GOOGLEFINANCE(A995,""LOW"")"),"#N/A")</f>
        <v>#N/A</v>
      </c>
      <c r="F995" s="15" t="str">
        <f t="shared" si="8"/>
        <v>#N/A</v>
      </c>
      <c r="G995" s="16" t="str">
        <f>IFERROR(__xludf.DUMMYFUNCTION("GOOGLEFINANCE(A995,""CLOSEYEST"")"),"#N/A")</f>
        <v>#N/A</v>
      </c>
      <c r="H995" s="17" t="str">
        <f t="shared" si="14"/>
        <v>#N/A</v>
      </c>
      <c r="I995" s="18" t="str">
        <f t="shared" si="9"/>
        <v>#N/A</v>
      </c>
      <c r="J995" s="19" t="str">
        <f t="shared" si="10"/>
        <v>#N/A</v>
      </c>
      <c r="K995" s="19"/>
      <c r="L995" s="19" t="str">
        <f t="shared" si="11"/>
        <v>#N/A</v>
      </c>
      <c r="M995" s="19" t="str">
        <f t="shared" si="12"/>
        <v>#N/A</v>
      </c>
      <c r="N995" s="19" t="str">
        <f t="shared" si="13"/>
        <v>#N/A</v>
      </c>
    </row>
    <row r="996" ht="24.75" customHeight="1">
      <c r="A996" s="21" t="s">
        <v>959</v>
      </c>
      <c r="B996" s="13">
        <f>IFERROR(__xludf.DUMMYFUNCTION("GOOGLEFINANCE(A996,""PRICE"")"),7.56)</f>
        <v>7.56</v>
      </c>
      <c r="C996" s="14">
        <f>IFERROR(__xludf.DUMMYFUNCTION("GOOGLEFINANCE(A996,""PRICEOPEN"")"),7.56)</f>
        <v>7.56</v>
      </c>
      <c r="D996" s="14">
        <f>IFERROR(__xludf.DUMMYFUNCTION("GOOGLEFINANCE(A996,""HIGH"")"),7.56)</f>
        <v>7.56</v>
      </c>
      <c r="E996" s="14">
        <f>IFERROR(__xludf.DUMMYFUNCTION("GOOGLEFINANCE(A996,""LOW"")"),7.34)</f>
        <v>7.34</v>
      </c>
      <c r="F996" s="15" t="str">
        <f t="shared" si="8"/>
        <v>SELL</v>
      </c>
      <c r="G996" s="16">
        <f>IFERROR(__xludf.DUMMYFUNCTION("GOOGLEFINANCE(A996,""CLOSEYEST"")"),7.2)</f>
        <v>7.2</v>
      </c>
      <c r="H996" s="17" t="str">
        <f t="shared" si="14"/>
        <v>GAP UP</v>
      </c>
      <c r="I996" s="18">
        <f t="shared" si="9"/>
        <v>7.366666667</v>
      </c>
      <c r="J996" s="19">
        <f t="shared" si="10"/>
        <v>7.393333333</v>
      </c>
      <c r="K996" s="19"/>
      <c r="L996" s="19">
        <f t="shared" si="11"/>
        <v>7.173333333</v>
      </c>
      <c r="M996" s="19">
        <f t="shared" si="12"/>
        <v>7.586666667</v>
      </c>
      <c r="N996" s="19">
        <f t="shared" si="13"/>
        <v>7.146666667</v>
      </c>
    </row>
    <row r="997" ht="24.75" customHeight="1">
      <c r="A997" s="21" t="s">
        <v>960</v>
      </c>
      <c r="B997" s="13" t="str">
        <f>IFERROR(__xludf.DUMMYFUNCTION("GOOGLEFINANCE(A997,""PRICE"")"),"#N/A")</f>
        <v>#N/A</v>
      </c>
      <c r="C997" s="14" t="str">
        <f>IFERROR(__xludf.DUMMYFUNCTION("GOOGLEFINANCE(A997,""PRICEOPEN"")"),"#N/A")</f>
        <v>#N/A</v>
      </c>
      <c r="D997" s="14" t="str">
        <f>IFERROR(__xludf.DUMMYFUNCTION("GOOGLEFINANCE(A997,""HIGH"")"),"#N/A")</f>
        <v>#N/A</v>
      </c>
      <c r="E997" s="14" t="str">
        <f>IFERROR(__xludf.DUMMYFUNCTION("GOOGLEFINANCE(A997,""LOW"")"),"#N/A")</f>
        <v>#N/A</v>
      </c>
      <c r="F997" s="15" t="str">
        <f t="shared" si="8"/>
        <v>#N/A</v>
      </c>
      <c r="G997" s="16" t="str">
        <f>IFERROR(__xludf.DUMMYFUNCTION("GOOGLEFINANCE(A997,""CLOSEYEST"")"),"#N/A")</f>
        <v>#N/A</v>
      </c>
      <c r="H997" s="17" t="str">
        <f t="shared" si="14"/>
        <v>#N/A</v>
      </c>
      <c r="I997" s="18" t="str">
        <f t="shared" si="9"/>
        <v>#N/A</v>
      </c>
      <c r="J997" s="19" t="str">
        <f t="shared" si="10"/>
        <v>#N/A</v>
      </c>
      <c r="K997" s="19"/>
      <c r="L997" s="19" t="str">
        <f t="shared" si="11"/>
        <v>#N/A</v>
      </c>
      <c r="M997" s="19" t="str">
        <f t="shared" si="12"/>
        <v>#N/A</v>
      </c>
      <c r="N997" s="19" t="str">
        <f t="shared" si="13"/>
        <v>#N/A</v>
      </c>
    </row>
    <row r="998" ht="24.75" customHeight="1">
      <c r="A998" s="21" t="s">
        <v>961</v>
      </c>
      <c r="B998" s="13">
        <f>IFERROR(__xludf.DUMMYFUNCTION("GOOGLEFINANCE(A998,""PRICE"")"),1145.0)</f>
        <v>1145</v>
      </c>
      <c r="C998" s="14">
        <f>IFERROR(__xludf.DUMMYFUNCTION("GOOGLEFINANCE(A998,""PRICEOPEN"")"),1176.5)</f>
        <v>1176.5</v>
      </c>
      <c r="D998" s="14">
        <f>IFERROR(__xludf.DUMMYFUNCTION("GOOGLEFINANCE(A998,""HIGH"")"),1188.0)</f>
        <v>1188</v>
      </c>
      <c r="E998" s="14">
        <f>IFERROR(__xludf.DUMMYFUNCTION("GOOGLEFINANCE(A998,""LOW"")"),1145.0)</f>
        <v>1145</v>
      </c>
      <c r="F998" s="15" t="str">
        <f t="shared" si="8"/>
        <v/>
      </c>
      <c r="G998" s="16">
        <f>IFERROR(__xludf.DUMMYFUNCTION("GOOGLEFINANCE(A998,""CLOSEYEST"")"),1158.9)</f>
        <v>1158.9</v>
      </c>
      <c r="H998" s="17" t="str">
        <f t="shared" si="14"/>
        <v>GAP UP</v>
      </c>
      <c r="I998" s="18">
        <f t="shared" si="9"/>
        <v>1163.966667</v>
      </c>
      <c r="J998" s="19">
        <f t="shared" si="10"/>
        <v>1182.933333</v>
      </c>
      <c r="K998" s="19"/>
      <c r="L998" s="19">
        <f t="shared" si="11"/>
        <v>1139.933333</v>
      </c>
      <c r="M998" s="19">
        <f t="shared" si="12"/>
        <v>1206.966667</v>
      </c>
      <c r="N998" s="19">
        <f t="shared" si="13"/>
        <v>1120.966667</v>
      </c>
    </row>
    <row r="999" ht="24.75" customHeight="1">
      <c r="A999" s="21" t="s">
        <v>962</v>
      </c>
      <c r="B999" s="13">
        <f>IFERROR(__xludf.DUMMYFUNCTION("GOOGLEFINANCE(A999,""PRICE"")"),0.06)</f>
        <v>0.06</v>
      </c>
      <c r="C999" s="14">
        <f>IFERROR(__xludf.DUMMYFUNCTION("GOOGLEFINANCE(A999,""PRICEOPEN"")"),0.05)</f>
        <v>0.05</v>
      </c>
      <c r="D999" s="14">
        <f>IFERROR(__xludf.DUMMYFUNCTION("GOOGLEFINANCE(A999,""HIGH"")"),0.06)</f>
        <v>0.06</v>
      </c>
      <c r="E999" s="14">
        <f>IFERROR(__xludf.DUMMYFUNCTION("GOOGLEFINANCE(A999,""LOW"")"),0.05)</f>
        <v>0.05</v>
      </c>
      <c r="F999" s="15" t="str">
        <f t="shared" si="8"/>
        <v>BUY</v>
      </c>
      <c r="G999" s="16">
        <f>IFERROR(__xludf.DUMMYFUNCTION("GOOGLEFINANCE(A999,""CLOSEYEST"")"),0.05)</f>
        <v>0.05</v>
      </c>
      <c r="H999" s="17" t="str">
        <f t="shared" si="14"/>
        <v/>
      </c>
      <c r="I999" s="18">
        <f t="shared" si="9"/>
        <v>0.05333333333</v>
      </c>
      <c r="J999" s="19">
        <f t="shared" si="10"/>
        <v>0.05666666667</v>
      </c>
      <c r="K999" s="19"/>
      <c r="L999" s="19">
        <f t="shared" si="11"/>
        <v>0.04666666667</v>
      </c>
      <c r="M999" s="19">
        <f t="shared" si="12"/>
        <v>0.06333333333</v>
      </c>
      <c r="N999" s="19">
        <f t="shared" si="13"/>
        <v>0.04333333333</v>
      </c>
    </row>
    <row r="1000" ht="24.75" customHeight="1">
      <c r="A1000" s="21" t="s">
        <v>963</v>
      </c>
      <c r="B1000" s="13" t="str">
        <f>IFERROR(__xludf.DUMMYFUNCTION("GOOGLEFINANCE(A1000,""PRICE"")"),"#N/A")</f>
        <v>#N/A</v>
      </c>
      <c r="C1000" s="14" t="str">
        <f>IFERROR(__xludf.DUMMYFUNCTION("GOOGLEFINANCE(A1000,""PRICEOPEN"")"),"#N/A")</f>
        <v>#N/A</v>
      </c>
      <c r="D1000" s="14" t="str">
        <f>IFERROR(__xludf.DUMMYFUNCTION("GOOGLEFINANCE(A1000,""HIGH"")"),"#N/A")</f>
        <v>#N/A</v>
      </c>
      <c r="E1000" s="14" t="str">
        <f>IFERROR(__xludf.DUMMYFUNCTION("GOOGLEFINANCE(A1000,""LOW"")"),"#N/A")</f>
        <v>#N/A</v>
      </c>
      <c r="F1000" s="15" t="str">
        <f t="shared" si="8"/>
        <v>#N/A</v>
      </c>
      <c r="G1000" s="16" t="str">
        <f>IFERROR(__xludf.DUMMYFUNCTION("GOOGLEFINANCE(A1000,""CLOSEYEST"")"),"#N/A")</f>
        <v>#N/A</v>
      </c>
      <c r="H1000" s="17" t="str">
        <f t="shared" si="14"/>
        <v>#N/A</v>
      </c>
      <c r="I1000" s="18" t="str">
        <f t="shared" si="9"/>
        <v>#N/A</v>
      </c>
      <c r="J1000" s="19" t="str">
        <f t="shared" si="10"/>
        <v>#N/A</v>
      </c>
      <c r="K1000" s="19"/>
      <c r="L1000" s="19" t="str">
        <f t="shared" si="11"/>
        <v>#N/A</v>
      </c>
      <c r="M1000" s="19" t="str">
        <f t="shared" si="12"/>
        <v>#N/A</v>
      </c>
      <c r="N1000" s="19" t="str">
        <f t="shared" si="13"/>
        <v>#N/A</v>
      </c>
    </row>
    <row r="1001" ht="24.75" customHeight="1">
      <c r="A1001" s="21" t="s">
        <v>964</v>
      </c>
      <c r="B1001" s="13">
        <f>IFERROR(__xludf.DUMMYFUNCTION("GOOGLEFINANCE(A1001,""PRICE"")"),1.85)</f>
        <v>1.85</v>
      </c>
      <c r="C1001" s="14">
        <f>IFERROR(__xludf.DUMMYFUNCTION("GOOGLEFINANCE(A1001,""PRICEOPEN"")"),1.77)</f>
        <v>1.77</v>
      </c>
      <c r="D1001" s="14">
        <f>IFERROR(__xludf.DUMMYFUNCTION("GOOGLEFINANCE(A1001,""HIGH"")"),1.85)</f>
        <v>1.85</v>
      </c>
      <c r="E1001" s="14">
        <f>IFERROR(__xludf.DUMMYFUNCTION("GOOGLEFINANCE(A1001,""LOW"")"),1.73)</f>
        <v>1.73</v>
      </c>
      <c r="F1001" s="15" t="str">
        <f t="shared" si="8"/>
        <v/>
      </c>
      <c r="G1001" s="16">
        <f>IFERROR(__xludf.DUMMYFUNCTION("GOOGLEFINANCE(A1001,""CLOSEYEST"")"),1.77)</f>
        <v>1.77</v>
      </c>
      <c r="H1001" s="17" t="str">
        <f t="shared" si="14"/>
        <v/>
      </c>
      <c r="I1001" s="18">
        <f t="shared" si="9"/>
        <v>1.783333333</v>
      </c>
      <c r="J1001" s="19">
        <f t="shared" si="10"/>
        <v>1.836666667</v>
      </c>
      <c r="K1001" s="19"/>
      <c r="L1001" s="19">
        <f t="shared" si="11"/>
        <v>1.716666667</v>
      </c>
      <c r="M1001" s="19">
        <f t="shared" si="12"/>
        <v>1.903333333</v>
      </c>
      <c r="N1001" s="19">
        <f t="shared" si="13"/>
        <v>1.663333333</v>
      </c>
    </row>
    <row r="1002" ht="24.75" customHeight="1">
      <c r="A1002" s="21" t="s">
        <v>965</v>
      </c>
      <c r="B1002" s="13">
        <f>IFERROR(__xludf.DUMMYFUNCTION("GOOGLEFINANCE(A1002,""PRICE"")"),1260.0)</f>
        <v>1260</v>
      </c>
      <c r="C1002" s="14">
        <f>IFERROR(__xludf.DUMMYFUNCTION("GOOGLEFINANCE(A1002,""PRICEOPEN"")"),1263.7)</f>
        <v>1263.7</v>
      </c>
      <c r="D1002" s="14">
        <f>IFERROR(__xludf.DUMMYFUNCTION("GOOGLEFINANCE(A1002,""HIGH"")"),1279.0)</f>
        <v>1279</v>
      </c>
      <c r="E1002" s="14">
        <f>IFERROR(__xludf.DUMMYFUNCTION("GOOGLEFINANCE(A1002,""LOW"")"),1244.6)</f>
        <v>1244.6</v>
      </c>
      <c r="F1002" s="15" t="str">
        <f t="shared" si="8"/>
        <v/>
      </c>
      <c r="G1002" s="16">
        <f>IFERROR(__xludf.DUMMYFUNCTION("GOOGLEFINANCE(A1002,""CLOSEYEST"")"),1260.2)</f>
        <v>1260.2</v>
      </c>
      <c r="H1002" s="17" t="str">
        <f t="shared" si="14"/>
        <v/>
      </c>
      <c r="I1002" s="18">
        <f t="shared" si="9"/>
        <v>1261.266667</v>
      </c>
      <c r="J1002" s="19">
        <f t="shared" si="10"/>
        <v>1277.933333</v>
      </c>
      <c r="K1002" s="19"/>
      <c r="L1002" s="19">
        <f t="shared" si="11"/>
        <v>1243.533333</v>
      </c>
      <c r="M1002" s="19">
        <f t="shared" si="12"/>
        <v>1295.666667</v>
      </c>
      <c r="N1002" s="19">
        <f t="shared" si="13"/>
        <v>1226.866667</v>
      </c>
    </row>
    <row r="1003" ht="24.75" customHeight="1">
      <c r="A1003" s="21" t="s">
        <v>966</v>
      </c>
      <c r="B1003" s="13">
        <f>IFERROR(__xludf.DUMMYFUNCTION("GOOGLEFINANCE(A1003,""PRICE"")"),1101.0)</f>
        <v>1101</v>
      </c>
      <c r="C1003" s="14">
        <f>IFERROR(__xludf.DUMMYFUNCTION("GOOGLEFINANCE(A1003,""PRICEOPEN"")"),1085.0)</f>
        <v>1085</v>
      </c>
      <c r="D1003" s="14">
        <f>IFERROR(__xludf.DUMMYFUNCTION("GOOGLEFINANCE(A1003,""HIGH"")"),1118.5)</f>
        <v>1118.5</v>
      </c>
      <c r="E1003" s="14">
        <f>IFERROR(__xludf.DUMMYFUNCTION("GOOGLEFINANCE(A1003,""LOW"")"),1076.0)</f>
        <v>1076</v>
      </c>
      <c r="F1003" s="15" t="str">
        <f t="shared" si="8"/>
        <v/>
      </c>
      <c r="G1003" s="16">
        <f>IFERROR(__xludf.DUMMYFUNCTION("GOOGLEFINANCE(A1003,""CLOSEYEST"")"),1082.6)</f>
        <v>1082.6</v>
      </c>
      <c r="H1003" s="17" t="str">
        <f t="shared" si="14"/>
        <v/>
      </c>
      <c r="I1003" s="18">
        <f t="shared" si="9"/>
        <v>1092.366667</v>
      </c>
      <c r="J1003" s="19">
        <f t="shared" si="10"/>
        <v>1108.733333</v>
      </c>
      <c r="K1003" s="19"/>
      <c r="L1003" s="19">
        <f t="shared" si="11"/>
        <v>1066.233333</v>
      </c>
      <c r="M1003" s="19">
        <f t="shared" si="12"/>
        <v>1134.866667</v>
      </c>
      <c r="N1003" s="19">
        <f t="shared" si="13"/>
        <v>1049.866667</v>
      </c>
    </row>
    <row r="1004" ht="24.75" customHeight="1">
      <c r="A1004" s="21" t="s">
        <v>967</v>
      </c>
      <c r="B1004" s="13">
        <f>IFERROR(__xludf.DUMMYFUNCTION("GOOGLEFINANCE(A1004,""PRICE"")"),207.0)</f>
        <v>207</v>
      </c>
      <c r="C1004" s="14">
        <f>IFERROR(__xludf.DUMMYFUNCTION("GOOGLEFINANCE(A1004,""PRICEOPEN"")"),200.0)</f>
        <v>200</v>
      </c>
      <c r="D1004" s="14">
        <f>IFERROR(__xludf.DUMMYFUNCTION("GOOGLEFINANCE(A1004,""HIGH"")"),207.89)</f>
        <v>207.89</v>
      </c>
      <c r="E1004" s="14">
        <f>IFERROR(__xludf.DUMMYFUNCTION("GOOGLEFINANCE(A1004,""LOW"")"),198.93)</f>
        <v>198.93</v>
      </c>
      <c r="F1004" s="15" t="str">
        <f t="shared" si="8"/>
        <v/>
      </c>
      <c r="G1004" s="16">
        <f>IFERROR(__xludf.DUMMYFUNCTION("GOOGLEFINANCE(A1004,""CLOSEYEST"")"),198.93)</f>
        <v>198.93</v>
      </c>
      <c r="H1004" s="17" t="str">
        <f t="shared" si="14"/>
        <v/>
      </c>
      <c r="I1004" s="18">
        <f t="shared" si="9"/>
        <v>201.9166667</v>
      </c>
      <c r="J1004" s="19">
        <f t="shared" si="10"/>
        <v>204.9033333</v>
      </c>
      <c r="K1004" s="19"/>
      <c r="L1004" s="19">
        <f t="shared" si="11"/>
        <v>195.9433333</v>
      </c>
      <c r="M1004" s="19">
        <f t="shared" si="12"/>
        <v>210.8766667</v>
      </c>
      <c r="N1004" s="19">
        <f t="shared" si="13"/>
        <v>192.9566667</v>
      </c>
    </row>
    <row r="1005" ht="24.75" customHeight="1">
      <c r="A1005" s="21" t="s">
        <v>968</v>
      </c>
      <c r="B1005" s="13" t="str">
        <f>IFERROR(__xludf.DUMMYFUNCTION("GOOGLEFINANCE(A1005,""PRICE"")"),"#N/A")</f>
        <v>#N/A</v>
      </c>
      <c r="C1005" s="14" t="str">
        <f>IFERROR(__xludf.DUMMYFUNCTION("GOOGLEFINANCE(A1005,""PRICEOPEN"")"),"#N/A")</f>
        <v>#N/A</v>
      </c>
      <c r="D1005" s="14" t="str">
        <f>IFERROR(__xludf.DUMMYFUNCTION("GOOGLEFINANCE(A1005,""HIGH"")"),"#N/A")</f>
        <v>#N/A</v>
      </c>
      <c r="E1005" s="14" t="str">
        <f>IFERROR(__xludf.DUMMYFUNCTION("GOOGLEFINANCE(A1005,""LOW"")"),"#N/A")</f>
        <v>#N/A</v>
      </c>
      <c r="F1005" s="15" t="str">
        <f t="shared" si="8"/>
        <v>#N/A</v>
      </c>
      <c r="G1005" s="16" t="str">
        <f>IFERROR(__xludf.DUMMYFUNCTION("GOOGLEFINANCE(A1005,""CLOSEYEST"")"),"#N/A")</f>
        <v>#N/A</v>
      </c>
      <c r="H1005" s="17" t="str">
        <f t="shared" si="14"/>
        <v>#N/A</v>
      </c>
      <c r="I1005" s="18" t="str">
        <f t="shared" si="9"/>
        <v>#N/A</v>
      </c>
      <c r="J1005" s="19" t="str">
        <f t="shared" si="10"/>
        <v>#N/A</v>
      </c>
      <c r="K1005" s="19"/>
      <c r="L1005" s="19" t="str">
        <f t="shared" si="11"/>
        <v>#N/A</v>
      </c>
      <c r="M1005" s="19" t="str">
        <f t="shared" si="12"/>
        <v>#N/A</v>
      </c>
      <c r="N1005" s="19" t="str">
        <f t="shared" si="13"/>
        <v>#N/A</v>
      </c>
    </row>
    <row r="1006" ht="24.75" customHeight="1">
      <c r="A1006" s="21" t="s">
        <v>969</v>
      </c>
      <c r="B1006" s="13" t="str">
        <f>IFERROR(__xludf.DUMMYFUNCTION("GOOGLEFINANCE(A1006,""PRICE"")"),"#N/A")</f>
        <v>#N/A</v>
      </c>
      <c r="C1006" s="14" t="str">
        <f>IFERROR(__xludf.DUMMYFUNCTION("GOOGLEFINANCE(A1006,""PRICEOPEN"")"),"#N/A")</f>
        <v>#N/A</v>
      </c>
      <c r="D1006" s="14" t="str">
        <f>IFERROR(__xludf.DUMMYFUNCTION("GOOGLEFINANCE(A1006,""HIGH"")"),"#N/A")</f>
        <v>#N/A</v>
      </c>
      <c r="E1006" s="14" t="str">
        <f>IFERROR(__xludf.DUMMYFUNCTION("GOOGLEFINANCE(A1006,""LOW"")"),"#N/A")</f>
        <v>#N/A</v>
      </c>
      <c r="F1006" s="15" t="str">
        <f t="shared" si="8"/>
        <v>#N/A</v>
      </c>
      <c r="G1006" s="16" t="str">
        <f>IFERROR(__xludf.DUMMYFUNCTION("GOOGLEFINANCE(A1006,""CLOSEYEST"")"),"#N/A")</f>
        <v>#N/A</v>
      </c>
      <c r="H1006" s="17" t="str">
        <f t="shared" si="14"/>
        <v>#N/A</v>
      </c>
      <c r="I1006" s="18" t="str">
        <f t="shared" si="9"/>
        <v>#N/A</v>
      </c>
      <c r="J1006" s="19" t="str">
        <f t="shared" si="10"/>
        <v>#N/A</v>
      </c>
      <c r="K1006" s="19"/>
      <c r="L1006" s="19" t="str">
        <f t="shared" si="11"/>
        <v>#N/A</v>
      </c>
      <c r="M1006" s="19" t="str">
        <f t="shared" si="12"/>
        <v>#N/A</v>
      </c>
      <c r="N1006" s="19" t="str">
        <f t="shared" si="13"/>
        <v>#N/A</v>
      </c>
    </row>
    <row r="1007" ht="24.75" customHeight="1">
      <c r="A1007" s="21" t="s">
        <v>970</v>
      </c>
      <c r="B1007" s="13">
        <f>IFERROR(__xludf.DUMMYFUNCTION("GOOGLEFINANCE(A1007,""PRICE"")"),689.4)</f>
        <v>689.4</v>
      </c>
      <c r="C1007" s="14">
        <f>IFERROR(__xludf.DUMMYFUNCTION("GOOGLEFINANCE(A1007,""PRICEOPEN"")"),672.0)</f>
        <v>672</v>
      </c>
      <c r="D1007" s="14">
        <f>IFERROR(__xludf.DUMMYFUNCTION("GOOGLEFINANCE(A1007,""HIGH"")"),711.8)</f>
        <v>711.8</v>
      </c>
      <c r="E1007" s="14">
        <f>IFERROR(__xludf.DUMMYFUNCTION("GOOGLEFINANCE(A1007,""LOW"")"),662.25)</f>
        <v>662.25</v>
      </c>
      <c r="F1007" s="15" t="str">
        <f t="shared" si="8"/>
        <v/>
      </c>
      <c r="G1007" s="16">
        <f>IFERROR(__xludf.DUMMYFUNCTION("GOOGLEFINANCE(A1007,""CLOSEYEST"")"),670.1)</f>
        <v>670.1</v>
      </c>
      <c r="H1007" s="17" t="str">
        <f t="shared" si="14"/>
        <v/>
      </c>
      <c r="I1007" s="18">
        <f t="shared" si="9"/>
        <v>681.3833333</v>
      </c>
      <c r="J1007" s="19">
        <f t="shared" si="10"/>
        <v>700.5166667</v>
      </c>
      <c r="K1007" s="19"/>
      <c r="L1007" s="19">
        <f t="shared" si="11"/>
        <v>650.9666667</v>
      </c>
      <c r="M1007" s="19">
        <f t="shared" si="12"/>
        <v>730.9333333</v>
      </c>
      <c r="N1007" s="19">
        <f t="shared" si="13"/>
        <v>631.8333333</v>
      </c>
    </row>
    <row r="1008" ht="24.75" customHeight="1">
      <c r="A1008" s="21" t="s">
        <v>971</v>
      </c>
      <c r="B1008" s="13">
        <f>IFERROR(__xludf.DUMMYFUNCTION("GOOGLEFINANCE(A1008,""PRICE"")"),2271.9)</f>
        <v>2271.9</v>
      </c>
      <c r="C1008" s="14">
        <f>IFERROR(__xludf.DUMMYFUNCTION("GOOGLEFINANCE(A1008,""PRICEOPEN"")"),2263.5)</f>
        <v>2263.5</v>
      </c>
      <c r="D1008" s="14">
        <f>IFERROR(__xludf.DUMMYFUNCTION("GOOGLEFINANCE(A1008,""HIGH"")"),2281.2)</f>
        <v>2281.2</v>
      </c>
      <c r="E1008" s="14">
        <f>IFERROR(__xludf.DUMMYFUNCTION("GOOGLEFINANCE(A1008,""LOW"")"),2250.0)</f>
        <v>2250</v>
      </c>
      <c r="F1008" s="15" t="str">
        <f t="shared" si="8"/>
        <v/>
      </c>
      <c r="G1008" s="16">
        <f>IFERROR(__xludf.DUMMYFUNCTION("GOOGLEFINANCE(A1008,""CLOSEYEST"")"),2264.8)</f>
        <v>2264.8</v>
      </c>
      <c r="H1008" s="17" t="str">
        <f t="shared" si="14"/>
        <v/>
      </c>
      <c r="I1008" s="18">
        <f t="shared" si="9"/>
        <v>2265.333333</v>
      </c>
      <c r="J1008" s="19">
        <f t="shared" si="10"/>
        <v>2280.666667</v>
      </c>
      <c r="K1008" s="19"/>
      <c r="L1008" s="19">
        <f t="shared" si="11"/>
        <v>2249.466667</v>
      </c>
      <c r="M1008" s="19">
        <f t="shared" si="12"/>
        <v>2296.533333</v>
      </c>
      <c r="N1008" s="19">
        <f t="shared" si="13"/>
        <v>2234.133333</v>
      </c>
    </row>
    <row r="1009" ht="24.75" customHeight="1">
      <c r="A1009" s="21" t="s">
        <v>972</v>
      </c>
      <c r="B1009" s="13">
        <f>IFERROR(__xludf.DUMMYFUNCTION("GOOGLEFINANCE(A1009,""PRICE"")"),3294.6)</f>
        <v>3294.6</v>
      </c>
      <c r="C1009" s="14">
        <f>IFERROR(__xludf.DUMMYFUNCTION("GOOGLEFINANCE(A1009,""PRICEOPEN"")"),3137.0)</f>
        <v>3137</v>
      </c>
      <c r="D1009" s="14">
        <f>IFERROR(__xludf.DUMMYFUNCTION("GOOGLEFINANCE(A1009,""HIGH"")"),3294.6)</f>
        <v>3294.6</v>
      </c>
      <c r="E1009" s="14">
        <f>IFERROR(__xludf.DUMMYFUNCTION("GOOGLEFINANCE(A1009,""LOW"")"),3018.7)</f>
        <v>3018.7</v>
      </c>
      <c r="F1009" s="15" t="str">
        <f t="shared" si="8"/>
        <v/>
      </c>
      <c r="G1009" s="16">
        <f>IFERROR(__xludf.DUMMYFUNCTION("GOOGLEFINANCE(A1009,""CLOSEYEST"")"),3137.8)</f>
        <v>3137.8</v>
      </c>
      <c r="H1009" s="17" t="str">
        <f t="shared" si="14"/>
        <v/>
      </c>
      <c r="I1009" s="18">
        <f t="shared" si="9"/>
        <v>3150.366667</v>
      </c>
      <c r="J1009" s="19">
        <f t="shared" si="10"/>
        <v>3282.033333</v>
      </c>
      <c r="K1009" s="19"/>
      <c r="L1009" s="19">
        <f t="shared" si="11"/>
        <v>3006.133333</v>
      </c>
      <c r="M1009" s="19">
        <f t="shared" si="12"/>
        <v>3426.266667</v>
      </c>
      <c r="N1009" s="19">
        <f t="shared" si="13"/>
        <v>2874.466667</v>
      </c>
    </row>
    <row r="1010" ht="24.75" customHeight="1">
      <c r="A1010" s="21" t="s">
        <v>973</v>
      </c>
      <c r="B1010" s="13" t="str">
        <f>IFERROR(__xludf.DUMMYFUNCTION("GOOGLEFINANCE(A1010,""PRICE"")"),"#N/A")</f>
        <v>#N/A</v>
      </c>
      <c r="C1010" s="14" t="str">
        <f>IFERROR(__xludf.DUMMYFUNCTION("GOOGLEFINANCE(A1010,""PRICEOPEN"")"),"#N/A")</f>
        <v>#N/A</v>
      </c>
      <c r="D1010" s="14" t="str">
        <f>IFERROR(__xludf.DUMMYFUNCTION("GOOGLEFINANCE(A1010,""HIGH"")"),"#N/A")</f>
        <v>#N/A</v>
      </c>
      <c r="E1010" s="14" t="str">
        <f>IFERROR(__xludf.DUMMYFUNCTION("GOOGLEFINANCE(A1010,""LOW"")"),"#N/A")</f>
        <v>#N/A</v>
      </c>
      <c r="F1010" s="15" t="str">
        <f t="shared" si="8"/>
        <v>#N/A</v>
      </c>
      <c r="G1010" s="16" t="str">
        <f>IFERROR(__xludf.DUMMYFUNCTION("GOOGLEFINANCE(A1010,""CLOSEYEST"")"),"#N/A")</f>
        <v>#N/A</v>
      </c>
      <c r="H1010" s="17" t="str">
        <f t="shared" si="14"/>
        <v>#N/A</v>
      </c>
      <c r="I1010" s="18" t="str">
        <f t="shared" si="9"/>
        <v>#N/A</v>
      </c>
      <c r="J1010" s="19" t="str">
        <f t="shared" si="10"/>
        <v>#N/A</v>
      </c>
      <c r="K1010" s="19"/>
      <c r="L1010" s="19" t="str">
        <f t="shared" si="11"/>
        <v>#N/A</v>
      </c>
      <c r="M1010" s="19" t="str">
        <f t="shared" si="12"/>
        <v>#N/A</v>
      </c>
      <c r="N1010" s="19" t="str">
        <f t="shared" si="13"/>
        <v>#N/A</v>
      </c>
    </row>
    <row r="1011" ht="24.75" customHeight="1">
      <c r="A1011" s="21" t="s">
        <v>974</v>
      </c>
      <c r="B1011" s="13">
        <f>IFERROR(__xludf.DUMMYFUNCTION("GOOGLEFINANCE(A1011,""PRICE"")"),83.5)</f>
        <v>83.5</v>
      </c>
      <c r="C1011" s="14">
        <f>IFERROR(__xludf.DUMMYFUNCTION("GOOGLEFINANCE(A1011,""PRICEOPEN"")"),81.34)</f>
        <v>81.34</v>
      </c>
      <c r="D1011" s="14">
        <f>IFERROR(__xludf.DUMMYFUNCTION("GOOGLEFINANCE(A1011,""HIGH"")"),83.69)</f>
        <v>83.69</v>
      </c>
      <c r="E1011" s="14">
        <f>IFERROR(__xludf.DUMMYFUNCTION("GOOGLEFINANCE(A1011,""LOW"")"),80.71)</f>
        <v>80.71</v>
      </c>
      <c r="F1011" s="15" t="str">
        <f t="shared" si="8"/>
        <v/>
      </c>
      <c r="G1011" s="16">
        <f>IFERROR(__xludf.DUMMYFUNCTION("GOOGLEFINANCE(A1011,""CLOSEYEST"")"),81.34)</f>
        <v>81.34</v>
      </c>
      <c r="H1011" s="17" t="str">
        <f t="shared" si="14"/>
        <v/>
      </c>
      <c r="I1011" s="18">
        <f t="shared" si="9"/>
        <v>81.91333333</v>
      </c>
      <c r="J1011" s="19">
        <f t="shared" si="10"/>
        <v>83.11666667</v>
      </c>
      <c r="K1011" s="19"/>
      <c r="L1011" s="19">
        <f t="shared" si="11"/>
        <v>80.13666667</v>
      </c>
      <c r="M1011" s="19">
        <f t="shared" si="12"/>
        <v>84.89333333</v>
      </c>
      <c r="N1011" s="19">
        <f t="shared" si="13"/>
        <v>78.93333333</v>
      </c>
    </row>
    <row r="1012" ht="24.75" customHeight="1">
      <c r="A1012" s="21" t="s">
        <v>975</v>
      </c>
      <c r="B1012" s="13">
        <f>IFERROR(__xludf.DUMMYFUNCTION("GOOGLEFINANCE(A1012,""PRICE"")"),57.21)</f>
        <v>57.21</v>
      </c>
      <c r="C1012" s="14">
        <f>IFERROR(__xludf.DUMMYFUNCTION("GOOGLEFINANCE(A1012,""PRICEOPEN"")"),55.11)</f>
        <v>55.11</v>
      </c>
      <c r="D1012" s="14">
        <f>IFERROR(__xludf.DUMMYFUNCTION("GOOGLEFINANCE(A1012,""HIGH"")"),59.0)</f>
        <v>59</v>
      </c>
      <c r="E1012" s="14">
        <f>IFERROR(__xludf.DUMMYFUNCTION("GOOGLEFINANCE(A1012,""LOW"")"),55.1)</f>
        <v>55.1</v>
      </c>
      <c r="F1012" s="15" t="str">
        <f t="shared" si="8"/>
        <v/>
      </c>
      <c r="G1012" s="16">
        <f>IFERROR(__xludf.DUMMYFUNCTION("GOOGLEFINANCE(A1012,""CLOSEYEST"")"),56.0)</f>
        <v>56</v>
      </c>
      <c r="H1012" s="17" t="str">
        <f t="shared" si="14"/>
        <v>GAP DOWN</v>
      </c>
      <c r="I1012" s="18">
        <f t="shared" si="9"/>
        <v>56.7</v>
      </c>
      <c r="J1012" s="19">
        <f t="shared" si="10"/>
        <v>58.3</v>
      </c>
      <c r="K1012" s="19"/>
      <c r="L1012" s="19">
        <f t="shared" si="11"/>
        <v>54.4</v>
      </c>
      <c r="M1012" s="19">
        <f t="shared" si="12"/>
        <v>60.6</v>
      </c>
      <c r="N1012" s="19">
        <f t="shared" si="13"/>
        <v>52.8</v>
      </c>
    </row>
    <row r="1013" ht="24.75" customHeight="1">
      <c r="A1013" s="21" t="s">
        <v>976</v>
      </c>
      <c r="B1013" s="13" t="str">
        <f>IFERROR(__xludf.DUMMYFUNCTION("GOOGLEFINANCE(A1013,""PRICE"")"),"#N/A")</f>
        <v>#N/A</v>
      </c>
      <c r="C1013" s="14" t="str">
        <f>IFERROR(__xludf.DUMMYFUNCTION("GOOGLEFINANCE(A1013,""PRICEOPEN"")"),"#N/A")</f>
        <v>#N/A</v>
      </c>
      <c r="D1013" s="14" t="str">
        <f>IFERROR(__xludf.DUMMYFUNCTION("GOOGLEFINANCE(A1013,""HIGH"")"),"#N/A")</f>
        <v>#N/A</v>
      </c>
      <c r="E1013" s="14" t="str">
        <f>IFERROR(__xludf.DUMMYFUNCTION("GOOGLEFINANCE(A1013,""LOW"")"),"#N/A")</f>
        <v>#N/A</v>
      </c>
      <c r="F1013" s="15" t="str">
        <f t="shared" si="8"/>
        <v>#N/A</v>
      </c>
      <c r="G1013" s="16" t="str">
        <f>IFERROR(__xludf.DUMMYFUNCTION("GOOGLEFINANCE(A1013,""CLOSEYEST"")"),"#N/A")</f>
        <v>#N/A</v>
      </c>
      <c r="H1013" s="17" t="str">
        <f t="shared" si="14"/>
        <v>#N/A</v>
      </c>
      <c r="I1013" s="18" t="str">
        <f t="shared" si="9"/>
        <v>#N/A</v>
      </c>
      <c r="J1013" s="19" t="str">
        <f t="shared" si="10"/>
        <v>#N/A</v>
      </c>
      <c r="K1013" s="19"/>
      <c r="L1013" s="19" t="str">
        <f t="shared" si="11"/>
        <v>#N/A</v>
      </c>
      <c r="M1013" s="19" t="str">
        <f t="shared" si="12"/>
        <v>#N/A</v>
      </c>
      <c r="N1013" s="19" t="str">
        <f t="shared" si="13"/>
        <v>#N/A</v>
      </c>
    </row>
    <row r="1014" ht="24.75" customHeight="1">
      <c r="A1014" s="21" t="s">
        <v>977</v>
      </c>
      <c r="B1014" s="13">
        <f>IFERROR(__xludf.DUMMYFUNCTION("GOOGLEFINANCE(A1014,""PRICE"")"),1298.0)</f>
        <v>1298</v>
      </c>
      <c r="C1014" s="14">
        <f>IFERROR(__xludf.DUMMYFUNCTION("GOOGLEFINANCE(A1014,""PRICEOPEN"")"),1314.8)</f>
        <v>1314.8</v>
      </c>
      <c r="D1014" s="14">
        <f>IFERROR(__xludf.DUMMYFUNCTION("GOOGLEFINANCE(A1014,""HIGH"")"),1349.0)</f>
        <v>1349</v>
      </c>
      <c r="E1014" s="14">
        <f>IFERROR(__xludf.DUMMYFUNCTION("GOOGLEFINANCE(A1014,""LOW"")"),1286.7)</f>
        <v>1286.7</v>
      </c>
      <c r="F1014" s="15" t="str">
        <f t="shared" si="8"/>
        <v/>
      </c>
      <c r="G1014" s="16">
        <f>IFERROR(__xludf.DUMMYFUNCTION("GOOGLEFINANCE(A1014,""CLOSEYEST"")"),1306.7)</f>
        <v>1306.7</v>
      </c>
      <c r="H1014" s="17" t="str">
        <f t="shared" si="14"/>
        <v/>
      </c>
      <c r="I1014" s="18">
        <f t="shared" si="9"/>
        <v>1314.133333</v>
      </c>
      <c r="J1014" s="19">
        <f t="shared" si="10"/>
        <v>1341.566667</v>
      </c>
      <c r="K1014" s="19"/>
      <c r="L1014" s="19">
        <f t="shared" si="11"/>
        <v>1279.266667</v>
      </c>
      <c r="M1014" s="19">
        <f t="shared" si="12"/>
        <v>1376.433333</v>
      </c>
      <c r="N1014" s="19">
        <f t="shared" si="13"/>
        <v>1251.833333</v>
      </c>
    </row>
    <row r="1015" ht="24.75" customHeight="1">
      <c r="A1015" s="21" t="s">
        <v>978</v>
      </c>
      <c r="B1015" s="13">
        <f>IFERROR(__xludf.DUMMYFUNCTION("GOOGLEFINANCE(A1015,""PRICE"")"),1520.0)</f>
        <v>1520</v>
      </c>
      <c r="C1015" s="14">
        <f>IFERROR(__xludf.DUMMYFUNCTION("GOOGLEFINANCE(A1015,""PRICEOPEN"")"),1438.8)</f>
        <v>1438.8</v>
      </c>
      <c r="D1015" s="14">
        <f>IFERROR(__xludf.DUMMYFUNCTION("GOOGLEFINANCE(A1015,""HIGH"")"),1521.0)</f>
        <v>1521</v>
      </c>
      <c r="E1015" s="14">
        <f>IFERROR(__xludf.DUMMYFUNCTION("GOOGLEFINANCE(A1015,""LOW"")"),1434.7)</f>
        <v>1434.7</v>
      </c>
      <c r="F1015" s="15" t="str">
        <f t="shared" si="8"/>
        <v/>
      </c>
      <c r="G1015" s="16">
        <f>IFERROR(__xludf.DUMMYFUNCTION("GOOGLEFINANCE(A1015,""CLOSEYEST"")"),1438.8)</f>
        <v>1438.8</v>
      </c>
      <c r="H1015" s="17" t="str">
        <f t="shared" si="14"/>
        <v/>
      </c>
      <c r="I1015" s="18">
        <f t="shared" si="9"/>
        <v>1464.833333</v>
      </c>
      <c r="J1015" s="19">
        <f t="shared" si="10"/>
        <v>1494.966667</v>
      </c>
      <c r="K1015" s="19"/>
      <c r="L1015" s="19">
        <f t="shared" si="11"/>
        <v>1408.666667</v>
      </c>
      <c r="M1015" s="19">
        <f t="shared" si="12"/>
        <v>1551.133333</v>
      </c>
      <c r="N1015" s="19">
        <f t="shared" si="13"/>
        <v>1378.533333</v>
      </c>
    </row>
    <row r="1016" ht="24.75" customHeight="1">
      <c r="A1016" s="21" t="s">
        <v>979</v>
      </c>
      <c r="B1016" s="13">
        <f>IFERROR(__xludf.DUMMYFUNCTION("GOOGLEFINANCE(A1016,""PRICE"")"),13.67)</f>
        <v>13.67</v>
      </c>
      <c r="C1016" s="14">
        <f>IFERROR(__xludf.DUMMYFUNCTION("GOOGLEFINANCE(A1016,""PRICEOPEN"")"),13.2)</f>
        <v>13.2</v>
      </c>
      <c r="D1016" s="14">
        <f>IFERROR(__xludf.DUMMYFUNCTION("GOOGLEFINANCE(A1016,""HIGH"")"),13.67)</f>
        <v>13.67</v>
      </c>
      <c r="E1016" s="14">
        <f>IFERROR(__xludf.DUMMYFUNCTION("GOOGLEFINANCE(A1016,""LOW"")"),13.0)</f>
        <v>13</v>
      </c>
      <c r="F1016" s="15" t="str">
        <f t="shared" si="8"/>
        <v/>
      </c>
      <c r="G1016" s="16">
        <f>IFERROR(__xludf.DUMMYFUNCTION("GOOGLEFINANCE(A1016,""CLOSEYEST"")"),13.02)</f>
        <v>13.02</v>
      </c>
      <c r="H1016" s="17" t="str">
        <f t="shared" si="14"/>
        <v>GAP UP</v>
      </c>
      <c r="I1016" s="18">
        <f t="shared" si="9"/>
        <v>13.23</v>
      </c>
      <c r="J1016" s="19">
        <f t="shared" si="10"/>
        <v>13.46</v>
      </c>
      <c r="K1016" s="19"/>
      <c r="L1016" s="19">
        <f t="shared" si="11"/>
        <v>12.79</v>
      </c>
      <c r="M1016" s="19">
        <f t="shared" si="12"/>
        <v>13.9</v>
      </c>
      <c r="N1016" s="19">
        <f t="shared" si="13"/>
        <v>12.56</v>
      </c>
    </row>
    <row r="1017" ht="24.75" customHeight="1">
      <c r="A1017" s="21" t="s">
        <v>980</v>
      </c>
      <c r="B1017" s="13" t="str">
        <f>IFERROR(__xludf.DUMMYFUNCTION("GOOGLEFINANCE(A1017,""PRICE"")"),"#N/A")</f>
        <v>#N/A</v>
      </c>
      <c r="C1017" s="14" t="str">
        <f>IFERROR(__xludf.DUMMYFUNCTION("GOOGLEFINANCE(A1017,""PRICEOPEN"")"),"#N/A")</f>
        <v>#N/A</v>
      </c>
      <c r="D1017" s="14" t="str">
        <f>IFERROR(__xludf.DUMMYFUNCTION("GOOGLEFINANCE(A1017,""HIGH"")"),"#N/A")</f>
        <v>#N/A</v>
      </c>
      <c r="E1017" s="14" t="str">
        <f>IFERROR(__xludf.DUMMYFUNCTION("GOOGLEFINANCE(A1017,""LOW"")"),"#N/A")</f>
        <v>#N/A</v>
      </c>
      <c r="F1017" s="15" t="str">
        <f t="shared" si="8"/>
        <v>#N/A</v>
      </c>
      <c r="G1017" s="16" t="str">
        <f>IFERROR(__xludf.DUMMYFUNCTION("GOOGLEFINANCE(A1017,""CLOSEYEST"")"),"#N/A")</f>
        <v>#N/A</v>
      </c>
      <c r="H1017" s="17" t="str">
        <f t="shared" si="14"/>
        <v>#N/A</v>
      </c>
      <c r="I1017" s="18" t="str">
        <f t="shared" si="9"/>
        <v>#N/A</v>
      </c>
      <c r="J1017" s="19" t="str">
        <f t="shared" si="10"/>
        <v>#N/A</v>
      </c>
      <c r="K1017" s="19"/>
      <c r="L1017" s="19" t="str">
        <f t="shared" si="11"/>
        <v>#N/A</v>
      </c>
      <c r="M1017" s="19" t="str">
        <f t="shared" si="12"/>
        <v>#N/A</v>
      </c>
      <c r="N1017" s="19" t="str">
        <f t="shared" si="13"/>
        <v>#N/A</v>
      </c>
    </row>
    <row r="1018" ht="24.75" customHeight="1">
      <c r="A1018" s="21" t="s">
        <v>981</v>
      </c>
      <c r="B1018" s="13">
        <f>IFERROR(__xludf.DUMMYFUNCTION("GOOGLEFINANCE(A1018,""PRICE"")"),15.14)</f>
        <v>15.14</v>
      </c>
      <c r="C1018" s="14">
        <f>IFERROR(__xludf.DUMMYFUNCTION("GOOGLEFINANCE(A1018,""PRICEOPEN"")"),14.8)</f>
        <v>14.8</v>
      </c>
      <c r="D1018" s="14">
        <f>IFERROR(__xludf.DUMMYFUNCTION("GOOGLEFINANCE(A1018,""HIGH"")"),15.15)</f>
        <v>15.15</v>
      </c>
      <c r="E1018" s="14">
        <f>IFERROR(__xludf.DUMMYFUNCTION("GOOGLEFINANCE(A1018,""LOW"")"),14.73)</f>
        <v>14.73</v>
      </c>
      <c r="F1018" s="15" t="str">
        <f t="shared" si="8"/>
        <v/>
      </c>
      <c r="G1018" s="16">
        <f>IFERROR(__xludf.DUMMYFUNCTION("GOOGLEFINANCE(A1018,""CLOSEYEST"")"),14.89)</f>
        <v>14.89</v>
      </c>
      <c r="H1018" s="17" t="str">
        <f t="shared" si="14"/>
        <v/>
      </c>
      <c r="I1018" s="18">
        <f t="shared" si="9"/>
        <v>14.92333333</v>
      </c>
      <c r="J1018" s="19">
        <f t="shared" si="10"/>
        <v>15.11666667</v>
      </c>
      <c r="K1018" s="19"/>
      <c r="L1018" s="19">
        <f t="shared" si="11"/>
        <v>14.69666667</v>
      </c>
      <c r="M1018" s="19">
        <f t="shared" si="12"/>
        <v>15.34333333</v>
      </c>
      <c r="N1018" s="19">
        <f t="shared" si="13"/>
        <v>14.50333333</v>
      </c>
    </row>
    <row r="1019" ht="24.75" customHeight="1">
      <c r="A1019" s="21" t="s">
        <v>982</v>
      </c>
      <c r="B1019" s="13">
        <f>IFERROR(__xludf.DUMMYFUNCTION("GOOGLEFINANCE(A1019,""PRICE"")"),641.25)</f>
        <v>641.25</v>
      </c>
      <c r="C1019" s="14">
        <f>IFERROR(__xludf.DUMMYFUNCTION("GOOGLEFINANCE(A1019,""PRICEOPEN"")"),630.05)</f>
        <v>630.05</v>
      </c>
      <c r="D1019" s="14">
        <f>IFERROR(__xludf.DUMMYFUNCTION("GOOGLEFINANCE(A1019,""HIGH"")"),648.0)</f>
        <v>648</v>
      </c>
      <c r="E1019" s="14">
        <f>IFERROR(__xludf.DUMMYFUNCTION("GOOGLEFINANCE(A1019,""LOW"")"),621.05)</f>
        <v>621.05</v>
      </c>
      <c r="F1019" s="15" t="str">
        <f t="shared" si="8"/>
        <v/>
      </c>
      <c r="G1019" s="16">
        <f>IFERROR(__xludf.DUMMYFUNCTION("GOOGLEFINANCE(A1019,""CLOSEYEST"")"),625.75)</f>
        <v>625.75</v>
      </c>
      <c r="H1019" s="17" t="str">
        <f t="shared" si="14"/>
        <v/>
      </c>
      <c r="I1019" s="18">
        <f t="shared" si="9"/>
        <v>631.6</v>
      </c>
      <c r="J1019" s="19">
        <f t="shared" si="10"/>
        <v>642.15</v>
      </c>
      <c r="K1019" s="19"/>
      <c r="L1019" s="19">
        <f t="shared" si="11"/>
        <v>615.2</v>
      </c>
      <c r="M1019" s="19">
        <f t="shared" si="12"/>
        <v>658.55</v>
      </c>
      <c r="N1019" s="19">
        <f t="shared" si="13"/>
        <v>604.65</v>
      </c>
    </row>
    <row r="1020" ht="24.75" customHeight="1">
      <c r="A1020" s="21" t="s">
        <v>983</v>
      </c>
      <c r="B1020" s="13">
        <f>IFERROR(__xludf.DUMMYFUNCTION("GOOGLEFINANCE(A1020,""PRICE"")"),133.0)</f>
        <v>133</v>
      </c>
      <c r="C1020" s="14">
        <f>IFERROR(__xludf.DUMMYFUNCTION("GOOGLEFINANCE(A1020,""PRICEOPEN"")"),134.36)</f>
        <v>134.36</v>
      </c>
      <c r="D1020" s="14">
        <f>IFERROR(__xludf.DUMMYFUNCTION("GOOGLEFINANCE(A1020,""HIGH"")"),136.05)</f>
        <v>136.05</v>
      </c>
      <c r="E1020" s="14">
        <f>IFERROR(__xludf.DUMMYFUNCTION("GOOGLEFINANCE(A1020,""LOW"")"),132.0)</f>
        <v>132</v>
      </c>
      <c r="F1020" s="15" t="str">
        <f t="shared" si="8"/>
        <v/>
      </c>
      <c r="G1020" s="16">
        <f>IFERROR(__xludf.DUMMYFUNCTION("GOOGLEFINANCE(A1020,""CLOSEYEST"")"),133.88)</f>
        <v>133.88</v>
      </c>
      <c r="H1020" s="17" t="str">
        <f t="shared" si="14"/>
        <v/>
      </c>
      <c r="I1020" s="18">
        <f t="shared" si="9"/>
        <v>133.9766667</v>
      </c>
      <c r="J1020" s="19">
        <f t="shared" si="10"/>
        <v>135.9533333</v>
      </c>
      <c r="K1020" s="19"/>
      <c r="L1020" s="19">
        <f t="shared" si="11"/>
        <v>131.9033333</v>
      </c>
      <c r="M1020" s="19">
        <f t="shared" si="12"/>
        <v>138.0266667</v>
      </c>
      <c r="N1020" s="19">
        <f t="shared" si="13"/>
        <v>129.9266667</v>
      </c>
    </row>
    <row r="1021" ht="24.75" customHeight="1">
      <c r="A1021" s="21" t="s">
        <v>984</v>
      </c>
      <c r="B1021" s="13">
        <f>IFERROR(__xludf.DUMMYFUNCTION("GOOGLEFINANCE(A1021,""PRICE"")"),551.85)</f>
        <v>551.85</v>
      </c>
      <c r="C1021" s="14">
        <f>IFERROR(__xludf.DUMMYFUNCTION("GOOGLEFINANCE(A1021,""PRICEOPEN"")"),554.95)</f>
        <v>554.95</v>
      </c>
      <c r="D1021" s="14">
        <f>IFERROR(__xludf.DUMMYFUNCTION("GOOGLEFINANCE(A1021,""HIGH"")"),559.4)</f>
        <v>559.4</v>
      </c>
      <c r="E1021" s="14">
        <f>IFERROR(__xludf.DUMMYFUNCTION("GOOGLEFINANCE(A1021,""LOW"")"),541.35)</f>
        <v>541.35</v>
      </c>
      <c r="F1021" s="15" t="str">
        <f t="shared" si="8"/>
        <v/>
      </c>
      <c r="G1021" s="16">
        <f>IFERROR(__xludf.DUMMYFUNCTION("GOOGLEFINANCE(A1021,""CLOSEYEST"")"),552.45)</f>
        <v>552.45</v>
      </c>
      <c r="H1021" s="17" t="str">
        <f t="shared" si="14"/>
        <v/>
      </c>
      <c r="I1021" s="18">
        <f t="shared" si="9"/>
        <v>551.0666667</v>
      </c>
      <c r="J1021" s="19">
        <f t="shared" si="10"/>
        <v>560.7833333</v>
      </c>
      <c r="K1021" s="19"/>
      <c r="L1021" s="19">
        <f t="shared" si="11"/>
        <v>542.7333333</v>
      </c>
      <c r="M1021" s="19">
        <f t="shared" si="12"/>
        <v>569.1166667</v>
      </c>
      <c r="N1021" s="19">
        <f t="shared" si="13"/>
        <v>533.0166667</v>
      </c>
    </row>
    <row r="1022" ht="24.75" customHeight="1">
      <c r="A1022" s="21" t="s">
        <v>985</v>
      </c>
      <c r="B1022" s="13">
        <f>IFERROR(__xludf.DUMMYFUNCTION("GOOGLEFINANCE(A1022,""PRICE"")"),5578.0)</f>
        <v>5578</v>
      </c>
      <c r="C1022" s="14">
        <f>IFERROR(__xludf.DUMMYFUNCTION("GOOGLEFINANCE(A1022,""PRICEOPEN"")"),5549.0)</f>
        <v>5549</v>
      </c>
      <c r="D1022" s="14">
        <f>IFERROR(__xludf.DUMMYFUNCTION("GOOGLEFINANCE(A1022,""HIGH"")"),5675.0)</f>
        <v>5675</v>
      </c>
      <c r="E1022" s="14">
        <f>IFERROR(__xludf.DUMMYFUNCTION("GOOGLEFINANCE(A1022,""LOW"")"),5426.0)</f>
        <v>5426</v>
      </c>
      <c r="F1022" s="15" t="str">
        <f t="shared" si="8"/>
        <v/>
      </c>
      <c r="G1022" s="16">
        <f>IFERROR(__xludf.DUMMYFUNCTION("GOOGLEFINANCE(A1022,""CLOSEYEST"")"),5514.0)</f>
        <v>5514</v>
      </c>
      <c r="H1022" s="17" t="str">
        <f t="shared" si="14"/>
        <v/>
      </c>
      <c r="I1022" s="18">
        <f t="shared" si="9"/>
        <v>5538.333333</v>
      </c>
      <c r="J1022" s="19">
        <f t="shared" si="10"/>
        <v>5650.666667</v>
      </c>
      <c r="K1022" s="19"/>
      <c r="L1022" s="19">
        <f t="shared" si="11"/>
        <v>5401.666667</v>
      </c>
      <c r="M1022" s="19">
        <f t="shared" si="12"/>
        <v>5787.333333</v>
      </c>
      <c r="N1022" s="19">
        <f t="shared" si="13"/>
        <v>5289.333333</v>
      </c>
    </row>
    <row r="1023" ht="24.75" customHeight="1">
      <c r="A1023" s="21" t="s">
        <v>986</v>
      </c>
      <c r="B1023" s="13">
        <f>IFERROR(__xludf.DUMMYFUNCTION("GOOGLEFINANCE(A1023,""PRICE"")"),331.2)</f>
        <v>331.2</v>
      </c>
      <c r="C1023" s="14">
        <f>IFERROR(__xludf.DUMMYFUNCTION("GOOGLEFINANCE(A1023,""PRICEOPEN"")"),328.0)</f>
        <v>328</v>
      </c>
      <c r="D1023" s="14">
        <f>IFERROR(__xludf.DUMMYFUNCTION("GOOGLEFINANCE(A1023,""HIGH"")"),333.45)</f>
        <v>333.45</v>
      </c>
      <c r="E1023" s="14">
        <f>IFERROR(__xludf.DUMMYFUNCTION("GOOGLEFINANCE(A1023,""LOW"")"),327.75)</f>
        <v>327.75</v>
      </c>
      <c r="F1023" s="15" t="str">
        <f t="shared" si="8"/>
        <v/>
      </c>
      <c r="G1023" s="16">
        <f>IFERROR(__xludf.DUMMYFUNCTION("GOOGLEFINANCE(A1023,""CLOSEYEST"")"),327.6)</f>
        <v>327.6</v>
      </c>
      <c r="H1023" s="17" t="str">
        <f t="shared" si="14"/>
        <v/>
      </c>
      <c r="I1023" s="18">
        <f t="shared" si="9"/>
        <v>329.6</v>
      </c>
      <c r="J1023" s="19">
        <f t="shared" si="10"/>
        <v>331.45</v>
      </c>
      <c r="K1023" s="19"/>
      <c r="L1023" s="19">
        <f t="shared" si="11"/>
        <v>325.75</v>
      </c>
      <c r="M1023" s="19">
        <f t="shared" si="12"/>
        <v>335.3</v>
      </c>
      <c r="N1023" s="19">
        <f t="shared" si="13"/>
        <v>323.9</v>
      </c>
    </row>
    <row r="1024" ht="24.75" customHeight="1">
      <c r="A1024" s="21" t="s">
        <v>987</v>
      </c>
      <c r="B1024" s="13">
        <f>IFERROR(__xludf.DUMMYFUNCTION("GOOGLEFINANCE(A1024,""PRICE"")"),978.5)</f>
        <v>978.5</v>
      </c>
      <c r="C1024" s="14">
        <f>IFERROR(__xludf.DUMMYFUNCTION("GOOGLEFINANCE(A1024,""PRICEOPEN"")"),951.85)</f>
        <v>951.85</v>
      </c>
      <c r="D1024" s="14">
        <f>IFERROR(__xludf.DUMMYFUNCTION("GOOGLEFINANCE(A1024,""HIGH"")"),982.3)</f>
        <v>982.3</v>
      </c>
      <c r="E1024" s="14">
        <f>IFERROR(__xludf.DUMMYFUNCTION("GOOGLEFINANCE(A1024,""LOW"")"),949.75)</f>
        <v>949.75</v>
      </c>
      <c r="F1024" s="15" t="str">
        <f t="shared" si="8"/>
        <v/>
      </c>
      <c r="G1024" s="16">
        <f>IFERROR(__xludf.DUMMYFUNCTION("GOOGLEFINANCE(A1024,""CLOSEYEST"")"),951.85)</f>
        <v>951.85</v>
      </c>
      <c r="H1024" s="17" t="str">
        <f t="shared" si="14"/>
        <v/>
      </c>
      <c r="I1024" s="18">
        <f t="shared" si="9"/>
        <v>961.3</v>
      </c>
      <c r="J1024" s="19">
        <f t="shared" si="10"/>
        <v>972.85</v>
      </c>
      <c r="K1024" s="19"/>
      <c r="L1024" s="19">
        <f t="shared" si="11"/>
        <v>940.3</v>
      </c>
      <c r="M1024" s="19">
        <f t="shared" si="12"/>
        <v>993.85</v>
      </c>
      <c r="N1024" s="19">
        <f t="shared" si="13"/>
        <v>928.75</v>
      </c>
    </row>
    <row r="1025" ht="24.75" customHeight="1">
      <c r="A1025" s="21" t="s">
        <v>988</v>
      </c>
      <c r="B1025" s="13">
        <f>IFERROR(__xludf.DUMMYFUNCTION("GOOGLEFINANCE(A1025,""PRICE"")"),41.4)</f>
        <v>41.4</v>
      </c>
      <c r="C1025" s="14">
        <f>IFERROR(__xludf.DUMMYFUNCTION("GOOGLEFINANCE(A1025,""PRICEOPEN"")"),41.81)</f>
        <v>41.81</v>
      </c>
      <c r="D1025" s="14">
        <f>IFERROR(__xludf.DUMMYFUNCTION("GOOGLEFINANCE(A1025,""HIGH"")"),42.08)</f>
        <v>42.08</v>
      </c>
      <c r="E1025" s="14">
        <f>IFERROR(__xludf.DUMMYFUNCTION("GOOGLEFINANCE(A1025,""LOW"")"),41.26)</f>
        <v>41.26</v>
      </c>
      <c r="F1025" s="15" t="str">
        <f t="shared" si="8"/>
        <v/>
      </c>
      <c r="G1025" s="16">
        <f>IFERROR(__xludf.DUMMYFUNCTION("GOOGLEFINANCE(A1025,""CLOSEYEST"")"),41.8)</f>
        <v>41.8</v>
      </c>
      <c r="H1025" s="17" t="str">
        <f t="shared" si="14"/>
        <v/>
      </c>
      <c r="I1025" s="18">
        <f t="shared" si="9"/>
        <v>41.71333333</v>
      </c>
      <c r="J1025" s="19">
        <f t="shared" si="10"/>
        <v>42.16666667</v>
      </c>
      <c r="K1025" s="19"/>
      <c r="L1025" s="19">
        <f t="shared" si="11"/>
        <v>41.34666667</v>
      </c>
      <c r="M1025" s="19">
        <f t="shared" si="12"/>
        <v>42.53333333</v>
      </c>
      <c r="N1025" s="19">
        <f t="shared" si="13"/>
        <v>40.89333333</v>
      </c>
    </row>
    <row r="1026" ht="24.75" customHeight="1">
      <c r="A1026" s="21" t="s">
        <v>989</v>
      </c>
      <c r="B1026" s="13">
        <f>IFERROR(__xludf.DUMMYFUNCTION("GOOGLEFINANCE(A1026,""PRICE"")"),712.0)</f>
        <v>712</v>
      </c>
      <c r="C1026" s="14">
        <f>IFERROR(__xludf.DUMMYFUNCTION("GOOGLEFINANCE(A1026,""PRICEOPEN"")"),681.3)</f>
        <v>681.3</v>
      </c>
      <c r="D1026" s="14">
        <f>IFERROR(__xludf.DUMMYFUNCTION("GOOGLEFINANCE(A1026,""HIGH"")"),724.0)</f>
        <v>724</v>
      </c>
      <c r="E1026" s="14">
        <f>IFERROR(__xludf.DUMMYFUNCTION("GOOGLEFINANCE(A1026,""LOW"")"),680.85)</f>
        <v>680.85</v>
      </c>
      <c r="F1026" s="15" t="str">
        <f t="shared" si="8"/>
        <v/>
      </c>
      <c r="G1026" s="16">
        <f>IFERROR(__xludf.DUMMYFUNCTION("GOOGLEFINANCE(A1026,""CLOSEYEST"")"),683.35)</f>
        <v>683.35</v>
      </c>
      <c r="H1026" s="17" t="str">
        <f t="shared" si="14"/>
        <v/>
      </c>
      <c r="I1026" s="18">
        <f t="shared" si="9"/>
        <v>696.0666667</v>
      </c>
      <c r="J1026" s="19">
        <f t="shared" si="10"/>
        <v>711.2833333</v>
      </c>
      <c r="K1026" s="19"/>
      <c r="L1026" s="19">
        <f t="shared" si="11"/>
        <v>668.1333333</v>
      </c>
      <c r="M1026" s="19">
        <f t="shared" si="12"/>
        <v>739.2166667</v>
      </c>
      <c r="N1026" s="19">
        <f t="shared" si="13"/>
        <v>652.9166667</v>
      </c>
    </row>
    <row r="1027" ht="24.75" customHeight="1">
      <c r="A1027" s="21" t="s">
        <v>990</v>
      </c>
      <c r="B1027" s="13">
        <f>IFERROR(__xludf.DUMMYFUNCTION("GOOGLEFINANCE(A1027,""PRICE"")"),1458.0)</f>
        <v>1458</v>
      </c>
      <c r="C1027" s="14">
        <f>IFERROR(__xludf.DUMMYFUNCTION("GOOGLEFINANCE(A1027,""PRICEOPEN"")"),1432.0)</f>
        <v>1432</v>
      </c>
      <c r="D1027" s="14">
        <f>IFERROR(__xludf.DUMMYFUNCTION("GOOGLEFINANCE(A1027,""HIGH"")"),1459.9)</f>
        <v>1459.9</v>
      </c>
      <c r="E1027" s="14">
        <f>IFERROR(__xludf.DUMMYFUNCTION("GOOGLEFINANCE(A1027,""LOW"")"),1426.8)</f>
        <v>1426.8</v>
      </c>
      <c r="F1027" s="15" t="str">
        <f t="shared" si="8"/>
        <v/>
      </c>
      <c r="G1027" s="16">
        <f>IFERROR(__xludf.DUMMYFUNCTION("GOOGLEFINANCE(A1027,""CLOSEYEST"")"),1424.9)</f>
        <v>1424.9</v>
      </c>
      <c r="H1027" s="17" t="str">
        <f t="shared" si="14"/>
        <v/>
      </c>
      <c r="I1027" s="18">
        <f t="shared" si="9"/>
        <v>1437.2</v>
      </c>
      <c r="J1027" s="19">
        <f t="shared" si="10"/>
        <v>1447.6</v>
      </c>
      <c r="K1027" s="19"/>
      <c r="L1027" s="19">
        <f t="shared" si="11"/>
        <v>1414.5</v>
      </c>
      <c r="M1027" s="19">
        <f t="shared" si="12"/>
        <v>1470.3</v>
      </c>
      <c r="N1027" s="19">
        <f t="shared" si="13"/>
        <v>1404.1</v>
      </c>
    </row>
    <row r="1028" ht="24.75" customHeight="1">
      <c r="A1028" s="21" t="s">
        <v>991</v>
      </c>
      <c r="B1028" s="13">
        <f>IFERROR(__xludf.DUMMYFUNCTION("GOOGLEFINANCE(A1028,""PRICE"")"),738.65)</f>
        <v>738.65</v>
      </c>
      <c r="C1028" s="14">
        <f>IFERROR(__xludf.DUMMYFUNCTION("GOOGLEFINANCE(A1028,""PRICEOPEN"")"),716.9)</f>
        <v>716.9</v>
      </c>
      <c r="D1028" s="14">
        <f>IFERROR(__xludf.DUMMYFUNCTION("GOOGLEFINANCE(A1028,""HIGH"")"),744.9)</f>
        <v>744.9</v>
      </c>
      <c r="E1028" s="14">
        <f>IFERROR(__xludf.DUMMYFUNCTION("GOOGLEFINANCE(A1028,""LOW"")"),710.4)</f>
        <v>710.4</v>
      </c>
      <c r="F1028" s="15" t="str">
        <f t="shared" si="8"/>
        <v/>
      </c>
      <c r="G1028" s="16">
        <f>IFERROR(__xludf.DUMMYFUNCTION("GOOGLEFINANCE(A1028,""CLOSEYEST"")"),715.2)</f>
        <v>715.2</v>
      </c>
      <c r="H1028" s="17" t="str">
        <f t="shared" si="14"/>
        <v/>
      </c>
      <c r="I1028" s="18">
        <f t="shared" si="9"/>
        <v>723.5</v>
      </c>
      <c r="J1028" s="19">
        <f t="shared" si="10"/>
        <v>736.6</v>
      </c>
      <c r="K1028" s="19"/>
      <c r="L1028" s="19">
        <f t="shared" si="11"/>
        <v>702.1</v>
      </c>
      <c r="M1028" s="19">
        <f t="shared" si="12"/>
        <v>758</v>
      </c>
      <c r="N1028" s="19">
        <f t="shared" si="13"/>
        <v>689</v>
      </c>
    </row>
    <row r="1029" ht="24.75" customHeight="1">
      <c r="A1029" s="21" t="s">
        <v>992</v>
      </c>
      <c r="B1029" s="13" t="str">
        <f>IFERROR(__xludf.DUMMYFUNCTION("GOOGLEFINANCE(A1029,""PRICE"")"),"#N/A")</f>
        <v>#N/A</v>
      </c>
      <c r="C1029" s="14" t="str">
        <f>IFERROR(__xludf.DUMMYFUNCTION("GOOGLEFINANCE(A1029,""PRICEOPEN"")"),"#N/A")</f>
        <v>#N/A</v>
      </c>
      <c r="D1029" s="14" t="str">
        <f>IFERROR(__xludf.DUMMYFUNCTION("GOOGLEFINANCE(A1029,""HIGH"")"),"#N/A")</f>
        <v>#N/A</v>
      </c>
      <c r="E1029" s="14" t="str">
        <f>IFERROR(__xludf.DUMMYFUNCTION("GOOGLEFINANCE(A1029,""LOW"")"),"#N/A")</f>
        <v>#N/A</v>
      </c>
      <c r="F1029" s="15" t="str">
        <f t="shared" si="8"/>
        <v>#N/A</v>
      </c>
      <c r="G1029" s="16" t="str">
        <f>IFERROR(__xludf.DUMMYFUNCTION("GOOGLEFINANCE(A1029,""CLOSEYEST"")"),"#N/A")</f>
        <v>#N/A</v>
      </c>
      <c r="H1029" s="17" t="str">
        <f t="shared" si="14"/>
        <v>#N/A</v>
      </c>
      <c r="I1029" s="18" t="str">
        <f t="shared" si="9"/>
        <v>#N/A</v>
      </c>
      <c r="J1029" s="19" t="str">
        <f t="shared" si="10"/>
        <v>#N/A</v>
      </c>
      <c r="K1029" s="19"/>
      <c r="L1029" s="19" t="str">
        <f t="shared" si="11"/>
        <v>#N/A</v>
      </c>
      <c r="M1029" s="19" t="str">
        <f t="shared" si="12"/>
        <v>#N/A</v>
      </c>
      <c r="N1029" s="19" t="str">
        <f t="shared" si="13"/>
        <v>#N/A</v>
      </c>
    </row>
    <row r="1030" ht="24.75" customHeight="1">
      <c r="A1030" s="21" t="s">
        <v>993</v>
      </c>
      <c r="B1030" s="13">
        <f>IFERROR(__xludf.DUMMYFUNCTION("GOOGLEFINANCE(A1030,""PRICE"")"),5.09)</f>
        <v>5.09</v>
      </c>
      <c r="C1030" s="14">
        <f>IFERROR(__xludf.DUMMYFUNCTION("GOOGLEFINANCE(A1030,""PRICEOPEN"")"),5.07)</f>
        <v>5.07</v>
      </c>
      <c r="D1030" s="14">
        <f>IFERROR(__xludf.DUMMYFUNCTION("GOOGLEFINANCE(A1030,""HIGH"")"),5.16)</f>
        <v>5.16</v>
      </c>
      <c r="E1030" s="14">
        <f>IFERROR(__xludf.DUMMYFUNCTION("GOOGLEFINANCE(A1030,""LOW"")"),5.06)</f>
        <v>5.06</v>
      </c>
      <c r="F1030" s="15" t="str">
        <f t="shared" si="8"/>
        <v/>
      </c>
      <c r="G1030" s="16">
        <f>IFERROR(__xludf.DUMMYFUNCTION("GOOGLEFINANCE(A1030,""CLOSEYEST"")"),5.13)</f>
        <v>5.13</v>
      </c>
      <c r="H1030" s="17" t="str">
        <f t="shared" si="14"/>
        <v>GAP DOWN</v>
      </c>
      <c r="I1030" s="18">
        <f t="shared" si="9"/>
        <v>5.116666667</v>
      </c>
      <c r="J1030" s="19">
        <f t="shared" si="10"/>
        <v>5.173333333</v>
      </c>
      <c r="K1030" s="19"/>
      <c r="L1030" s="19">
        <f t="shared" si="11"/>
        <v>5.073333333</v>
      </c>
      <c r="M1030" s="19">
        <f t="shared" si="12"/>
        <v>5.216666667</v>
      </c>
      <c r="N1030" s="19">
        <f t="shared" si="13"/>
        <v>5.016666667</v>
      </c>
    </row>
    <row r="1031" ht="24.75" customHeight="1">
      <c r="A1031" s="21" t="s">
        <v>994</v>
      </c>
      <c r="B1031" s="13">
        <f>IFERROR(__xludf.DUMMYFUNCTION("GOOGLEFINANCE(A1031,""PRICE"")"),208.0)</f>
        <v>208</v>
      </c>
      <c r="C1031" s="14">
        <f>IFERROR(__xludf.DUMMYFUNCTION("GOOGLEFINANCE(A1031,""PRICEOPEN"")"),194.0)</f>
        <v>194</v>
      </c>
      <c r="D1031" s="14">
        <f>IFERROR(__xludf.DUMMYFUNCTION("GOOGLEFINANCE(A1031,""HIGH"")"),212.96)</f>
        <v>212.96</v>
      </c>
      <c r="E1031" s="14">
        <f>IFERROR(__xludf.DUMMYFUNCTION("GOOGLEFINANCE(A1031,""LOW"")"),194.0)</f>
        <v>194</v>
      </c>
      <c r="F1031" s="15" t="str">
        <f t="shared" si="8"/>
        <v>BUY</v>
      </c>
      <c r="G1031" s="16">
        <f>IFERROR(__xludf.DUMMYFUNCTION("GOOGLEFINANCE(A1031,""CLOSEYEST"")"),191.41)</f>
        <v>191.41</v>
      </c>
      <c r="H1031" s="17" t="str">
        <f t="shared" si="14"/>
        <v>GAP UP</v>
      </c>
      <c r="I1031" s="18">
        <f t="shared" si="9"/>
        <v>199.4566667</v>
      </c>
      <c r="J1031" s="19">
        <f t="shared" si="10"/>
        <v>204.9133333</v>
      </c>
      <c r="K1031" s="19"/>
      <c r="L1031" s="19">
        <f t="shared" si="11"/>
        <v>185.9533333</v>
      </c>
      <c r="M1031" s="19">
        <f t="shared" si="12"/>
        <v>218.4166667</v>
      </c>
      <c r="N1031" s="19">
        <f t="shared" si="13"/>
        <v>180.4966667</v>
      </c>
    </row>
    <row r="1032" ht="24.75" customHeight="1">
      <c r="A1032" s="21" t="s">
        <v>995</v>
      </c>
      <c r="B1032" s="13">
        <f>IFERROR(__xludf.DUMMYFUNCTION("GOOGLEFINANCE(A1032,""PRICE"")"),1089.0)</f>
        <v>1089</v>
      </c>
      <c r="C1032" s="14">
        <f>IFERROR(__xludf.DUMMYFUNCTION("GOOGLEFINANCE(A1032,""PRICEOPEN"")"),1085.1)</f>
        <v>1085.1</v>
      </c>
      <c r="D1032" s="14">
        <f>IFERROR(__xludf.DUMMYFUNCTION("GOOGLEFINANCE(A1032,""HIGH"")"),1102.2)</f>
        <v>1102.2</v>
      </c>
      <c r="E1032" s="14">
        <f>IFERROR(__xludf.DUMMYFUNCTION("GOOGLEFINANCE(A1032,""LOW"")"),1075.7)</f>
        <v>1075.7</v>
      </c>
      <c r="F1032" s="15" t="str">
        <f t="shared" si="8"/>
        <v/>
      </c>
      <c r="G1032" s="16">
        <f>IFERROR(__xludf.DUMMYFUNCTION("GOOGLEFINANCE(A1032,""CLOSEYEST"")"),1088.5)</f>
        <v>1088.5</v>
      </c>
      <c r="H1032" s="17" t="str">
        <f t="shared" si="14"/>
        <v/>
      </c>
      <c r="I1032" s="18">
        <f t="shared" si="9"/>
        <v>1088.8</v>
      </c>
      <c r="J1032" s="19">
        <f t="shared" si="10"/>
        <v>1101.9</v>
      </c>
      <c r="K1032" s="19"/>
      <c r="L1032" s="19">
        <f t="shared" si="11"/>
        <v>1075.4</v>
      </c>
      <c r="M1032" s="19">
        <f t="shared" si="12"/>
        <v>1115.3</v>
      </c>
      <c r="N1032" s="19">
        <f t="shared" si="13"/>
        <v>1062.3</v>
      </c>
    </row>
    <row r="1033" ht="24.75" customHeight="1">
      <c r="A1033" s="21" t="s">
        <v>996</v>
      </c>
      <c r="B1033" s="13">
        <f>IFERROR(__xludf.DUMMYFUNCTION("GOOGLEFINANCE(A1033,""PRICE"")"),86.0)</f>
        <v>86</v>
      </c>
      <c r="C1033" s="14">
        <f>IFERROR(__xludf.DUMMYFUNCTION("GOOGLEFINANCE(A1033,""PRICEOPEN"")"),79.5)</f>
        <v>79.5</v>
      </c>
      <c r="D1033" s="14">
        <f>IFERROR(__xludf.DUMMYFUNCTION("GOOGLEFINANCE(A1033,""HIGH"")"),86.4)</f>
        <v>86.4</v>
      </c>
      <c r="E1033" s="14">
        <f>IFERROR(__xludf.DUMMYFUNCTION("GOOGLEFINANCE(A1033,""LOW"")"),78.6)</f>
        <v>78.6</v>
      </c>
      <c r="F1033" s="15" t="str">
        <f t="shared" si="8"/>
        <v/>
      </c>
      <c r="G1033" s="16">
        <f>IFERROR(__xludf.DUMMYFUNCTION("GOOGLEFINANCE(A1033,""CLOSEYEST"")"),79.09)</f>
        <v>79.09</v>
      </c>
      <c r="H1033" s="17" t="str">
        <f t="shared" si="14"/>
        <v/>
      </c>
      <c r="I1033" s="18">
        <f t="shared" si="9"/>
        <v>81.36333333</v>
      </c>
      <c r="J1033" s="19">
        <f t="shared" si="10"/>
        <v>84.12666667</v>
      </c>
      <c r="K1033" s="19"/>
      <c r="L1033" s="19">
        <f t="shared" si="11"/>
        <v>76.32666667</v>
      </c>
      <c r="M1033" s="19">
        <f t="shared" si="12"/>
        <v>89.16333333</v>
      </c>
      <c r="N1033" s="19">
        <f t="shared" si="13"/>
        <v>73.56333333</v>
      </c>
    </row>
    <row r="1034" ht="24.75" customHeight="1">
      <c r="A1034" s="21" t="s">
        <v>997</v>
      </c>
      <c r="B1034" s="13">
        <f>IFERROR(__xludf.DUMMYFUNCTION("GOOGLEFINANCE(A1034,""PRICE"")"),1694.0)</f>
        <v>1694</v>
      </c>
      <c r="C1034" s="14">
        <f>IFERROR(__xludf.DUMMYFUNCTION("GOOGLEFINANCE(A1034,""PRICEOPEN"")"),1620.0)</f>
        <v>1620</v>
      </c>
      <c r="D1034" s="14">
        <f>IFERROR(__xludf.DUMMYFUNCTION("GOOGLEFINANCE(A1034,""HIGH"")"),1699.0)</f>
        <v>1699</v>
      </c>
      <c r="E1034" s="14">
        <f>IFERROR(__xludf.DUMMYFUNCTION("GOOGLEFINANCE(A1034,""LOW"")"),1620.0)</f>
        <v>1620</v>
      </c>
      <c r="F1034" s="15" t="str">
        <f t="shared" si="8"/>
        <v>BUY</v>
      </c>
      <c r="G1034" s="16">
        <f>IFERROR(__xludf.DUMMYFUNCTION("GOOGLEFINANCE(A1034,""CLOSEYEST"")"),1626.0)</f>
        <v>1626</v>
      </c>
      <c r="H1034" s="17" t="str">
        <f t="shared" si="14"/>
        <v/>
      </c>
      <c r="I1034" s="18">
        <f t="shared" si="9"/>
        <v>1648.333333</v>
      </c>
      <c r="J1034" s="19">
        <f t="shared" si="10"/>
        <v>1676.666667</v>
      </c>
      <c r="K1034" s="19"/>
      <c r="L1034" s="19">
        <f t="shared" si="11"/>
        <v>1597.666667</v>
      </c>
      <c r="M1034" s="19">
        <f t="shared" si="12"/>
        <v>1727.333333</v>
      </c>
      <c r="N1034" s="19">
        <f t="shared" si="13"/>
        <v>1569.333333</v>
      </c>
    </row>
    <row r="1035" ht="24.75" customHeight="1">
      <c r="A1035" s="21" t="s">
        <v>998</v>
      </c>
      <c r="B1035" s="13">
        <f>IFERROR(__xludf.DUMMYFUNCTION("GOOGLEFINANCE(A1035,""PRICE"")"),141.0)</f>
        <v>141</v>
      </c>
      <c r="C1035" s="14">
        <f>IFERROR(__xludf.DUMMYFUNCTION("GOOGLEFINANCE(A1035,""PRICEOPEN"")"),138.84)</f>
        <v>138.84</v>
      </c>
      <c r="D1035" s="14">
        <f>IFERROR(__xludf.DUMMYFUNCTION("GOOGLEFINANCE(A1035,""HIGH"")"),141.4)</f>
        <v>141.4</v>
      </c>
      <c r="E1035" s="14">
        <f>IFERROR(__xludf.DUMMYFUNCTION("GOOGLEFINANCE(A1035,""LOW"")"),138.1)</f>
        <v>138.1</v>
      </c>
      <c r="F1035" s="15" t="str">
        <f t="shared" si="8"/>
        <v/>
      </c>
      <c r="G1035" s="16">
        <f>IFERROR(__xludf.DUMMYFUNCTION("GOOGLEFINANCE(A1035,""CLOSEYEST"")"),138.84)</f>
        <v>138.84</v>
      </c>
      <c r="H1035" s="17" t="str">
        <f t="shared" si="14"/>
        <v/>
      </c>
      <c r="I1035" s="18">
        <f t="shared" si="9"/>
        <v>139.4466667</v>
      </c>
      <c r="J1035" s="19">
        <f t="shared" si="10"/>
        <v>140.7933333</v>
      </c>
      <c r="K1035" s="19"/>
      <c r="L1035" s="19">
        <f t="shared" si="11"/>
        <v>137.4933333</v>
      </c>
      <c r="M1035" s="19">
        <f t="shared" si="12"/>
        <v>142.7466667</v>
      </c>
      <c r="N1035" s="19">
        <f t="shared" si="13"/>
        <v>136.1466667</v>
      </c>
    </row>
    <row r="1036" ht="24.75" customHeight="1">
      <c r="A1036" s="21" t="s">
        <v>999</v>
      </c>
      <c r="B1036" s="13">
        <f>IFERROR(__xludf.DUMMYFUNCTION("GOOGLEFINANCE(A1036,""PRICE"")"),96.2)</f>
        <v>96.2</v>
      </c>
      <c r="C1036" s="14">
        <f>IFERROR(__xludf.DUMMYFUNCTION("GOOGLEFINANCE(A1036,""PRICEOPEN"")"),94.5)</f>
        <v>94.5</v>
      </c>
      <c r="D1036" s="14">
        <f>IFERROR(__xludf.DUMMYFUNCTION("GOOGLEFINANCE(A1036,""HIGH"")"),97.15)</f>
        <v>97.15</v>
      </c>
      <c r="E1036" s="14">
        <f>IFERROR(__xludf.DUMMYFUNCTION("GOOGLEFINANCE(A1036,""LOW"")"),94.5)</f>
        <v>94.5</v>
      </c>
      <c r="F1036" s="15" t="str">
        <f t="shared" si="8"/>
        <v>BUY</v>
      </c>
      <c r="G1036" s="16">
        <f>IFERROR(__xludf.DUMMYFUNCTION("GOOGLEFINANCE(A1036,""CLOSEYEST"")"),95.24)</f>
        <v>95.24</v>
      </c>
      <c r="H1036" s="17" t="str">
        <f t="shared" si="14"/>
        <v/>
      </c>
      <c r="I1036" s="18">
        <f t="shared" si="9"/>
        <v>95.63</v>
      </c>
      <c r="J1036" s="19">
        <f t="shared" si="10"/>
        <v>96.76</v>
      </c>
      <c r="K1036" s="19"/>
      <c r="L1036" s="19">
        <f t="shared" si="11"/>
        <v>94.11</v>
      </c>
      <c r="M1036" s="19">
        <f t="shared" si="12"/>
        <v>98.28</v>
      </c>
      <c r="N1036" s="19">
        <f t="shared" si="13"/>
        <v>92.98</v>
      </c>
    </row>
    <row r="1037" ht="24.75" customHeight="1">
      <c r="A1037" s="21" t="s">
        <v>1000</v>
      </c>
      <c r="B1037" s="13" t="str">
        <f>IFERROR(__xludf.DUMMYFUNCTION("GOOGLEFINANCE(A1037,""PRICE"")"),"#N/A")</f>
        <v>#N/A</v>
      </c>
      <c r="C1037" s="14" t="str">
        <f>IFERROR(__xludf.DUMMYFUNCTION("GOOGLEFINANCE(A1037,""PRICEOPEN"")"),"#N/A")</f>
        <v>#N/A</v>
      </c>
      <c r="D1037" s="14" t="str">
        <f>IFERROR(__xludf.DUMMYFUNCTION("GOOGLEFINANCE(A1037,""HIGH"")"),"#N/A")</f>
        <v>#N/A</v>
      </c>
      <c r="E1037" s="14" t="str">
        <f>IFERROR(__xludf.DUMMYFUNCTION("GOOGLEFINANCE(A1037,""LOW"")"),"#N/A")</f>
        <v>#N/A</v>
      </c>
      <c r="F1037" s="15" t="str">
        <f t="shared" si="8"/>
        <v>#N/A</v>
      </c>
      <c r="G1037" s="16" t="str">
        <f>IFERROR(__xludf.DUMMYFUNCTION("GOOGLEFINANCE(A1037,""CLOSEYEST"")"),"#N/A")</f>
        <v>#N/A</v>
      </c>
      <c r="H1037" s="17" t="str">
        <f t="shared" si="14"/>
        <v>#N/A</v>
      </c>
      <c r="I1037" s="18" t="str">
        <f t="shared" si="9"/>
        <v>#N/A</v>
      </c>
      <c r="J1037" s="19" t="str">
        <f t="shared" si="10"/>
        <v>#N/A</v>
      </c>
      <c r="K1037" s="19"/>
      <c r="L1037" s="19" t="str">
        <f t="shared" si="11"/>
        <v>#N/A</v>
      </c>
      <c r="M1037" s="19" t="str">
        <f t="shared" si="12"/>
        <v>#N/A</v>
      </c>
      <c r="N1037" s="19" t="str">
        <f t="shared" si="13"/>
        <v>#N/A</v>
      </c>
    </row>
    <row r="1038" ht="24.75" customHeight="1">
      <c r="A1038" s="21" t="s">
        <v>1001</v>
      </c>
      <c r="B1038" s="13">
        <f>IFERROR(__xludf.DUMMYFUNCTION("GOOGLEFINANCE(A1038,""PRICE"")"),175.4)</f>
        <v>175.4</v>
      </c>
      <c r="C1038" s="14">
        <f>IFERROR(__xludf.DUMMYFUNCTION("GOOGLEFINANCE(A1038,""PRICEOPEN"")"),175.29)</f>
        <v>175.29</v>
      </c>
      <c r="D1038" s="14">
        <f>IFERROR(__xludf.DUMMYFUNCTION("GOOGLEFINANCE(A1038,""HIGH"")"),176.67)</f>
        <v>176.67</v>
      </c>
      <c r="E1038" s="14">
        <f>IFERROR(__xludf.DUMMYFUNCTION("GOOGLEFINANCE(A1038,""LOW"")"),175.05)</f>
        <v>175.05</v>
      </c>
      <c r="F1038" s="15" t="str">
        <f t="shared" si="8"/>
        <v/>
      </c>
      <c r="G1038" s="16">
        <f>IFERROR(__xludf.DUMMYFUNCTION("GOOGLEFINANCE(A1038,""CLOSEYEST"")"),175.07)</f>
        <v>175.07</v>
      </c>
      <c r="H1038" s="17" t="str">
        <f t="shared" si="14"/>
        <v/>
      </c>
      <c r="I1038" s="18">
        <f t="shared" si="9"/>
        <v>175.5966667</v>
      </c>
      <c r="J1038" s="19">
        <f t="shared" si="10"/>
        <v>176.1433333</v>
      </c>
      <c r="K1038" s="19"/>
      <c r="L1038" s="19">
        <f t="shared" si="11"/>
        <v>174.5233333</v>
      </c>
      <c r="M1038" s="19">
        <f t="shared" si="12"/>
        <v>177.2166667</v>
      </c>
      <c r="N1038" s="19">
        <f t="shared" si="13"/>
        <v>173.9766667</v>
      </c>
    </row>
    <row r="1039" ht="24.75" customHeight="1">
      <c r="A1039" s="21" t="s">
        <v>1002</v>
      </c>
      <c r="B1039" s="13">
        <f>IFERROR(__xludf.DUMMYFUNCTION("GOOGLEFINANCE(A1039,""PRICE"")"),178.0)</f>
        <v>178</v>
      </c>
      <c r="C1039" s="14">
        <f>IFERROR(__xludf.DUMMYFUNCTION("GOOGLEFINANCE(A1039,""PRICEOPEN"")"),176.0)</f>
        <v>176</v>
      </c>
      <c r="D1039" s="14">
        <f>IFERROR(__xludf.DUMMYFUNCTION("GOOGLEFINANCE(A1039,""HIGH"")"),182.4)</f>
        <v>182.4</v>
      </c>
      <c r="E1039" s="14">
        <f>IFERROR(__xludf.DUMMYFUNCTION("GOOGLEFINANCE(A1039,""LOW"")"),174.0)</f>
        <v>174</v>
      </c>
      <c r="F1039" s="15" t="str">
        <f t="shared" si="8"/>
        <v/>
      </c>
      <c r="G1039" s="16">
        <f>IFERROR(__xludf.DUMMYFUNCTION("GOOGLEFINANCE(A1039,""CLOSEYEST"")"),173.85)</f>
        <v>173.85</v>
      </c>
      <c r="H1039" s="17" t="str">
        <f t="shared" si="14"/>
        <v>GAP UP</v>
      </c>
      <c r="I1039" s="18">
        <f t="shared" si="9"/>
        <v>176.75</v>
      </c>
      <c r="J1039" s="19">
        <f t="shared" si="10"/>
        <v>179.5</v>
      </c>
      <c r="K1039" s="19"/>
      <c r="L1039" s="19">
        <f t="shared" si="11"/>
        <v>171.1</v>
      </c>
      <c r="M1039" s="19">
        <f t="shared" si="12"/>
        <v>185.15</v>
      </c>
      <c r="N1039" s="19">
        <f t="shared" si="13"/>
        <v>168.35</v>
      </c>
    </row>
    <row r="1040" ht="24.75" customHeight="1">
      <c r="A1040" s="21" t="s">
        <v>1003</v>
      </c>
      <c r="B1040" s="13">
        <f>IFERROR(__xludf.DUMMYFUNCTION("GOOGLEFINANCE(A1040,""PRICE"")"),162.8)</f>
        <v>162.8</v>
      </c>
      <c r="C1040" s="14">
        <f>IFERROR(__xludf.DUMMYFUNCTION("GOOGLEFINANCE(A1040,""PRICEOPEN"")"),158.7)</f>
        <v>158.7</v>
      </c>
      <c r="D1040" s="14">
        <f>IFERROR(__xludf.DUMMYFUNCTION("GOOGLEFINANCE(A1040,""HIGH"")"),165.39)</f>
        <v>165.39</v>
      </c>
      <c r="E1040" s="14">
        <f>IFERROR(__xludf.DUMMYFUNCTION("GOOGLEFINANCE(A1040,""LOW"")"),157.67)</f>
        <v>157.67</v>
      </c>
      <c r="F1040" s="15" t="str">
        <f t="shared" si="8"/>
        <v/>
      </c>
      <c r="G1040" s="16">
        <f>IFERROR(__xludf.DUMMYFUNCTION("GOOGLEFINANCE(A1040,""CLOSEYEST"")"),158.84)</f>
        <v>158.84</v>
      </c>
      <c r="H1040" s="17" t="str">
        <f t="shared" si="14"/>
        <v/>
      </c>
      <c r="I1040" s="18">
        <f t="shared" si="9"/>
        <v>160.6333333</v>
      </c>
      <c r="J1040" s="19">
        <f t="shared" si="10"/>
        <v>163.5966667</v>
      </c>
      <c r="K1040" s="19"/>
      <c r="L1040" s="19">
        <f t="shared" si="11"/>
        <v>155.8766667</v>
      </c>
      <c r="M1040" s="19">
        <f t="shared" si="12"/>
        <v>168.3533333</v>
      </c>
      <c r="N1040" s="19">
        <f t="shared" si="13"/>
        <v>152.9133333</v>
      </c>
    </row>
    <row r="1041" ht="24.75" customHeight="1">
      <c r="A1041" s="21" t="s">
        <v>1004</v>
      </c>
      <c r="B1041" s="13">
        <f>IFERROR(__xludf.DUMMYFUNCTION("GOOGLEFINANCE(A1041,""PRICE"")"),196.9)</f>
        <v>196.9</v>
      </c>
      <c r="C1041" s="14">
        <f>IFERROR(__xludf.DUMMYFUNCTION("GOOGLEFINANCE(A1041,""PRICEOPEN"")"),182.9)</f>
        <v>182.9</v>
      </c>
      <c r="D1041" s="14">
        <f>IFERROR(__xludf.DUMMYFUNCTION("GOOGLEFINANCE(A1041,""HIGH"")"),198.99)</f>
        <v>198.99</v>
      </c>
      <c r="E1041" s="14">
        <f>IFERROR(__xludf.DUMMYFUNCTION("GOOGLEFINANCE(A1041,""LOW"")"),180.42)</f>
        <v>180.42</v>
      </c>
      <c r="F1041" s="15" t="str">
        <f t="shared" si="8"/>
        <v/>
      </c>
      <c r="G1041" s="16">
        <f>IFERROR(__xludf.DUMMYFUNCTION("GOOGLEFINANCE(A1041,""CLOSEYEST"")"),182.33)</f>
        <v>182.33</v>
      </c>
      <c r="H1041" s="17" t="str">
        <f t="shared" si="14"/>
        <v/>
      </c>
      <c r="I1041" s="18">
        <f t="shared" si="9"/>
        <v>187.2466667</v>
      </c>
      <c r="J1041" s="19">
        <f t="shared" si="10"/>
        <v>194.0733333</v>
      </c>
      <c r="K1041" s="19"/>
      <c r="L1041" s="19">
        <f t="shared" si="11"/>
        <v>175.5033333</v>
      </c>
      <c r="M1041" s="19">
        <f t="shared" si="12"/>
        <v>205.8166667</v>
      </c>
      <c r="N1041" s="19">
        <f t="shared" si="13"/>
        <v>168.6766667</v>
      </c>
    </row>
    <row r="1042" ht="24.75" customHeight="1">
      <c r="A1042" s="21" t="s">
        <v>1005</v>
      </c>
      <c r="B1042" s="13">
        <f>IFERROR(__xludf.DUMMYFUNCTION("GOOGLEFINANCE(A1042,""PRICE"")"),7955.0)</f>
        <v>7955</v>
      </c>
      <c r="C1042" s="14">
        <f>IFERROR(__xludf.DUMMYFUNCTION("GOOGLEFINANCE(A1042,""PRICEOPEN"")"),7668.5)</f>
        <v>7668.5</v>
      </c>
      <c r="D1042" s="14">
        <f>IFERROR(__xludf.DUMMYFUNCTION("GOOGLEFINANCE(A1042,""HIGH"")"),8247.0)</f>
        <v>8247</v>
      </c>
      <c r="E1042" s="14">
        <f>IFERROR(__xludf.DUMMYFUNCTION("GOOGLEFINANCE(A1042,""LOW"")"),7668.5)</f>
        <v>7668.5</v>
      </c>
      <c r="F1042" s="15" t="str">
        <f t="shared" si="8"/>
        <v>BUY</v>
      </c>
      <c r="G1042" s="16">
        <f>IFERROR(__xludf.DUMMYFUNCTION("GOOGLEFINANCE(A1042,""CLOSEYEST"")"),7607.5)</f>
        <v>7607.5</v>
      </c>
      <c r="H1042" s="17" t="str">
        <f t="shared" si="14"/>
        <v/>
      </c>
      <c r="I1042" s="18">
        <f t="shared" si="9"/>
        <v>7841</v>
      </c>
      <c r="J1042" s="19">
        <f t="shared" si="10"/>
        <v>8013.5</v>
      </c>
      <c r="K1042" s="19"/>
      <c r="L1042" s="19">
        <f t="shared" si="11"/>
        <v>7435</v>
      </c>
      <c r="M1042" s="19">
        <f t="shared" si="12"/>
        <v>8419.5</v>
      </c>
      <c r="N1042" s="19">
        <f t="shared" si="13"/>
        <v>7262.5</v>
      </c>
    </row>
    <row r="1043" ht="24.75" customHeight="1">
      <c r="A1043" s="21" t="s">
        <v>1006</v>
      </c>
      <c r="B1043" s="13">
        <f>IFERROR(__xludf.DUMMYFUNCTION("GOOGLEFINANCE(A1043,""PRICE"")"),23.95)</f>
        <v>23.95</v>
      </c>
      <c r="C1043" s="14">
        <f>IFERROR(__xludf.DUMMYFUNCTION("GOOGLEFINANCE(A1043,""PRICEOPEN"")"),23.99)</f>
        <v>23.99</v>
      </c>
      <c r="D1043" s="14">
        <f>IFERROR(__xludf.DUMMYFUNCTION("GOOGLEFINANCE(A1043,""HIGH"")"),26.14)</f>
        <v>26.14</v>
      </c>
      <c r="E1043" s="14">
        <f>IFERROR(__xludf.DUMMYFUNCTION("GOOGLEFINANCE(A1043,""LOW"")"),23.8)</f>
        <v>23.8</v>
      </c>
      <c r="F1043" s="15" t="str">
        <f t="shared" si="8"/>
        <v/>
      </c>
      <c r="G1043" s="16">
        <f>IFERROR(__xludf.DUMMYFUNCTION("GOOGLEFINANCE(A1043,""CLOSEYEST"")"),23.9)</f>
        <v>23.9</v>
      </c>
      <c r="H1043" s="17" t="str">
        <f t="shared" si="14"/>
        <v/>
      </c>
      <c r="I1043" s="18">
        <f t="shared" si="9"/>
        <v>24.61333333</v>
      </c>
      <c r="J1043" s="19">
        <f t="shared" si="10"/>
        <v>25.42666667</v>
      </c>
      <c r="K1043" s="19"/>
      <c r="L1043" s="19">
        <f t="shared" si="11"/>
        <v>23.08666667</v>
      </c>
      <c r="M1043" s="19">
        <f t="shared" si="12"/>
        <v>26.95333333</v>
      </c>
      <c r="N1043" s="19">
        <f t="shared" si="13"/>
        <v>22.27333333</v>
      </c>
    </row>
    <row r="1044" ht="24.75" customHeight="1">
      <c r="A1044" s="21" t="s">
        <v>1007</v>
      </c>
      <c r="B1044" s="13">
        <f>IFERROR(__xludf.DUMMYFUNCTION("GOOGLEFINANCE(A1044,""PRICE"")"),8.54)</f>
        <v>8.54</v>
      </c>
      <c r="C1044" s="14">
        <f>IFERROR(__xludf.DUMMYFUNCTION("GOOGLEFINANCE(A1044,""PRICEOPEN"")"),8.49)</f>
        <v>8.49</v>
      </c>
      <c r="D1044" s="14">
        <f>IFERROR(__xludf.DUMMYFUNCTION("GOOGLEFINANCE(A1044,""HIGH"")"),8.58)</f>
        <v>8.58</v>
      </c>
      <c r="E1044" s="14">
        <f>IFERROR(__xludf.DUMMYFUNCTION("GOOGLEFINANCE(A1044,""LOW"")"),8.37)</f>
        <v>8.37</v>
      </c>
      <c r="F1044" s="15" t="str">
        <f t="shared" si="8"/>
        <v/>
      </c>
      <c r="G1044" s="16">
        <f>IFERROR(__xludf.DUMMYFUNCTION("GOOGLEFINANCE(A1044,""CLOSEYEST"")"),8.37)</f>
        <v>8.37</v>
      </c>
      <c r="H1044" s="17" t="str">
        <f t="shared" si="14"/>
        <v>GAP UP</v>
      </c>
      <c r="I1044" s="18">
        <f t="shared" si="9"/>
        <v>8.44</v>
      </c>
      <c r="J1044" s="19">
        <f t="shared" si="10"/>
        <v>8.51</v>
      </c>
      <c r="K1044" s="19"/>
      <c r="L1044" s="19">
        <f t="shared" si="11"/>
        <v>8.3</v>
      </c>
      <c r="M1044" s="19">
        <f t="shared" si="12"/>
        <v>8.65</v>
      </c>
      <c r="N1044" s="19">
        <f t="shared" si="13"/>
        <v>8.23</v>
      </c>
    </row>
    <row r="1045" ht="24.75" customHeight="1">
      <c r="A1045" s="21" t="s">
        <v>1008</v>
      </c>
      <c r="B1045" s="13">
        <f>IFERROR(__xludf.DUMMYFUNCTION("GOOGLEFINANCE(A1045,""PRICE"")"),429.0)</f>
        <v>429</v>
      </c>
      <c r="C1045" s="14">
        <f>IFERROR(__xludf.DUMMYFUNCTION("GOOGLEFINANCE(A1045,""PRICEOPEN"")"),419.8)</f>
        <v>419.8</v>
      </c>
      <c r="D1045" s="14">
        <f>IFERROR(__xludf.DUMMYFUNCTION("GOOGLEFINANCE(A1045,""HIGH"")"),429.0)</f>
        <v>429</v>
      </c>
      <c r="E1045" s="14">
        <f>IFERROR(__xludf.DUMMYFUNCTION("GOOGLEFINANCE(A1045,""LOW"")"),415.55)</f>
        <v>415.55</v>
      </c>
      <c r="F1045" s="15" t="str">
        <f t="shared" si="8"/>
        <v/>
      </c>
      <c r="G1045" s="16">
        <f>IFERROR(__xludf.DUMMYFUNCTION("GOOGLEFINANCE(A1045,""CLOSEYEST"")"),416.85)</f>
        <v>416.85</v>
      </c>
      <c r="H1045" s="17" t="str">
        <f t="shared" si="14"/>
        <v/>
      </c>
      <c r="I1045" s="18">
        <f t="shared" si="9"/>
        <v>420.4666667</v>
      </c>
      <c r="J1045" s="19">
        <f t="shared" si="10"/>
        <v>425.3833333</v>
      </c>
      <c r="K1045" s="19"/>
      <c r="L1045" s="19">
        <f t="shared" si="11"/>
        <v>411.9333333</v>
      </c>
      <c r="M1045" s="19">
        <f t="shared" si="12"/>
        <v>433.9166667</v>
      </c>
      <c r="N1045" s="19">
        <f t="shared" si="13"/>
        <v>407.0166667</v>
      </c>
    </row>
    <row r="1046" ht="24.75" customHeight="1">
      <c r="A1046" s="21" t="s">
        <v>1009</v>
      </c>
      <c r="B1046" s="13">
        <f>IFERROR(__xludf.DUMMYFUNCTION("GOOGLEFINANCE(A1046,""PRICE"")"),5300.0)</f>
        <v>5300</v>
      </c>
      <c r="C1046" s="14">
        <f>IFERROR(__xludf.DUMMYFUNCTION("GOOGLEFINANCE(A1046,""PRICEOPEN"")"),5192.0)</f>
        <v>5192</v>
      </c>
      <c r="D1046" s="14">
        <f>IFERROR(__xludf.DUMMYFUNCTION("GOOGLEFINANCE(A1046,""HIGH"")"),5425.0)</f>
        <v>5425</v>
      </c>
      <c r="E1046" s="14">
        <f>IFERROR(__xludf.DUMMYFUNCTION("GOOGLEFINANCE(A1046,""LOW"")"),5192.0)</f>
        <v>5192</v>
      </c>
      <c r="F1046" s="15" t="str">
        <f t="shared" si="8"/>
        <v>BUY</v>
      </c>
      <c r="G1046" s="16">
        <f>IFERROR(__xludf.DUMMYFUNCTION("GOOGLEFINANCE(A1046,""CLOSEYEST"")"),5191.9)</f>
        <v>5191.9</v>
      </c>
      <c r="H1046" s="17" t="str">
        <f t="shared" si="14"/>
        <v/>
      </c>
      <c r="I1046" s="18">
        <f t="shared" si="9"/>
        <v>5269.633333</v>
      </c>
      <c r="J1046" s="19">
        <f t="shared" si="10"/>
        <v>5347.266667</v>
      </c>
      <c r="K1046" s="19"/>
      <c r="L1046" s="19">
        <f t="shared" si="11"/>
        <v>5114.266667</v>
      </c>
      <c r="M1046" s="19">
        <f t="shared" si="12"/>
        <v>5502.633333</v>
      </c>
      <c r="N1046" s="19">
        <f t="shared" si="13"/>
        <v>5036.633333</v>
      </c>
    </row>
    <row r="1047" ht="24.75" customHeight="1">
      <c r="A1047" s="21" t="s">
        <v>1010</v>
      </c>
      <c r="B1047" s="13">
        <f>IFERROR(__xludf.DUMMYFUNCTION("GOOGLEFINANCE(A1047,""PRICE"")"),133.99)</f>
        <v>133.99</v>
      </c>
      <c r="C1047" s="14">
        <f>IFERROR(__xludf.DUMMYFUNCTION("GOOGLEFINANCE(A1047,""PRICEOPEN"")"),133.24)</f>
        <v>133.24</v>
      </c>
      <c r="D1047" s="14">
        <f>IFERROR(__xludf.DUMMYFUNCTION("GOOGLEFINANCE(A1047,""HIGH"")"),134.98)</f>
        <v>134.98</v>
      </c>
      <c r="E1047" s="14">
        <f>IFERROR(__xludf.DUMMYFUNCTION("GOOGLEFINANCE(A1047,""LOW"")"),130.2)</f>
        <v>130.2</v>
      </c>
      <c r="F1047" s="15" t="str">
        <f t="shared" si="8"/>
        <v/>
      </c>
      <c r="G1047" s="16">
        <f>IFERROR(__xludf.DUMMYFUNCTION("GOOGLEFINANCE(A1047,""CLOSEYEST"")"),132.58)</f>
        <v>132.58</v>
      </c>
      <c r="H1047" s="17" t="str">
        <f t="shared" si="14"/>
        <v/>
      </c>
      <c r="I1047" s="18">
        <f t="shared" si="9"/>
        <v>132.5866667</v>
      </c>
      <c r="J1047" s="19">
        <f t="shared" si="10"/>
        <v>134.9733333</v>
      </c>
      <c r="K1047" s="19"/>
      <c r="L1047" s="19">
        <f t="shared" si="11"/>
        <v>130.1933333</v>
      </c>
      <c r="M1047" s="19">
        <f t="shared" si="12"/>
        <v>137.3666667</v>
      </c>
      <c r="N1047" s="19">
        <f t="shared" si="13"/>
        <v>127.8066667</v>
      </c>
    </row>
    <row r="1048" ht="24.75" customHeight="1">
      <c r="A1048" s="21" t="s">
        <v>1011</v>
      </c>
      <c r="B1048" s="13">
        <f>IFERROR(__xludf.DUMMYFUNCTION("GOOGLEFINANCE(A1048,""PRICE"")"),48.7)</f>
        <v>48.7</v>
      </c>
      <c r="C1048" s="14">
        <f>IFERROR(__xludf.DUMMYFUNCTION("GOOGLEFINANCE(A1048,""PRICEOPEN"")"),48.0)</f>
        <v>48</v>
      </c>
      <c r="D1048" s="14">
        <f>IFERROR(__xludf.DUMMYFUNCTION("GOOGLEFINANCE(A1048,""HIGH"")"),49.43)</f>
        <v>49.43</v>
      </c>
      <c r="E1048" s="14">
        <f>IFERROR(__xludf.DUMMYFUNCTION("GOOGLEFINANCE(A1048,""LOW"")"),48.0)</f>
        <v>48</v>
      </c>
      <c r="F1048" s="15" t="str">
        <f t="shared" si="8"/>
        <v>BUY</v>
      </c>
      <c r="G1048" s="16">
        <f>IFERROR(__xludf.DUMMYFUNCTION("GOOGLEFINANCE(A1048,""CLOSEYEST"")"),48.14)</f>
        <v>48.14</v>
      </c>
      <c r="H1048" s="17" t="str">
        <f t="shared" si="14"/>
        <v/>
      </c>
      <c r="I1048" s="18">
        <f t="shared" si="9"/>
        <v>48.52333333</v>
      </c>
      <c r="J1048" s="19">
        <f t="shared" si="10"/>
        <v>49.04666667</v>
      </c>
      <c r="K1048" s="19"/>
      <c r="L1048" s="19">
        <f t="shared" si="11"/>
        <v>47.61666667</v>
      </c>
      <c r="M1048" s="19">
        <f t="shared" si="12"/>
        <v>49.95333333</v>
      </c>
      <c r="N1048" s="19">
        <f t="shared" si="13"/>
        <v>47.09333333</v>
      </c>
    </row>
    <row r="1049" ht="24.75" customHeight="1">
      <c r="A1049" s="21" t="s">
        <v>1012</v>
      </c>
      <c r="B1049" s="13">
        <f>IFERROR(__xludf.DUMMYFUNCTION("GOOGLEFINANCE(A1049,""PRICE"")"),103.05)</f>
        <v>103.05</v>
      </c>
      <c r="C1049" s="14">
        <f>IFERROR(__xludf.DUMMYFUNCTION("GOOGLEFINANCE(A1049,""PRICEOPEN"")"),107.39)</f>
        <v>107.39</v>
      </c>
      <c r="D1049" s="14">
        <f>IFERROR(__xludf.DUMMYFUNCTION("GOOGLEFINANCE(A1049,""HIGH"")"),107.39)</f>
        <v>107.39</v>
      </c>
      <c r="E1049" s="14">
        <f>IFERROR(__xludf.DUMMYFUNCTION("GOOGLEFINANCE(A1049,""LOW"")"),102.02)</f>
        <v>102.02</v>
      </c>
      <c r="F1049" s="15" t="str">
        <f t="shared" si="8"/>
        <v>SELL</v>
      </c>
      <c r="G1049" s="16">
        <f>IFERROR(__xludf.DUMMYFUNCTION("GOOGLEFINANCE(A1049,""CLOSEYEST"")"),107.39)</f>
        <v>107.39</v>
      </c>
      <c r="H1049" s="17" t="str">
        <f t="shared" si="14"/>
        <v/>
      </c>
      <c r="I1049" s="18">
        <f t="shared" si="9"/>
        <v>105.6</v>
      </c>
      <c r="J1049" s="19">
        <f t="shared" si="10"/>
        <v>109.18</v>
      </c>
      <c r="K1049" s="19"/>
      <c r="L1049" s="19">
        <f t="shared" si="11"/>
        <v>103.81</v>
      </c>
      <c r="M1049" s="19">
        <f t="shared" si="12"/>
        <v>110.97</v>
      </c>
      <c r="N1049" s="19">
        <f t="shared" si="13"/>
        <v>100.23</v>
      </c>
    </row>
    <row r="1050" ht="24.75" customHeight="1">
      <c r="A1050" s="21" t="s">
        <v>1013</v>
      </c>
      <c r="B1050" s="13">
        <f>IFERROR(__xludf.DUMMYFUNCTION("GOOGLEFINANCE(A1050,""PRICE"")"),1.87)</f>
        <v>1.87</v>
      </c>
      <c r="C1050" s="14">
        <f>IFERROR(__xludf.DUMMYFUNCTION("GOOGLEFINANCE(A1050,""PRICEOPEN"")"),1.97)</f>
        <v>1.97</v>
      </c>
      <c r="D1050" s="14">
        <f>IFERROR(__xludf.DUMMYFUNCTION("GOOGLEFINANCE(A1050,""HIGH"")"),2.06)</f>
        <v>2.06</v>
      </c>
      <c r="E1050" s="14">
        <f>IFERROR(__xludf.DUMMYFUNCTION("GOOGLEFINANCE(A1050,""LOW"")"),1.87)</f>
        <v>1.87</v>
      </c>
      <c r="F1050" s="15" t="str">
        <f t="shared" si="8"/>
        <v/>
      </c>
      <c r="G1050" s="16">
        <f>IFERROR(__xludf.DUMMYFUNCTION("GOOGLEFINANCE(A1050,""CLOSEYEST"")"),1.97)</f>
        <v>1.97</v>
      </c>
      <c r="H1050" s="17" t="str">
        <f t="shared" si="14"/>
        <v/>
      </c>
      <c r="I1050" s="18">
        <f t="shared" si="9"/>
        <v>1.966666667</v>
      </c>
      <c r="J1050" s="19">
        <f t="shared" si="10"/>
        <v>2.063333333</v>
      </c>
      <c r="K1050" s="19"/>
      <c r="L1050" s="19">
        <f t="shared" si="11"/>
        <v>1.873333333</v>
      </c>
      <c r="M1050" s="19">
        <f t="shared" si="12"/>
        <v>2.156666667</v>
      </c>
      <c r="N1050" s="19">
        <f t="shared" si="13"/>
        <v>1.776666667</v>
      </c>
    </row>
    <row r="1051" ht="24.75" customHeight="1">
      <c r="A1051" s="21" t="s">
        <v>1014</v>
      </c>
      <c r="B1051" s="13">
        <f>IFERROR(__xludf.DUMMYFUNCTION("GOOGLEFINANCE(A1051,""PRICE"")"),258.75)</f>
        <v>258.75</v>
      </c>
      <c r="C1051" s="14">
        <f>IFERROR(__xludf.DUMMYFUNCTION("GOOGLEFINANCE(A1051,""PRICEOPEN"")"),253.1)</f>
        <v>253.1</v>
      </c>
      <c r="D1051" s="14">
        <f>IFERROR(__xludf.DUMMYFUNCTION("GOOGLEFINANCE(A1051,""HIGH"")"),258.75)</f>
        <v>258.75</v>
      </c>
      <c r="E1051" s="14">
        <f>IFERROR(__xludf.DUMMYFUNCTION("GOOGLEFINANCE(A1051,""LOW"")"),251.0)</f>
        <v>251</v>
      </c>
      <c r="F1051" s="15" t="str">
        <f t="shared" si="8"/>
        <v/>
      </c>
      <c r="G1051" s="16">
        <f>IFERROR(__xludf.DUMMYFUNCTION("GOOGLEFINANCE(A1051,""CLOSEYEST"")"),253.1)</f>
        <v>253.1</v>
      </c>
      <c r="H1051" s="17" t="str">
        <f t="shared" si="14"/>
        <v/>
      </c>
      <c r="I1051" s="18">
        <f t="shared" si="9"/>
        <v>254.2833333</v>
      </c>
      <c r="J1051" s="19">
        <f t="shared" si="10"/>
        <v>257.5666667</v>
      </c>
      <c r="K1051" s="19"/>
      <c r="L1051" s="19">
        <f t="shared" si="11"/>
        <v>249.8166667</v>
      </c>
      <c r="M1051" s="19">
        <f t="shared" si="12"/>
        <v>262.0333333</v>
      </c>
      <c r="N1051" s="19">
        <f t="shared" si="13"/>
        <v>246.5333333</v>
      </c>
    </row>
    <row r="1052" ht="24.75" customHeight="1">
      <c r="A1052" s="21" t="s">
        <v>1015</v>
      </c>
      <c r="B1052" s="13">
        <f>IFERROR(__xludf.DUMMYFUNCTION("GOOGLEFINANCE(A1052,""PRICE"")"),140.0)</f>
        <v>140</v>
      </c>
      <c r="C1052" s="14">
        <f>IFERROR(__xludf.DUMMYFUNCTION("GOOGLEFINANCE(A1052,""PRICEOPEN"")"),128.4)</f>
        <v>128.4</v>
      </c>
      <c r="D1052" s="14">
        <f>IFERROR(__xludf.DUMMYFUNCTION("GOOGLEFINANCE(A1052,""HIGH"")"),140.4)</f>
        <v>140.4</v>
      </c>
      <c r="E1052" s="14">
        <f>IFERROR(__xludf.DUMMYFUNCTION("GOOGLEFINANCE(A1052,""LOW"")"),127.59)</f>
        <v>127.59</v>
      </c>
      <c r="F1052" s="15" t="str">
        <f t="shared" si="8"/>
        <v/>
      </c>
      <c r="G1052" s="16">
        <f>IFERROR(__xludf.DUMMYFUNCTION("GOOGLEFINANCE(A1052,""CLOSEYEST"")"),128.4)</f>
        <v>128.4</v>
      </c>
      <c r="H1052" s="17" t="str">
        <f t="shared" si="14"/>
        <v/>
      </c>
      <c r="I1052" s="18">
        <f t="shared" si="9"/>
        <v>132.13</v>
      </c>
      <c r="J1052" s="19">
        <f t="shared" si="10"/>
        <v>136.67</v>
      </c>
      <c r="K1052" s="19"/>
      <c r="L1052" s="19">
        <f t="shared" si="11"/>
        <v>123.86</v>
      </c>
      <c r="M1052" s="19">
        <f t="shared" si="12"/>
        <v>144.94</v>
      </c>
      <c r="N1052" s="19">
        <f t="shared" si="13"/>
        <v>119.32</v>
      </c>
    </row>
    <row r="1053" ht="24.75" customHeight="1">
      <c r="A1053" s="21" t="s">
        <v>1016</v>
      </c>
      <c r="B1053" s="13">
        <f>IFERROR(__xludf.DUMMYFUNCTION("GOOGLEFINANCE(A1053,""PRICE"")"),158.0)</f>
        <v>158</v>
      </c>
      <c r="C1053" s="14">
        <f>IFERROR(__xludf.DUMMYFUNCTION("GOOGLEFINANCE(A1053,""PRICEOPEN"")"),155.01)</f>
        <v>155.01</v>
      </c>
      <c r="D1053" s="14">
        <f>IFERROR(__xludf.DUMMYFUNCTION("GOOGLEFINANCE(A1053,""HIGH"")"),158.0)</f>
        <v>158</v>
      </c>
      <c r="E1053" s="14">
        <f>IFERROR(__xludf.DUMMYFUNCTION("GOOGLEFINANCE(A1053,""LOW"")"),151.31)</f>
        <v>151.31</v>
      </c>
      <c r="F1053" s="15" t="str">
        <f t="shared" si="8"/>
        <v/>
      </c>
      <c r="G1053" s="16">
        <f>IFERROR(__xludf.DUMMYFUNCTION("GOOGLEFINANCE(A1053,""CLOSEYEST"")"),156.0)</f>
        <v>156</v>
      </c>
      <c r="H1053" s="17" t="str">
        <f t="shared" si="14"/>
        <v/>
      </c>
      <c r="I1053" s="18">
        <f t="shared" si="9"/>
        <v>155.1033333</v>
      </c>
      <c r="J1053" s="19">
        <f t="shared" si="10"/>
        <v>158.8966667</v>
      </c>
      <c r="K1053" s="19"/>
      <c r="L1053" s="19">
        <f t="shared" si="11"/>
        <v>152.2066667</v>
      </c>
      <c r="M1053" s="19">
        <f t="shared" si="12"/>
        <v>161.7933333</v>
      </c>
      <c r="N1053" s="19">
        <f t="shared" si="13"/>
        <v>148.4133333</v>
      </c>
    </row>
    <row r="1054" ht="24.75" customHeight="1">
      <c r="A1054" s="21" t="s">
        <v>1017</v>
      </c>
      <c r="B1054" s="13">
        <f>IFERROR(__xludf.DUMMYFUNCTION("GOOGLEFINANCE(A1054,""PRICE"")"),998.0)</f>
        <v>998</v>
      </c>
      <c r="C1054" s="14">
        <f>IFERROR(__xludf.DUMMYFUNCTION("GOOGLEFINANCE(A1054,""PRICEOPEN"")"),1011.1)</f>
        <v>1011.1</v>
      </c>
      <c r="D1054" s="14">
        <f>IFERROR(__xludf.DUMMYFUNCTION("GOOGLEFINANCE(A1054,""HIGH"")"),1011.1)</f>
        <v>1011.1</v>
      </c>
      <c r="E1054" s="14">
        <f>IFERROR(__xludf.DUMMYFUNCTION("GOOGLEFINANCE(A1054,""LOW"")"),991.45)</f>
        <v>991.45</v>
      </c>
      <c r="F1054" s="15" t="str">
        <f t="shared" si="8"/>
        <v>SELL</v>
      </c>
      <c r="G1054" s="16">
        <f>IFERROR(__xludf.DUMMYFUNCTION("GOOGLEFINANCE(A1054,""CLOSEYEST"")"),1005.85)</f>
        <v>1005.85</v>
      </c>
      <c r="H1054" s="17" t="str">
        <f t="shared" si="14"/>
        <v/>
      </c>
      <c r="I1054" s="18">
        <f t="shared" si="9"/>
        <v>1002.8</v>
      </c>
      <c r="J1054" s="19">
        <f t="shared" si="10"/>
        <v>1014.15</v>
      </c>
      <c r="K1054" s="19"/>
      <c r="L1054" s="19">
        <f t="shared" si="11"/>
        <v>994.5</v>
      </c>
      <c r="M1054" s="19">
        <f t="shared" si="12"/>
        <v>1022.45</v>
      </c>
      <c r="N1054" s="19">
        <f t="shared" si="13"/>
        <v>983.15</v>
      </c>
    </row>
    <row r="1055" ht="24.75" customHeight="1">
      <c r="A1055" s="21" t="s">
        <v>1018</v>
      </c>
      <c r="B1055" s="13" t="str">
        <f>IFERROR(__xludf.DUMMYFUNCTION("GOOGLEFINANCE(A1055,""PRICE"")"),"#N/A")</f>
        <v>#N/A</v>
      </c>
      <c r="C1055" s="14" t="str">
        <f>IFERROR(__xludf.DUMMYFUNCTION("GOOGLEFINANCE(A1055,""PRICEOPEN"")"),"#N/A")</f>
        <v>#N/A</v>
      </c>
      <c r="D1055" s="14" t="str">
        <f>IFERROR(__xludf.DUMMYFUNCTION("GOOGLEFINANCE(A1055,""HIGH"")"),"#N/A")</f>
        <v>#N/A</v>
      </c>
      <c r="E1055" s="14" t="str">
        <f>IFERROR(__xludf.DUMMYFUNCTION("GOOGLEFINANCE(A1055,""LOW"")"),"#N/A")</f>
        <v>#N/A</v>
      </c>
      <c r="F1055" s="15" t="str">
        <f t="shared" si="8"/>
        <v>#N/A</v>
      </c>
      <c r="G1055" s="16" t="str">
        <f>IFERROR(__xludf.DUMMYFUNCTION("GOOGLEFINANCE(A1055,""CLOSEYEST"")"),"#N/A")</f>
        <v>#N/A</v>
      </c>
      <c r="H1055" s="17" t="str">
        <f t="shared" si="14"/>
        <v>#N/A</v>
      </c>
      <c r="I1055" s="18" t="str">
        <f t="shared" si="9"/>
        <v>#N/A</v>
      </c>
      <c r="J1055" s="19" t="str">
        <f t="shared" si="10"/>
        <v>#N/A</v>
      </c>
      <c r="K1055" s="19"/>
      <c r="L1055" s="19" t="str">
        <f t="shared" si="11"/>
        <v>#N/A</v>
      </c>
      <c r="M1055" s="19" t="str">
        <f t="shared" si="12"/>
        <v>#N/A</v>
      </c>
      <c r="N1055" s="19" t="str">
        <f t="shared" si="13"/>
        <v>#N/A</v>
      </c>
    </row>
    <row r="1056" ht="24.75" customHeight="1">
      <c r="A1056" s="21" t="s">
        <v>1019</v>
      </c>
      <c r="B1056" s="13">
        <f>IFERROR(__xludf.DUMMYFUNCTION("GOOGLEFINANCE(A1056,""PRICE"")"),128.9)</f>
        <v>128.9</v>
      </c>
      <c r="C1056" s="14">
        <f>IFERROR(__xludf.DUMMYFUNCTION("GOOGLEFINANCE(A1056,""PRICEOPEN"")"),129.6)</f>
        <v>129.6</v>
      </c>
      <c r="D1056" s="14">
        <f>IFERROR(__xludf.DUMMYFUNCTION("GOOGLEFINANCE(A1056,""HIGH"")"),130.3)</f>
        <v>130.3</v>
      </c>
      <c r="E1056" s="14">
        <f>IFERROR(__xludf.DUMMYFUNCTION("GOOGLEFINANCE(A1056,""LOW"")"),126.8)</f>
        <v>126.8</v>
      </c>
      <c r="F1056" s="15" t="str">
        <f t="shared" si="8"/>
        <v/>
      </c>
      <c r="G1056" s="16">
        <f>IFERROR(__xludf.DUMMYFUNCTION("GOOGLEFINANCE(A1056,""CLOSEYEST"")"),128.63)</f>
        <v>128.63</v>
      </c>
      <c r="H1056" s="17" t="str">
        <f t="shared" si="14"/>
        <v/>
      </c>
      <c r="I1056" s="18">
        <f t="shared" si="9"/>
        <v>128.5766667</v>
      </c>
      <c r="J1056" s="19">
        <f t="shared" si="10"/>
        <v>130.3533333</v>
      </c>
      <c r="K1056" s="19"/>
      <c r="L1056" s="19">
        <f t="shared" si="11"/>
        <v>126.8533333</v>
      </c>
      <c r="M1056" s="19">
        <f t="shared" si="12"/>
        <v>132.0766667</v>
      </c>
      <c r="N1056" s="19">
        <f t="shared" si="13"/>
        <v>125.0766667</v>
      </c>
    </row>
    <row r="1057" ht="24.75" customHeight="1">
      <c r="A1057" s="21" t="s">
        <v>1020</v>
      </c>
      <c r="B1057" s="13">
        <f>IFERROR(__xludf.DUMMYFUNCTION("GOOGLEFINANCE(A1057,""PRICE"")"),62.28)</f>
        <v>62.28</v>
      </c>
      <c r="C1057" s="14">
        <f>IFERROR(__xludf.DUMMYFUNCTION("GOOGLEFINANCE(A1057,""PRICEOPEN"")"),62.35)</f>
        <v>62.35</v>
      </c>
      <c r="D1057" s="14">
        <f>IFERROR(__xludf.DUMMYFUNCTION("GOOGLEFINANCE(A1057,""HIGH"")"),64.69)</f>
        <v>64.69</v>
      </c>
      <c r="E1057" s="14">
        <f>IFERROR(__xludf.DUMMYFUNCTION("GOOGLEFINANCE(A1057,""LOW"")"),61.35)</f>
        <v>61.35</v>
      </c>
      <c r="F1057" s="15" t="str">
        <f t="shared" si="8"/>
        <v/>
      </c>
      <c r="G1057" s="16">
        <f>IFERROR(__xludf.DUMMYFUNCTION("GOOGLEFINANCE(A1057,""CLOSEYEST"")"),61.75)</f>
        <v>61.75</v>
      </c>
      <c r="H1057" s="17" t="str">
        <f t="shared" si="14"/>
        <v/>
      </c>
      <c r="I1057" s="18">
        <f t="shared" si="9"/>
        <v>62.59666667</v>
      </c>
      <c r="J1057" s="19">
        <f t="shared" si="10"/>
        <v>63.84333333</v>
      </c>
      <c r="K1057" s="19"/>
      <c r="L1057" s="19">
        <f t="shared" si="11"/>
        <v>60.50333333</v>
      </c>
      <c r="M1057" s="19">
        <f t="shared" si="12"/>
        <v>65.93666667</v>
      </c>
      <c r="N1057" s="19">
        <f t="shared" si="13"/>
        <v>59.25666667</v>
      </c>
    </row>
    <row r="1058" ht="24.75" customHeight="1">
      <c r="A1058" s="21" t="s">
        <v>1021</v>
      </c>
      <c r="B1058" s="13">
        <f>IFERROR(__xludf.DUMMYFUNCTION("GOOGLEFINANCE(A1058,""PRICE"")"),466.0)</f>
        <v>466</v>
      </c>
      <c r="C1058" s="14">
        <f>IFERROR(__xludf.DUMMYFUNCTION("GOOGLEFINANCE(A1058,""PRICEOPEN"")"),464.4)</f>
        <v>464.4</v>
      </c>
      <c r="D1058" s="14">
        <f>IFERROR(__xludf.DUMMYFUNCTION("GOOGLEFINANCE(A1058,""HIGH"")"),472.85)</f>
        <v>472.85</v>
      </c>
      <c r="E1058" s="14">
        <f>IFERROR(__xludf.DUMMYFUNCTION("GOOGLEFINANCE(A1058,""LOW"")"),464.4)</f>
        <v>464.4</v>
      </c>
      <c r="F1058" s="15" t="str">
        <f t="shared" si="8"/>
        <v>BUY</v>
      </c>
      <c r="G1058" s="16">
        <f>IFERROR(__xludf.DUMMYFUNCTION("GOOGLEFINANCE(A1058,""CLOSEYEST"")"),464.4)</f>
        <v>464.4</v>
      </c>
      <c r="H1058" s="17" t="str">
        <f t="shared" si="14"/>
        <v/>
      </c>
      <c r="I1058" s="18">
        <f t="shared" si="9"/>
        <v>467.2166667</v>
      </c>
      <c r="J1058" s="19">
        <f t="shared" si="10"/>
        <v>470.0333333</v>
      </c>
      <c r="K1058" s="19"/>
      <c r="L1058" s="19">
        <f t="shared" si="11"/>
        <v>461.5833333</v>
      </c>
      <c r="M1058" s="19">
        <f t="shared" si="12"/>
        <v>475.6666667</v>
      </c>
      <c r="N1058" s="19">
        <f t="shared" si="13"/>
        <v>458.7666667</v>
      </c>
    </row>
    <row r="1059" ht="24.75" customHeight="1">
      <c r="A1059" s="21" t="s">
        <v>1022</v>
      </c>
      <c r="B1059" s="13">
        <f>IFERROR(__xludf.DUMMYFUNCTION("GOOGLEFINANCE(A1059,""PRICE"")"),523.0)</f>
        <v>523</v>
      </c>
      <c r="C1059" s="14">
        <f>IFERROR(__xludf.DUMMYFUNCTION("GOOGLEFINANCE(A1059,""PRICEOPEN"")"),523.9)</f>
        <v>523.9</v>
      </c>
      <c r="D1059" s="14">
        <f>IFERROR(__xludf.DUMMYFUNCTION("GOOGLEFINANCE(A1059,""HIGH"")"),529.0)</f>
        <v>529</v>
      </c>
      <c r="E1059" s="14">
        <f>IFERROR(__xludf.DUMMYFUNCTION("GOOGLEFINANCE(A1059,""LOW"")"),520.3)</f>
        <v>520.3</v>
      </c>
      <c r="F1059" s="15" t="str">
        <f t="shared" si="8"/>
        <v/>
      </c>
      <c r="G1059" s="16">
        <f>IFERROR(__xludf.DUMMYFUNCTION("GOOGLEFINANCE(A1059,""CLOSEYEST"")"),526.45)</f>
        <v>526.45</v>
      </c>
      <c r="H1059" s="17" t="str">
        <f t="shared" si="14"/>
        <v/>
      </c>
      <c r="I1059" s="18">
        <f t="shared" si="9"/>
        <v>525.25</v>
      </c>
      <c r="J1059" s="19">
        <f t="shared" si="10"/>
        <v>530.2</v>
      </c>
      <c r="K1059" s="19"/>
      <c r="L1059" s="19">
        <f t="shared" si="11"/>
        <v>521.5</v>
      </c>
      <c r="M1059" s="19">
        <f t="shared" si="12"/>
        <v>533.95</v>
      </c>
      <c r="N1059" s="19">
        <f t="shared" si="13"/>
        <v>516.55</v>
      </c>
    </row>
    <row r="1060" ht="24.75" customHeight="1">
      <c r="A1060" s="21" t="s">
        <v>1023</v>
      </c>
      <c r="B1060" s="13">
        <f>IFERROR(__xludf.DUMMYFUNCTION("GOOGLEFINANCE(A1060,""PRICE"")"),110.5)</f>
        <v>110.5</v>
      </c>
      <c r="C1060" s="14">
        <f>IFERROR(__xludf.DUMMYFUNCTION("GOOGLEFINANCE(A1060,""PRICEOPEN"")"),109.0)</f>
        <v>109</v>
      </c>
      <c r="D1060" s="14">
        <f>IFERROR(__xludf.DUMMYFUNCTION("GOOGLEFINANCE(A1060,""HIGH"")"),113.0)</f>
        <v>113</v>
      </c>
      <c r="E1060" s="14">
        <f>IFERROR(__xludf.DUMMYFUNCTION("GOOGLEFINANCE(A1060,""LOW"")"),109.0)</f>
        <v>109</v>
      </c>
      <c r="F1060" s="15" t="str">
        <f t="shared" si="8"/>
        <v>BUY</v>
      </c>
      <c r="G1060" s="16">
        <f>IFERROR(__xludf.DUMMYFUNCTION("GOOGLEFINANCE(A1060,""CLOSEYEST"")"),109.51)</f>
        <v>109.51</v>
      </c>
      <c r="H1060" s="17" t="str">
        <f t="shared" si="14"/>
        <v/>
      </c>
      <c r="I1060" s="18">
        <f t="shared" si="9"/>
        <v>110.5033333</v>
      </c>
      <c r="J1060" s="19">
        <f t="shared" si="10"/>
        <v>112.0066667</v>
      </c>
      <c r="K1060" s="19"/>
      <c r="L1060" s="19">
        <f t="shared" si="11"/>
        <v>108.0066667</v>
      </c>
      <c r="M1060" s="19">
        <f t="shared" si="12"/>
        <v>114.5033333</v>
      </c>
      <c r="N1060" s="19">
        <f t="shared" si="13"/>
        <v>106.5033333</v>
      </c>
    </row>
    <row r="1061" ht="24.75" customHeight="1">
      <c r="A1061" s="21" t="s">
        <v>1024</v>
      </c>
      <c r="B1061" s="13">
        <f>IFERROR(__xludf.DUMMYFUNCTION("GOOGLEFINANCE(A1061,""PRICE"")"),299.0)</f>
        <v>299</v>
      </c>
      <c r="C1061" s="14">
        <f>IFERROR(__xludf.DUMMYFUNCTION("GOOGLEFINANCE(A1061,""PRICEOPEN"")"),293.95)</f>
        <v>293.95</v>
      </c>
      <c r="D1061" s="14">
        <f>IFERROR(__xludf.DUMMYFUNCTION("GOOGLEFINANCE(A1061,""HIGH"")"),299.8)</f>
        <v>299.8</v>
      </c>
      <c r="E1061" s="14">
        <f>IFERROR(__xludf.DUMMYFUNCTION("GOOGLEFINANCE(A1061,""LOW"")"),285.0)</f>
        <v>285</v>
      </c>
      <c r="F1061" s="15" t="str">
        <f t="shared" si="8"/>
        <v/>
      </c>
      <c r="G1061" s="16">
        <f>IFERROR(__xludf.DUMMYFUNCTION("GOOGLEFINANCE(A1061,""CLOSEYEST"")"),293.95)</f>
        <v>293.95</v>
      </c>
      <c r="H1061" s="17" t="str">
        <f t="shared" si="14"/>
        <v/>
      </c>
      <c r="I1061" s="18">
        <f t="shared" si="9"/>
        <v>292.9166667</v>
      </c>
      <c r="J1061" s="19">
        <f t="shared" si="10"/>
        <v>300.8333333</v>
      </c>
      <c r="K1061" s="19"/>
      <c r="L1061" s="19">
        <f t="shared" si="11"/>
        <v>286.0333333</v>
      </c>
      <c r="M1061" s="19">
        <f t="shared" si="12"/>
        <v>307.7166667</v>
      </c>
      <c r="N1061" s="19">
        <f t="shared" si="13"/>
        <v>278.1166667</v>
      </c>
    </row>
    <row r="1062" ht="24.75" customHeight="1">
      <c r="A1062" s="21" t="s">
        <v>1025</v>
      </c>
      <c r="B1062" s="13">
        <f>IFERROR(__xludf.DUMMYFUNCTION("GOOGLEFINANCE(A1062,""PRICE"")"),2488.9)</f>
        <v>2488.9</v>
      </c>
      <c r="C1062" s="14">
        <f>IFERROR(__xludf.DUMMYFUNCTION("GOOGLEFINANCE(A1062,""PRICEOPEN"")"),2694.9)</f>
        <v>2694.9</v>
      </c>
      <c r="D1062" s="14">
        <f>IFERROR(__xludf.DUMMYFUNCTION("GOOGLEFINANCE(A1062,""HIGH"")"),2729.0)</f>
        <v>2729</v>
      </c>
      <c r="E1062" s="14">
        <f>IFERROR(__xludf.DUMMYFUNCTION("GOOGLEFINANCE(A1062,""LOW"")"),2424.4)</f>
        <v>2424.4</v>
      </c>
      <c r="F1062" s="15" t="str">
        <f t="shared" si="8"/>
        <v/>
      </c>
      <c r="G1062" s="16">
        <f>IFERROR(__xludf.DUMMYFUNCTION("GOOGLEFINANCE(A1062,""CLOSEYEST"")"),2693.7)</f>
        <v>2693.7</v>
      </c>
      <c r="H1062" s="17" t="str">
        <f t="shared" si="14"/>
        <v/>
      </c>
      <c r="I1062" s="18">
        <f t="shared" si="9"/>
        <v>2615.7</v>
      </c>
      <c r="J1062" s="19">
        <f t="shared" si="10"/>
        <v>2807</v>
      </c>
      <c r="K1062" s="19"/>
      <c r="L1062" s="19">
        <f t="shared" si="11"/>
        <v>2502.4</v>
      </c>
      <c r="M1062" s="19">
        <f t="shared" si="12"/>
        <v>2920.3</v>
      </c>
      <c r="N1062" s="19">
        <f t="shared" si="13"/>
        <v>2311.1</v>
      </c>
    </row>
    <row r="1063" ht="24.75" customHeight="1">
      <c r="A1063" s="21" t="s">
        <v>1026</v>
      </c>
      <c r="B1063" s="13">
        <f>IFERROR(__xludf.DUMMYFUNCTION("GOOGLEFINANCE(A1063,""PRICE"")"),115.6)</f>
        <v>115.6</v>
      </c>
      <c r="C1063" s="14">
        <f>IFERROR(__xludf.DUMMYFUNCTION("GOOGLEFINANCE(A1063,""PRICEOPEN"")"),115.26)</f>
        <v>115.26</v>
      </c>
      <c r="D1063" s="14">
        <f>IFERROR(__xludf.DUMMYFUNCTION("GOOGLEFINANCE(A1063,""HIGH"")"),117.68)</f>
        <v>117.68</v>
      </c>
      <c r="E1063" s="14">
        <f>IFERROR(__xludf.DUMMYFUNCTION("GOOGLEFINANCE(A1063,""LOW"")"),114.5)</f>
        <v>114.5</v>
      </c>
      <c r="F1063" s="15" t="str">
        <f t="shared" si="8"/>
        <v/>
      </c>
      <c r="G1063" s="16">
        <f>IFERROR(__xludf.DUMMYFUNCTION("GOOGLEFINANCE(A1063,""CLOSEYEST"")"),116.81)</f>
        <v>116.81</v>
      </c>
      <c r="H1063" s="17" t="str">
        <f t="shared" si="14"/>
        <v>GAP DOWN</v>
      </c>
      <c r="I1063" s="18">
        <f t="shared" si="9"/>
        <v>116.33</v>
      </c>
      <c r="J1063" s="19">
        <f t="shared" si="10"/>
        <v>118.16</v>
      </c>
      <c r="K1063" s="19"/>
      <c r="L1063" s="19">
        <f t="shared" si="11"/>
        <v>114.98</v>
      </c>
      <c r="M1063" s="19">
        <f t="shared" si="12"/>
        <v>119.51</v>
      </c>
      <c r="N1063" s="19">
        <f t="shared" si="13"/>
        <v>113.15</v>
      </c>
    </row>
    <row r="1064" ht="24.75" customHeight="1">
      <c r="A1064" s="21" t="s">
        <v>1027</v>
      </c>
      <c r="B1064" s="13">
        <f>IFERROR(__xludf.DUMMYFUNCTION("GOOGLEFINANCE(A1064,""PRICE"")"),220.01)</f>
        <v>220.01</v>
      </c>
      <c r="C1064" s="14">
        <f>IFERROR(__xludf.DUMMYFUNCTION("GOOGLEFINANCE(A1064,""PRICEOPEN"")"),218.0)</f>
        <v>218</v>
      </c>
      <c r="D1064" s="14">
        <f>IFERROR(__xludf.DUMMYFUNCTION("GOOGLEFINANCE(A1064,""HIGH"")"),223.68)</f>
        <v>223.68</v>
      </c>
      <c r="E1064" s="14">
        <f>IFERROR(__xludf.DUMMYFUNCTION("GOOGLEFINANCE(A1064,""LOW"")"),218.0)</f>
        <v>218</v>
      </c>
      <c r="F1064" s="15" t="str">
        <f t="shared" si="8"/>
        <v>BUY</v>
      </c>
      <c r="G1064" s="16">
        <f>IFERROR(__xludf.DUMMYFUNCTION("GOOGLEFINANCE(A1064,""CLOSEYEST"")"),219.15)</f>
        <v>219.15</v>
      </c>
      <c r="H1064" s="17" t="str">
        <f t="shared" si="14"/>
        <v/>
      </c>
      <c r="I1064" s="18">
        <f t="shared" si="9"/>
        <v>220.2766667</v>
      </c>
      <c r="J1064" s="19">
        <f t="shared" si="10"/>
        <v>222.5533333</v>
      </c>
      <c r="K1064" s="19"/>
      <c r="L1064" s="19">
        <f t="shared" si="11"/>
        <v>216.8733333</v>
      </c>
      <c r="M1064" s="19">
        <f t="shared" si="12"/>
        <v>225.9566667</v>
      </c>
      <c r="N1064" s="19">
        <f t="shared" si="13"/>
        <v>214.5966667</v>
      </c>
    </row>
    <row r="1065" ht="24.75" customHeight="1">
      <c r="A1065" s="21" t="s">
        <v>1028</v>
      </c>
      <c r="B1065" s="13">
        <f>IFERROR(__xludf.DUMMYFUNCTION("GOOGLEFINANCE(A1065,""PRICE"")"),395.15)</f>
        <v>395.15</v>
      </c>
      <c r="C1065" s="14">
        <f>IFERROR(__xludf.DUMMYFUNCTION("GOOGLEFINANCE(A1065,""PRICEOPEN"")"),401.0)</f>
        <v>401</v>
      </c>
      <c r="D1065" s="14">
        <f>IFERROR(__xludf.DUMMYFUNCTION("GOOGLEFINANCE(A1065,""HIGH"")"),403.9)</f>
        <v>403.9</v>
      </c>
      <c r="E1065" s="14">
        <f>IFERROR(__xludf.DUMMYFUNCTION("GOOGLEFINANCE(A1065,""LOW"")"),394.0)</f>
        <v>394</v>
      </c>
      <c r="F1065" s="15" t="str">
        <f t="shared" si="8"/>
        <v/>
      </c>
      <c r="G1065" s="16">
        <f>IFERROR(__xludf.DUMMYFUNCTION("GOOGLEFINANCE(A1065,""CLOSEYEST"")"),395.95)</f>
        <v>395.95</v>
      </c>
      <c r="H1065" s="17" t="str">
        <f t="shared" si="14"/>
        <v>GAP UP</v>
      </c>
      <c r="I1065" s="18">
        <f t="shared" si="9"/>
        <v>397.95</v>
      </c>
      <c r="J1065" s="19">
        <f t="shared" si="10"/>
        <v>401.9</v>
      </c>
      <c r="K1065" s="19"/>
      <c r="L1065" s="19">
        <f t="shared" si="11"/>
        <v>392</v>
      </c>
      <c r="M1065" s="19">
        <f t="shared" si="12"/>
        <v>407.85</v>
      </c>
      <c r="N1065" s="19">
        <f t="shared" si="13"/>
        <v>388.05</v>
      </c>
    </row>
    <row r="1066" ht="24.75" customHeight="1">
      <c r="A1066" s="21" t="s">
        <v>1029</v>
      </c>
      <c r="B1066" s="13">
        <f>IFERROR(__xludf.DUMMYFUNCTION("GOOGLEFINANCE(A1066,""PRICE"")"),1138.0)</f>
        <v>1138</v>
      </c>
      <c r="C1066" s="14">
        <f>IFERROR(__xludf.DUMMYFUNCTION("GOOGLEFINANCE(A1066,""PRICEOPEN"")"),1155.0)</f>
        <v>1155</v>
      </c>
      <c r="D1066" s="14">
        <f>IFERROR(__xludf.DUMMYFUNCTION("GOOGLEFINANCE(A1066,""HIGH"")"),1162.3)</f>
        <v>1162.3</v>
      </c>
      <c r="E1066" s="14">
        <f>IFERROR(__xludf.DUMMYFUNCTION("GOOGLEFINANCE(A1066,""LOW"")"),1131.1)</f>
        <v>1131.1</v>
      </c>
      <c r="F1066" s="15" t="str">
        <f t="shared" si="8"/>
        <v/>
      </c>
      <c r="G1066" s="16">
        <f>IFERROR(__xludf.DUMMYFUNCTION("GOOGLEFINANCE(A1066,""CLOSEYEST"")"),1150.2)</f>
        <v>1150.2</v>
      </c>
      <c r="H1066" s="17" t="str">
        <f t="shared" si="14"/>
        <v/>
      </c>
      <c r="I1066" s="18">
        <f t="shared" si="9"/>
        <v>1147.866667</v>
      </c>
      <c r="J1066" s="19">
        <f t="shared" si="10"/>
        <v>1164.633333</v>
      </c>
      <c r="K1066" s="19"/>
      <c r="L1066" s="19">
        <f t="shared" si="11"/>
        <v>1133.433333</v>
      </c>
      <c r="M1066" s="19">
        <f t="shared" si="12"/>
        <v>1179.066667</v>
      </c>
      <c r="N1066" s="19">
        <f t="shared" si="13"/>
        <v>1116.666667</v>
      </c>
    </row>
    <row r="1067" ht="24.75" customHeight="1">
      <c r="A1067" s="21" t="s">
        <v>1030</v>
      </c>
      <c r="B1067" s="13" t="str">
        <f>IFERROR(__xludf.DUMMYFUNCTION("GOOGLEFINANCE(A1067,""PRICE"")"),"#N/A")</f>
        <v>#N/A</v>
      </c>
      <c r="C1067" s="14" t="str">
        <f>IFERROR(__xludf.DUMMYFUNCTION("GOOGLEFINANCE(A1067,""PRICEOPEN"")"),"#N/A")</f>
        <v>#N/A</v>
      </c>
      <c r="D1067" s="14" t="str">
        <f>IFERROR(__xludf.DUMMYFUNCTION("GOOGLEFINANCE(A1067,""HIGH"")"),"#N/A")</f>
        <v>#N/A</v>
      </c>
      <c r="E1067" s="14" t="str">
        <f>IFERROR(__xludf.DUMMYFUNCTION("GOOGLEFINANCE(A1067,""LOW"")"),"#N/A")</f>
        <v>#N/A</v>
      </c>
      <c r="F1067" s="15" t="str">
        <f t="shared" si="8"/>
        <v>#N/A</v>
      </c>
      <c r="G1067" s="16" t="str">
        <f>IFERROR(__xludf.DUMMYFUNCTION("GOOGLEFINANCE(A1067,""CLOSEYEST"")"),"#N/A")</f>
        <v>#N/A</v>
      </c>
      <c r="H1067" s="17" t="str">
        <f t="shared" si="14"/>
        <v>#N/A</v>
      </c>
      <c r="I1067" s="18" t="str">
        <f t="shared" si="9"/>
        <v>#N/A</v>
      </c>
      <c r="J1067" s="19" t="str">
        <f t="shared" si="10"/>
        <v>#N/A</v>
      </c>
      <c r="K1067" s="19"/>
      <c r="L1067" s="19" t="str">
        <f t="shared" si="11"/>
        <v>#N/A</v>
      </c>
      <c r="M1067" s="19" t="str">
        <f t="shared" si="12"/>
        <v>#N/A</v>
      </c>
      <c r="N1067" s="19" t="str">
        <f t="shared" si="13"/>
        <v>#N/A</v>
      </c>
    </row>
    <row r="1068" ht="24.75" customHeight="1">
      <c r="A1068" s="21" t="s">
        <v>1031</v>
      </c>
      <c r="B1068" s="13">
        <f>IFERROR(__xludf.DUMMYFUNCTION("GOOGLEFINANCE(A1068,""PRICE"")"),652.0)</f>
        <v>652</v>
      </c>
      <c r="C1068" s="14">
        <f>IFERROR(__xludf.DUMMYFUNCTION("GOOGLEFINANCE(A1068,""PRICEOPEN"")"),664.5)</f>
        <v>664.5</v>
      </c>
      <c r="D1068" s="14">
        <f>IFERROR(__xludf.DUMMYFUNCTION("GOOGLEFINANCE(A1068,""HIGH"")"),665.15)</f>
        <v>665.15</v>
      </c>
      <c r="E1068" s="14">
        <f>IFERROR(__xludf.DUMMYFUNCTION("GOOGLEFINANCE(A1068,""LOW"")"),648.2)</f>
        <v>648.2</v>
      </c>
      <c r="F1068" s="15" t="str">
        <f t="shared" si="8"/>
        <v/>
      </c>
      <c r="G1068" s="16">
        <f>IFERROR(__xludf.DUMMYFUNCTION("GOOGLEFINANCE(A1068,""CLOSEYEST"")"),656.1)</f>
        <v>656.1</v>
      </c>
      <c r="H1068" s="17" t="str">
        <f t="shared" si="14"/>
        <v>GAP UP</v>
      </c>
      <c r="I1068" s="18">
        <f t="shared" si="9"/>
        <v>656.4833333</v>
      </c>
      <c r="J1068" s="19">
        <f t="shared" si="10"/>
        <v>664.7666667</v>
      </c>
      <c r="K1068" s="19"/>
      <c r="L1068" s="19">
        <f t="shared" si="11"/>
        <v>647.8166667</v>
      </c>
      <c r="M1068" s="19">
        <f t="shared" si="12"/>
        <v>673.4333333</v>
      </c>
      <c r="N1068" s="19">
        <f t="shared" si="13"/>
        <v>639.5333333</v>
      </c>
    </row>
    <row r="1069" ht="24.75" customHeight="1">
      <c r="A1069" s="21" t="s">
        <v>1032</v>
      </c>
      <c r="B1069" s="13">
        <f>IFERROR(__xludf.DUMMYFUNCTION("GOOGLEFINANCE(A1069,""PRICE"")"),79.56)</f>
        <v>79.56</v>
      </c>
      <c r="C1069" s="14">
        <f>IFERROR(__xludf.DUMMYFUNCTION("GOOGLEFINANCE(A1069,""PRICEOPEN"")"),79.61)</f>
        <v>79.61</v>
      </c>
      <c r="D1069" s="14">
        <f>IFERROR(__xludf.DUMMYFUNCTION("GOOGLEFINANCE(A1069,""HIGH"")"),81.39)</f>
        <v>81.39</v>
      </c>
      <c r="E1069" s="14">
        <f>IFERROR(__xludf.DUMMYFUNCTION("GOOGLEFINANCE(A1069,""LOW"")"),79.0)</f>
        <v>79</v>
      </c>
      <c r="F1069" s="15" t="str">
        <f t="shared" si="8"/>
        <v/>
      </c>
      <c r="G1069" s="16">
        <f>IFERROR(__xludf.DUMMYFUNCTION("GOOGLEFINANCE(A1069,""CLOSEYEST"")"),80.45)</f>
        <v>80.45</v>
      </c>
      <c r="H1069" s="17" t="str">
        <f t="shared" si="14"/>
        <v>GAP DOWN</v>
      </c>
      <c r="I1069" s="18">
        <f t="shared" si="9"/>
        <v>80.28</v>
      </c>
      <c r="J1069" s="19">
        <f t="shared" si="10"/>
        <v>81.56</v>
      </c>
      <c r="K1069" s="19"/>
      <c r="L1069" s="19">
        <f t="shared" si="11"/>
        <v>79.17</v>
      </c>
      <c r="M1069" s="19">
        <f t="shared" si="12"/>
        <v>82.67</v>
      </c>
      <c r="N1069" s="19">
        <f t="shared" si="13"/>
        <v>77.89</v>
      </c>
    </row>
    <row r="1070" ht="24.75" customHeight="1">
      <c r="A1070" s="21" t="s">
        <v>1033</v>
      </c>
      <c r="B1070" s="13">
        <f>IFERROR(__xludf.DUMMYFUNCTION("GOOGLEFINANCE(A1070,""PRICE"")"),14.39)</f>
        <v>14.39</v>
      </c>
      <c r="C1070" s="14">
        <f>IFERROR(__xludf.DUMMYFUNCTION("GOOGLEFINANCE(A1070,""PRICEOPEN"")"),14.11)</f>
        <v>14.11</v>
      </c>
      <c r="D1070" s="14">
        <f>IFERROR(__xludf.DUMMYFUNCTION("GOOGLEFINANCE(A1070,""HIGH"")"),14.39)</f>
        <v>14.39</v>
      </c>
      <c r="E1070" s="14">
        <f>IFERROR(__xludf.DUMMYFUNCTION("GOOGLEFINANCE(A1070,""LOW"")"),14.11)</f>
        <v>14.11</v>
      </c>
      <c r="F1070" s="15" t="str">
        <f t="shared" si="8"/>
        <v>BUY</v>
      </c>
      <c r="G1070" s="16">
        <f>IFERROR(__xludf.DUMMYFUNCTION("GOOGLEFINANCE(A1070,""CLOSEYEST"")"),14.11)</f>
        <v>14.11</v>
      </c>
      <c r="H1070" s="17" t="str">
        <f t="shared" si="14"/>
        <v/>
      </c>
      <c r="I1070" s="18">
        <f t="shared" si="9"/>
        <v>14.20333333</v>
      </c>
      <c r="J1070" s="19">
        <f t="shared" si="10"/>
        <v>14.29666667</v>
      </c>
      <c r="K1070" s="19"/>
      <c r="L1070" s="19">
        <f t="shared" si="11"/>
        <v>14.01666667</v>
      </c>
      <c r="M1070" s="19">
        <f t="shared" si="12"/>
        <v>14.48333333</v>
      </c>
      <c r="N1070" s="19">
        <f t="shared" si="13"/>
        <v>13.92333333</v>
      </c>
    </row>
    <row r="1071" ht="24.75" customHeight="1">
      <c r="A1071" s="21" t="s">
        <v>1034</v>
      </c>
      <c r="B1071" s="13">
        <f>IFERROR(__xludf.DUMMYFUNCTION("GOOGLEFINANCE(A1071,""PRICE"")"),70.91)</f>
        <v>70.91</v>
      </c>
      <c r="C1071" s="14">
        <f>IFERROR(__xludf.DUMMYFUNCTION("GOOGLEFINANCE(A1071,""PRICEOPEN"")"),67.39)</f>
        <v>67.39</v>
      </c>
      <c r="D1071" s="14">
        <f>IFERROR(__xludf.DUMMYFUNCTION("GOOGLEFINANCE(A1071,""HIGH"")"),72.17)</f>
        <v>72.17</v>
      </c>
      <c r="E1071" s="14">
        <f>IFERROR(__xludf.DUMMYFUNCTION("GOOGLEFINANCE(A1071,""LOW"")"),66.0)</f>
        <v>66</v>
      </c>
      <c r="F1071" s="15" t="str">
        <f t="shared" si="8"/>
        <v/>
      </c>
      <c r="G1071" s="16">
        <f>IFERROR(__xludf.DUMMYFUNCTION("GOOGLEFINANCE(A1071,""CLOSEYEST"")"),67.48)</f>
        <v>67.48</v>
      </c>
      <c r="H1071" s="17" t="str">
        <f t="shared" si="14"/>
        <v/>
      </c>
      <c r="I1071" s="18">
        <f t="shared" si="9"/>
        <v>68.55</v>
      </c>
      <c r="J1071" s="19">
        <f t="shared" si="10"/>
        <v>71.1</v>
      </c>
      <c r="K1071" s="19"/>
      <c r="L1071" s="19">
        <f t="shared" si="11"/>
        <v>64.93</v>
      </c>
      <c r="M1071" s="19">
        <f t="shared" si="12"/>
        <v>74.72</v>
      </c>
      <c r="N1071" s="19">
        <f t="shared" si="13"/>
        <v>62.38</v>
      </c>
    </row>
    <row r="1072" ht="24.75" customHeight="1">
      <c r="A1072" s="21" t="s">
        <v>1035</v>
      </c>
      <c r="B1072" s="13">
        <f>IFERROR(__xludf.DUMMYFUNCTION("GOOGLEFINANCE(A1072,""PRICE"")"),8.94)</f>
        <v>8.94</v>
      </c>
      <c r="C1072" s="14">
        <f>IFERROR(__xludf.DUMMYFUNCTION("GOOGLEFINANCE(A1072,""PRICEOPEN"")"),9.01)</f>
        <v>9.01</v>
      </c>
      <c r="D1072" s="14">
        <f>IFERROR(__xludf.DUMMYFUNCTION("GOOGLEFINANCE(A1072,""HIGH"")"),9.03)</f>
        <v>9.03</v>
      </c>
      <c r="E1072" s="14">
        <f>IFERROR(__xludf.DUMMYFUNCTION("GOOGLEFINANCE(A1072,""LOW"")"),8.81)</f>
        <v>8.81</v>
      </c>
      <c r="F1072" s="15" t="str">
        <f t="shared" si="8"/>
        <v/>
      </c>
      <c r="G1072" s="16">
        <f>IFERROR(__xludf.DUMMYFUNCTION("GOOGLEFINANCE(A1072,""CLOSEYEST"")"),8.98)</f>
        <v>8.98</v>
      </c>
      <c r="H1072" s="17" t="str">
        <f t="shared" si="14"/>
        <v/>
      </c>
      <c r="I1072" s="18">
        <f t="shared" si="9"/>
        <v>8.94</v>
      </c>
      <c r="J1072" s="19">
        <f t="shared" si="10"/>
        <v>9.07</v>
      </c>
      <c r="K1072" s="19"/>
      <c r="L1072" s="19">
        <f t="shared" si="11"/>
        <v>8.85</v>
      </c>
      <c r="M1072" s="19">
        <f t="shared" si="12"/>
        <v>9.16</v>
      </c>
      <c r="N1072" s="19">
        <f t="shared" si="13"/>
        <v>8.72</v>
      </c>
    </row>
    <row r="1073" ht="24.75" customHeight="1">
      <c r="A1073" s="21" t="s">
        <v>1036</v>
      </c>
      <c r="B1073" s="13">
        <f>IFERROR(__xludf.DUMMYFUNCTION("GOOGLEFINANCE(A1073,""PRICE"")"),58.31)</f>
        <v>58.31</v>
      </c>
      <c r="C1073" s="14">
        <f>IFERROR(__xludf.DUMMYFUNCTION("GOOGLEFINANCE(A1073,""PRICEOPEN"")"),57.86)</f>
        <v>57.86</v>
      </c>
      <c r="D1073" s="14">
        <f>IFERROR(__xludf.DUMMYFUNCTION("GOOGLEFINANCE(A1073,""HIGH"")"),59.2)</f>
        <v>59.2</v>
      </c>
      <c r="E1073" s="14">
        <f>IFERROR(__xludf.DUMMYFUNCTION("GOOGLEFINANCE(A1073,""LOW"")"),57.64)</f>
        <v>57.64</v>
      </c>
      <c r="F1073" s="15" t="str">
        <f t="shared" si="8"/>
        <v/>
      </c>
      <c r="G1073" s="16">
        <f>IFERROR(__xludf.DUMMYFUNCTION("GOOGLEFINANCE(A1073,""CLOSEYEST"")"),57.86)</f>
        <v>57.86</v>
      </c>
      <c r="H1073" s="17" t="str">
        <f t="shared" si="14"/>
        <v/>
      </c>
      <c r="I1073" s="18">
        <f t="shared" si="9"/>
        <v>58.23333333</v>
      </c>
      <c r="J1073" s="19">
        <f t="shared" si="10"/>
        <v>58.82666667</v>
      </c>
      <c r="K1073" s="19"/>
      <c r="L1073" s="19">
        <f t="shared" si="11"/>
        <v>57.26666667</v>
      </c>
      <c r="M1073" s="19">
        <f t="shared" si="12"/>
        <v>59.79333333</v>
      </c>
      <c r="N1073" s="19">
        <f t="shared" si="13"/>
        <v>56.67333333</v>
      </c>
    </row>
    <row r="1074" ht="24.75" customHeight="1">
      <c r="A1074" s="21" t="s">
        <v>1037</v>
      </c>
      <c r="B1074" s="13">
        <f>IFERROR(__xludf.DUMMYFUNCTION("GOOGLEFINANCE(A1074,""PRICE"")"),29.62)</f>
        <v>29.62</v>
      </c>
      <c r="C1074" s="14">
        <f>IFERROR(__xludf.DUMMYFUNCTION("GOOGLEFINANCE(A1074,""PRICEOPEN"")"),28.84)</f>
        <v>28.84</v>
      </c>
      <c r="D1074" s="14">
        <f>IFERROR(__xludf.DUMMYFUNCTION("GOOGLEFINANCE(A1074,""HIGH"")"),30.0)</f>
        <v>30</v>
      </c>
      <c r="E1074" s="14">
        <f>IFERROR(__xludf.DUMMYFUNCTION("GOOGLEFINANCE(A1074,""LOW"")"),28.65)</f>
        <v>28.65</v>
      </c>
      <c r="F1074" s="15" t="str">
        <f t="shared" si="8"/>
        <v/>
      </c>
      <c r="G1074" s="16">
        <f>IFERROR(__xludf.DUMMYFUNCTION("GOOGLEFINANCE(A1074,""CLOSEYEST"")"),28.8)</f>
        <v>28.8</v>
      </c>
      <c r="H1074" s="17" t="str">
        <f t="shared" si="14"/>
        <v/>
      </c>
      <c r="I1074" s="18">
        <f t="shared" si="9"/>
        <v>29.15</v>
      </c>
      <c r="J1074" s="19">
        <f t="shared" si="10"/>
        <v>29.65</v>
      </c>
      <c r="K1074" s="19"/>
      <c r="L1074" s="19">
        <f t="shared" si="11"/>
        <v>28.3</v>
      </c>
      <c r="M1074" s="19">
        <f t="shared" si="12"/>
        <v>30.5</v>
      </c>
      <c r="N1074" s="19">
        <f t="shared" si="13"/>
        <v>27.8</v>
      </c>
    </row>
    <row r="1075" ht="24.75" customHeight="1">
      <c r="A1075" s="21" t="s">
        <v>1038</v>
      </c>
      <c r="B1075" s="13">
        <f>IFERROR(__xludf.DUMMYFUNCTION("GOOGLEFINANCE(A1075,""PRICE"")"),2267.0)</f>
        <v>2267</v>
      </c>
      <c r="C1075" s="14">
        <f>IFERROR(__xludf.DUMMYFUNCTION("GOOGLEFINANCE(A1075,""PRICEOPEN"")"),2242.9)</f>
        <v>2242.9</v>
      </c>
      <c r="D1075" s="14">
        <f>IFERROR(__xludf.DUMMYFUNCTION("GOOGLEFINANCE(A1075,""HIGH"")"),2355.3)</f>
        <v>2355.3</v>
      </c>
      <c r="E1075" s="14">
        <f>IFERROR(__xludf.DUMMYFUNCTION("GOOGLEFINANCE(A1075,""LOW"")"),2220.5)</f>
        <v>2220.5</v>
      </c>
      <c r="F1075" s="15" t="str">
        <f t="shared" si="8"/>
        <v/>
      </c>
      <c r="G1075" s="16">
        <f>IFERROR(__xludf.DUMMYFUNCTION("GOOGLEFINANCE(A1075,""CLOSEYEST"")"),2225.1)</f>
        <v>2225.1</v>
      </c>
      <c r="H1075" s="17" t="str">
        <f t="shared" si="14"/>
        <v/>
      </c>
      <c r="I1075" s="18">
        <f t="shared" si="9"/>
        <v>2266.966667</v>
      </c>
      <c r="J1075" s="19">
        <f t="shared" si="10"/>
        <v>2313.433333</v>
      </c>
      <c r="K1075" s="19"/>
      <c r="L1075" s="19">
        <f t="shared" si="11"/>
        <v>2178.633333</v>
      </c>
      <c r="M1075" s="19">
        <f t="shared" si="12"/>
        <v>2401.766667</v>
      </c>
      <c r="N1075" s="19">
        <f t="shared" si="13"/>
        <v>2132.166667</v>
      </c>
    </row>
    <row r="1076" ht="24.75" customHeight="1">
      <c r="A1076" s="21" t="s">
        <v>1039</v>
      </c>
      <c r="B1076" s="13">
        <f>IFERROR(__xludf.DUMMYFUNCTION("GOOGLEFINANCE(A1076,""PRICE"")"),262.96)</f>
        <v>262.96</v>
      </c>
      <c r="C1076" s="14">
        <f>IFERROR(__xludf.DUMMYFUNCTION("GOOGLEFINANCE(A1076,""PRICEOPEN"")"),262.96)</f>
        <v>262.96</v>
      </c>
      <c r="D1076" s="14">
        <f>IFERROR(__xludf.DUMMYFUNCTION("GOOGLEFINANCE(A1076,""HIGH"")"),262.96)</f>
        <v>262.96</v>
      </c>
      <c r="E1076" s="14">
        <f>IFERROR(__xludf.DUMMYFUNCTION("GOOGLEFINANCE(A1076,""LOW"")"),262.96)</f>
        <v>262.96</v>
      </c>
      <c r="F1076" s="15" t="str">
        <f t="shared" si="8"/>
        <v>SELL</v>
      </c>
      <c r="G1076" s="16">
        <f>IFERROR(__xludf.DUMMYFUNCTION("GOOGLEFINANCE(A1076,""CLOSEYEST"")"),250.44)</f>
        <v>250.44</v>
      </c>
      <c r="H1076" s="17" t="str">
        <f t="shared" si="14"/>
        <v>GAP UP</v>
      </c>
      <c r="I1076" s="18">
        <f t="shared" si="9"/>
        <v>258.7866667</v>
      </c>
      <c r="J1076" s="19">
        <f t="shared" si="10"/>
        <v>254.6133333</v>
      </c>
      <c r="K1076" s="19"/>
      <c r="L1076" s="19">
        <f t="shared" si="11"/>
        <v>254.6133333</v>
      </c>
      <c r="M1076" s="19">
        <f t="shared" si="12"/>
        <v>258.7866667</v>
      </c>
      <c r="N1076" s="19">
        <f t="shared" si="13"/>
        <v>258.7866667</v>
      </c>
    </row>
    <row r="1077" ht="24.75" customHeight="1">
      <c r="A1077" s="21" t="s">
        <v>1040</v>
      </c>
      <c r="B1077" s="13">
        <f>IFERROR(__xludf.DUMMYFUNCTION("GOOGLEFINANCE(A1077,""PRICE"")"),26.92)</f>
        <v>26.92</v>
      </c>
      <c r="C1077" s="14">
        <f>IFERROR(__xludf.DUMMYFUNCTION("GOOGLEFINANCE(A1077,""PRICEOPEN"")"),27.02)</f>
        <v>27.02</v>
      </c>
      <c r="D1077" s="14">
        <f>IFERROR(__xludf.DUMMYFUNCTION("GOOGLEFINANCE(A1077,""HIGH"")"),27.05)</f>
        <v>27.05</v>
      </c>
      <c r="E1077" s="14">
        <f>IFERROR(__xludf.DUMMYFUNCTION("GOOGLEFINANCE(A1077,""LOW"")"),26.92)</f>
        <v>26.92</v>
      </c>
      <c r="F1077" s="15" t="str">
        <f t="shared" si="8"/>
        <v/>
      </c>
      <c r="G1077" s="16">
        <f>IFERROR(__xludf.DUMMYFUNCTION("GOOGLEFINANCE(A1077,""CLOSEYEST"")"),27.0)</f>
        <v>27</v>
      </c>
      <c r="H1077" s="17" t="str">
        <f t="shared" si="14"/>
        <v/>
      </c>
      <c r="I1077" s="18">
        <f t="shared" si="9"/>
        <v>26.99</v>
      </c>
      <c r="J1077" s="19">
        <f t="shared" si="10"/>
        <v>27.06</v>
      </c>
      <c r="K1077" s="19"/>
      <c r="L1077" s="19">
        <f t="shared" si="11"/>
        <v>26.93</v>
      </c>
      <c r="M1077" s="19">
        <f t="shared" si="12"/>
        <v>27.12</v>
      </c>
      <c r="N1077" s="19">
        <f t="shared" si="13"/>
        <v>26.86</v>
      </c>
    </row>
    <row r="1078" ht="24.75" customHeight="1">
      <c r="A1078" s="21" t="s">
        <v>1041</v>
      </c>
      <c r="B1078" s="13">
        <f>IFERROR(__xludf.DUMMYFUNCTION("GOOGLEFINANCE(A1078,""PRICE"")"),11.71)</f>
        <v>11.71</v>
      </c>
      <c r="C1078" s="14">
        <f>IFERROR(__xludf.DUMMYFUNCTION("GOOGLEFINANCE(A1078,""PRICEOPEN"")"),11.32)</f>
        <v>11.32</v>
      </c>
      <c r="D1078" s="14">
        <f>IFERROR(__xludf.DUMMYFUNCTION("GOOGLEFINANCE(A1078,""HIGH"")"),11.84)</f>
        <v>11.84</v>
      </c>
      <c r="E1078" s="14">
        <f>IFERROR(__xludf.DUMMYFUNCTION("GOOGLEFINANCE(A1078,""LOW"")"),11.32)</f>
        <v>11.32</v>
      </c>
      <c r="F1078" s="15" t="str">
        <f t="shared" si="8"/>
        <v>BUY</v>
      </c>
      <c r="G1078" s="16">
        <f>IFERROR(__xludf.DUMMYFUNCTION("GOOGLEFINANCE(A1078,""CLOSEYEST"")"),11.48)</f>
        <v>11.48</v>
      </c>
      <c r="H1078" s="17" t="str">
        <f t="shared" si="14"/>
        <v>GAP DOWN</v>
      </c>
      <c r="I1078" s="18">
        <f t="shared" si="9"/>
        <v>11.54666667</v>
      </c>
      <c r="J1078" s="19">
        <f t="shared" si="10"/>
        <v>11.77333333</v>
      </c>
      <c r="K1078" s="19"/>
      <c r="L1078" s="19">
        <f t="shared" si="11"/>
        <v>11.25333333</v>
      </c>
      <c r="M1078" s="19">
        <f t="shared" si="12"/>
        <v>12.06666667</v>
      </c>
      <c r="N1078" s="19">
        <f t="shared" si="13"/>
        <v>11.02666667</v>
      </c>
    </row>
    <row r="1079" ht="24.75" customHeight="1">
      <c r="A1079" s="21" t="s">
        <v>1042</v>
      </c>
      <c r="B1079" s="13" t="str">
        <f>IFERROR(__xludf.DUMMYFUNCTION("GOOGLEFINANCE(A1079,""PRICE"")"),"#N/A")</f>
        <v>#N/A</v>
      </c>
      <c r="C1079" s="14" t="str">
        <f>IFERROR(__xludf.DUMMYFUNCTION("GOOGLEFINANCE(A1079,""PRICEOPEN"")"),"#N/A")</f>
        <v>#N/A</v>
      </c>
      <c r="D1079" s="14" t="str">
        <f>IFERROR(__xludf.DUMMYFUNCTION("GOOGLEFINANCE(A1079,""HIGH"")"),"#N/A")</f>
        <v>#N/A</v>
      </c>
      <c r="E1079" s="14" t="str">
        <f>IFERROR(__xludf.DUMMYFUNCTION("GOOGLEFINANCE(A1079,""LOW"")"),"#N/A")</f>
        <v>#N/A</v>
      </c>
      <c r="F1079" s="15" t="str">
        <f t="shared" si="8"/>
        <v>#N/A</v>
      </c>
      <c r="G1079" s="16" t="str">
        <f>IFERROR(__xludf.DUMMYFUNCTION("GOOGLEFINANCE(A1079,""CLOSEYEST"")"),"#N/A")</f>
        <v>#N/A</v>
      </c>
      <c r="H1079" s="17" t="str">
        <f t="shared" si="14"/>
        <v>#N/A</v>
      </c>
      <c r="I1079" s="18" t="str">
        <f t="shared" si="9"/>
        <v>#N/A</v>
      </c>
      <c r="J1079" s="19" t="str">
        <f t="shared" si="10"/>
        <v>#N/A</v>
      </c>
      <c r="K1079" s="19"/>
      <c r="L1079" s="19" t="str">
        <f t="shared" si="11"/>
        <v>#N/A</v>
      </c>
      <c r="M1079" s="19" t="str">
        <f t="shared" si="12"/>
        <v>#N/A</v>
      </c>
      <c r="N1079" s="19" t="str">
        <f t="shared" si="13"/>
        <v>#N/A</v>
      </c>
    </row>
    <row r="1080" ht="24.75" customHeight="1">
      <c r="A1080" s="21" t="s">
        <v>1043</v>
      </c>
      <c r="B1080" s="13">
        <f>IFERROR(__xludf.DUMMYFUNCTION("GOOGLEFINANCE(A1080,""PRICE"")"),291.0)</f>
        <v>291</v>
      </c>
      <c r="C1080" s="14">
        <f>IFERROR(__xludf.DUMMYFUNCTION("GOOGLEFINANCE(A1080,""PRICEOPEN"")"),294.45)</f>
        <v>294.45</v>
      </c>
      <c r="D1080" s="14">
        <f>IFERROR(__xludf.DUMMYFUNCTION("GOOGLEFINANCE(A1080,""HIGH"")"),294.45)</f>
        <v>294.45</v>
      </c>
      <c r="E1080" s="14">
        <f>IFERROR(__xludf.DUMMYFUNCTION("GOOGLEFINANCE(A1080,""LOW"")"),286.0)</f>
        <v>286</v>
      </c>
      <c r="F1080" s="15" t="str">
        <f t="shared" si="8"/>
        <v>SELL</v>
      </c>
      <c r="G1080" s="16">
        <f>IFERROR(__xludf.DUMMYFUNCTION("GOOGLEFINANCE(A1080,""CLOSEYEST"")"),287.5)</f>
        <v>287.5</v>
      </c>
      <c r="H1080" s="17" t="str">
        <f t="shared" si="14"/>
        <v>GAP UP</v>
      </c>
      <c r="I1080" s="18">
        <f t="shared" si="9"/>
        <v>289.3166667</v>
      </c>
      <c r="J1080" s="19">
        <f t="shared" si="10"/>
        <v>292.6333333</v>
      </c>
      <c r="K1080" s="19"/>
      <c r="L1080" s="19">
        <f t="shared" si="11"/>
        <v>284.1833333</v>
      </c>
      <c r="M1080" s="19">
        <f t="shared" si="12"/>
        <v>297.7666667</v>
      </c>
      <c r="N1080" s="19">
        <f t="shared" si="13"/>
        <v>280.8666667</v>
      </c>
    </row>
    <row r="1081" ht="24.75" customHeight="1">
      <c r="A1081" s="21" t="s">
        <v>1044</v>
      </c>
      <c r="B1081" s="13">
        <f>IFERROR(__xludf.DUMMYFUNCTION("GOOGLEFINANCE(A1081,""PRICE"")"),254.05)</f>
        <v>254.05</v>
      </c>
      <c r="C1081" s="14">
        <f>IFERROR(__xludf.DUMMYFUNCTION("GOOGLEFINANCE(A1081,""PRICEOPEN"")"),257.4)</f>
        <v>257.4</v>
      </c>
      <c r="D1081" s="14">
        <f>IFERROR(__xludf.DUMMYFUNCTION("GOOGLEFINANCE(A1081,""HIGH"")"),257.4)</f>
        <v>257.4</v>
      </c>
      <c r="E1081" s="14">
        <f>IFERROR(__xludf.DUMMYFUNCTION("GOOGLEFINANCE(A1081,""LOW"")"),248.75)</f>
        <v>248.75</v>
      </c>
      <c r="F1081" s="15" t="str">
        <f t="shared" si="8"/>
        <v>SELL</v>
      </c>
      <c r="G1081" s="16">
        <f>IFERROR(__xludf.DUMMYFUNCTION("GOOGLEFINANCE(A1081,""CLOSEYEST"")"),257.4)</f>
        <v>257.4</v>
      </c>
      <c r="H1081" s="17" t="str">
        <f t="shared" si="14"/>
        <v/>
      </c>
      <c r="I1081" s="18">
        <f t="shared" si="9"/>
        <v>254.5166667</v>
      </c>
      <c r="J1081" s="19">
        <f t="shared" si="10"/>
        <v>260.2833333</v>
      </c>
      <c r="K1081" s="19"/>
      <c r="L1081" s="19">
        <f t="shared" si="11"/>
        <v>251.6333333</v>
      </c>
      <c r="M1081" s="19">
        <f t="shared" si="12"/>
        <v>263.1666667</v>
      </c>
      <c r="N1081" s="19">
        <f t="shared" si="13"/>
        <v>245.8666667</v>
      </c>
    </row>
    <row r="1082" ht="24.75" customHeight="1">
      <c r="A1082" s="21" t="s">
        <v>1045</v>
      </c>
      <c r="B1082" s="13" t="str">
        <f>IFERROR(__xludf.DUMMYFUNCTION("GOOGLEFINANCE(A1082,""PRICE"")"),"#N/A")</f>
        <v>#N/A</v>
      </c>
      <c r="C1082" s="14" t="str">
        <f>IFERROR(__xludf.DUMMYFUNCTION("GOOGLEFINANCE(A1082,""PRICEOPEN"")"),"#N/A")</f>
        <v>#N/A</v>
      </c>
      <c r="D1082" s="14" t="str">
        <f>IFERROR(__xludf.DUMMYFUNCTION("GOOGLEFINANCE(A1082,""HIGH"")"),"#N/A")</f>
        <v>#N/A</v>
      </c>
      <c r="E1082" s="14" t="str">
        <f>IFERROR(__xludf.DUMMYFUNCTION("GOOGLEFINANCE(A1082,""LOW"")"),"#N/A")</f>
        <v>#N/A</v>
      </c>
      <c r="F1082" s="15" t="str">
        <f t="shared" si="8"/>
        <v>#N/A</v>
      </c>
      <c r="G1082" s="16" t="str">
        <f>IFERROR(__xludf.DUMMYFUNCTION("GOOGLEFINANCE(A1082,""CLOSEYEST"")"),"#N/A")</f>
        <v>#N/A</v>
      </c>
      <c r="H1082" s="17" t="str">
        <f t="shared" si="14"/>
        <v>#N/A</v>
      </c>
      <c r="I1082" s="18" t="str">
        <f t="shared" si="9"/>
        <v>#N/A</v>
      </c>
      <c r="J1082" s="19" t="str">
        <f t="shared" si="10"/>
        <v>#N/A</v>
      </c>
      <c r="K1082" s="19"/>
      <c r="L1082" s="19" t="str">
        <f t="shared" si="11"/>
        <v>#N/A</v>
      </c>
      <c r="M1082" s="19" t="str">
        <f t="shared" si="12"/>
        <v>#N/A</v>
      </c>
      <c r="N1082" s="19" t="str">
        <f t="shared" si="13"/>
        <v>#N/A</v>
      </c>
    </row>
    <row r="1083" ht="24.75" customHeight="1">
      <c r="A1083" s="21" t="s">
        <v>1046</v>
      </c>
      <c r="B1083" s="13">
        <f>IFERROR(__xludf.DUMMYFUNCTION("GOOGLEFINANCE(A1083,""PRICE"")"),54.7)</f>
        <v>54.7</v>
      </c>
      <c r="C1083" s="14">
        <f>IFERROR(__xludf.DUMMYFUNCTION("GOOGLEFINANCE(A1083,""PRICEOPEN"")"),53.99)</f>
        <v>53.99</v>
      </c>
      <c r="D1083" s="14">
        <f>IFERROR(__xludf.DUMMYFUNCTION("GOOGLEFINANCE(A1083,""HIGH"")"),55.19)</f>
        <v>55.19</v>
      </c>
      <c r="E1083" s="14">
        <f>IFERROR(__xludf.DUMMYFUNCTION("GOOGLEFINANCE(A1083,""LOW"")"),53.56)</f>
        <v>53.56</v>
      </c>
      <c r="F1083" s="15" t="str">
        <f t="shared" si="8"/>
        <v/>
      </c>
      <c r="G1083" s="16">
        <f>IFERROR(__xludf.DUMMYFUNCTION("GOOGLEFINANCE(A1083,""CLOSEYEST"")"),53.75)</f>
        <v>53.75</v>
      </c>
      <c r="H1083" s="17" t="str">
        <f t="shared" si="14"/>
        <v/>
      </c>
      <c r="I1083" s="18">
        <f t="shared" si="9"/>
        <v>54.16666667</v>
      </c>
      <c r="J1083" s="19">
        <f t="shared" si="10"/>
        <v>54.77333333</v>
      </c>
      <c r="K1083" s="19"/>
      <c r="L1083" s="19">
        <f t="shared" si="11"/>
        <v>53.14333333</v>
      </c>
      <c r="M1083" s="19">
        <f t="shared" si="12"/>
        <v>55.79666667</v>
      </c>
      <c r="N1083" s="19">
        <f t="shared" si="13"/>
        <v>52.53666667</v>
      </c>
    </row>
    <row r="1084" ht="24.75" customHeight="1">
      <c r="A1084" s="21" t="s">
        <v>1047</v>
      </c>
      <c r="B1084" s="13">
        <f>IFERROR(__xludf.DUMMYFUNCTION("GOOGLEFINANCE(A1084,""PRICE"")"),533.0)</f>
        <v>533</v>
      </c>
      <c r="C1084" s="14">
        <f>IFERROR(__xludf.DUMMYFUNCTION("GOOGLEFINANCE(A1084,""PRICEOPEN"")"),531.0)</f>
        <v>531</v>
      </c>
      <c r="D1084" s="14">
        <f>IFERROR(__xludf.DUMMYFUNCTION("GOOGLEFINANCE(A1084,""HIGH"")"),536.0)</f>
        <v>536</v>
      </c>
      <c r="E1084" s="14">
        <f>IFERROR(__xludf.DUMMYFUNCTION("GOOGLEFINANCE(A1084,""LOW"")"),531.0)</f>
        <v>531</v>
      </c>
      <c r="F1084" s="15" t="str">
        <f t="shared" si="8"/>
        <v>BUY</v>
      </c>
      <c r="G1084" s="16">
        <f>IFERROR(__xludf.DUMMYFUNCTION("GOOGLEFINANCE(A1084,""CLOSEYEST"")"),531.95)</f>
        <v>531.95</v>
      </c>
      <c r="H1084" s="17" t="str">
        <f t="shared" si="14"/>
        <v/>
      </c>
      <c r="I1084" s="18">
        <f t="shared" si="9"/>
        <v>532.9833333</v>
      </c>
      <c r="J1084" s="19">
        <f t="shared" si="10"/>
        <v>534.9666667</v>
      </c>
      <c r="K1084" s="19"/>
      <c r="L1084" s="19">
        <f t="shared" si="11"/>
        <v>529.9666667</v>
      </c>
      <c r="M1084" s="19">
        <f t="shared" si="12"/>
        <v>537.9833333</v>
      </c>
      <c r="N1084" s="19">
        <f t="shared" si="13"/>
        <v>527.9833333</v>
      </c>
    </row>
    <row r="1085" ht="24.75" customHeight="1">
      <c r="A1085" s="21" t="s">
        <v>1048</v>
      </c>
      <c r="B1085" s="13">
        <f>IFERROR(__xludf.DUMMYFUNCTION("GOOGLEFINANCE(A1085,""PRICE"")"),460.75)</f>
        <v>460.75</v>
      </c>
      <c r="C1085" s="14">
        <f>IFERROR(__xludf.DUMMYFUNCTION("GOOGLEFINANCE(A1085,""PRICEOPEN"")"),455.9)</f>
        <v>455.9</v>
      </c>
      <c r="D1085" s="14">
        <f>IFERROR(__xludf.DUMMYFUNCTION("GOOGLEFINANCE(A1085,""HIGH"")"),477.0)</f>
        <v>477</v>
      </c>
      <c r="E1085" s="14">
        <f>IFERROR(__xludf.DUMMYFUNCTION("GOOGLEFINANCE(A1085,""LOW"")"),447.1)</f>
        <v>447.1</v>
      </c>
      <c r="F1085" s="15" t="str">
        <f t="shared" si="8"/>
        <v/>
      </c>
      <c r="G1085" s="16">
        <f>IFERROR(__xludf.DUMMYFUNCTION("GOOGLEFINANCE(A1085,""CLOSEYEST"")"),455.5)</f>
        <v>455.5</v>
      </c>
      <c r="H1085" s="17" t="str">
        <f t="shared" si="14"/>
        <v/>
      </c>
      <c r="I1085" s="18">
        <f t="shared" si="9"/>
        <v>459.8666667</v>
      </c>
      <c r="J1085" s="19">
        <f t="shared" si="10"/>
        <v>472.6333333</v>
      </c>
      <c r="K1085" s="19"/>
      <c r="L1085" s="19">
        <f t="shared" si="11"/>
        <v>442.7333333</v>
      </c>
      <c r="M1085" s="19">
        <f t="shared" si="12"/>
        <v>489.7666667</v>
      </c>
      <c r="N1085" s="19">
        <f t="shared" si="13"/>
        <v>429.9666667</v>
      </c>
    </row>
    <row r="1086" ht="24.75" customHeight="1">
      <c r="A1086" s="21" t="s">
        <v>1049</v>
      </c>
      <c r="B1086" s="13">
        <f>IFERROR(__xludf.DUMMYFUNCTION("GOOGLEFINANCE(A1086,""PRICE"")"),3.34)</f>
        <v>3.34</v>
      </c>
      <c r="C1086" s="14">
        <f>IFERROR(__xludf.DUMMYFUNCTION("GOOGLEFINANCE(A1086,""PRICEOPEN"")"),3.49)</f>
        <v>3.49</v>
      </c>
      <c r="D1086" s="14">
        <f>IFERROR(__xludf.DUMMYFUNCTION("GOOGLEFINANCE(A1086,""HIGH"")"),3.49)</f>
        <v>3.49</v>
      </c>
      <c r="E1086" s="14">
        <f>IFERROR(__xludf.DUMMYFUNCTION("GOOGLEFINANCE(A1086,""LOW"")"),3.33)</f>
        <v>3.33</v>
      </c>
      <c r="F1086" s="15" t="str">
        <f t="shared" si="8"/>
        <v>SELL</v>
      </c>
      <c r="G1086" s="16">
        <f>IFERROR(__xludf.DUMMYFUNCTION("GOOGLEFINANCE(A1086,""CLOSEYEST"")"),3.49)</f>
        <v>3.49</v>
      </c>
      <c r="H1086" s="17" t="str">
        <f t="shared" si="14"/>
        <v/>
      </c>
      <c r="I1086" s="18">
        <f t="shared" si="9"/>
        <v>3.436666667</v>
      </c>
      <c r="J1086" s="19">
        <f t="shared" si="10"/>
        <v>3.543333333</v>
      </c>
      <c r="K1086" s="19"/>
      <c r="L1086" s="19">
        <f t="shared" si="11"/>
        <v>3.383333333</v>
      </c>
      <c r="M1086" s="19">
        <f t="shared" si="12"/>
        <v>3.596666667</v>
      </c>
      <c r="N1086" s="19">
        <f t="shared" si="13"/>
        <v>3.276666667</v>
      </c>
    </row>
    <row r="1087" ht="24.75" customHeight="1">
      <c r="A1087" s="21" t="s">
        <v>1050</v>
      </c>
      <c r="B1087" s="13">
        <f>IFERROR(__xludf.DUMMYFUNCTION("GOOGLEFINANCE(A1087,""PRICE"")"),1511.0)</f>
        <v>1511</v>
      </c>
      <c r="C1087" s="14">
        <f>IFERROR(__xludf.DUMMYFUNCTION("GOOGLEFINANCE(A1087,""PRICEOPEN"")"),1503.9)</f>
        <v>1503.9</v>
      </c>
      <c r="D1087" s="14">
        <f>IFERROR(__xludf.DUMMYFUNCTION("GOOGLEFINANCE(A1087,""HIGH"")"),1532.6)</f>
        <v>1532.6</v>
      </c>
      <c r="E1087" s="14">
        <f>IFERROR(__xludf.DUMMYFUNCTION("GOOGLEFINANCE(A1087,""LOW"")"),1483.0)</f>
        <v>1483</v>
      </c>
      <c r="F1087" s="15" t="str">
        <f t="shared" si="8"/>
        <v/>
      </c>
      <c r="G1087" s="16">
        <f>IFERROR(__xludf.DUMMYFUNCTION("GOOGLEFINANCE(A1087,""CLOSEYEST"")"),1511.5)</f>
        <v>1511.5</v>
      </c>
      <c r="H1087" s="17" t="str">
        <f t="shared" si="14"/>
        <v/>
      </c>
      <c r="I1087" s="18">
        <f t="shared" si="9"/>
        <v>1509.033333</v>
      </c>
      <c r="J1087" s="19">
        <f t="shared" si="10"/>
        <v>1535.066667</v>
      </c>
      <c r="K1087" s="19"/>
      <c r="L1087" s="19">
        <f t="shared" si="11"/>
        <v>1485.466667</v>
      </c>
      <c r="M1087" s="19">
        <f t="shared" si="12"/>
        <v>1558.633333</v>
      </c>
      <c r="N1087" s="19">
        <f t="shared" si="13"/>
        <v>1459.433333</v>
      </c>
    </row>
    <row r="1088" ht="24.75" customHeight="1">
      <c r="A1088" s="21" t="s">
        <v>1051</v>
      </c>
      <c r="B1088" s="13">
        <f>IFERROR(__xludf.DUMMYFUNCTION("GOOGLEFINANCE(A1088,""PRICE"")"),27.27)</f>
        <v>27.27</v>
      </c>
      <c r="C1088" s="14">
        <f>IFERROR(__xludf.DUMMYFUNCTION("GOOGLEFINANCE(A1088,""PRICEOPEN"")"),26.21)</f>
        <v>26.21</v>
      </c>
      <c r="D1088" s="14">
        <f>IFERROR(__xludf.DUMMYFUNCTION("GOOGLEFINANCE(A1088,""HIGH"")"),27.39)</f>
        <v>27.39</v>
      </c>
      <c r="E1088" s="14">
        <f>IFERROR(__xludf.DUMMYFUNCTION("GOOGLEFINANCE(A1088,""LOW"")"),26.18)</f>
        <v>26.18</v>
      </c>
      <c r="F1088" s="15" t="str">
        <f t="shared" si="8"/>
        <v/>
      </c>
      <c r="G1088" s="16">
        <f>IFERROR(__xludf.DUMMYFUNCTION("GOOGLEFINANCE(A1088,""CLOSEYEST"")"),26.28)</f>
        <v>26.28</v>
      </c>
      <c r="H1088" s="17" t="str">
        <f t="shared" si="14"/>
        <v/>
      </c>
      <c r="I1088" s="18">
        <f t="shared" si="9"/>
        <v>26.61666667</v>
      </c>
      <c r="J1088" s="19">
        <f t="shared" si="10"/>
        <v>27.05333333</v>
      </c>
      <c r="K1088" s="19"/>
      <c r="L1088" s="19">
        <f t="shared" si="11"/>
        <v>25.84333333</v>
      </c>
      <c r="M1088" s="19">
        <f t="shared" si="12"/>
        <v>27.82666667</v>
      </c>
      <c r="N1088" s="19">
        <f t="shared" si="13"/>
        <v>25.40666667</v>
      </c>
    </row>
    <row r="1089" ht="24.75" customHeight="1">
      <c r="A1089" s="21" t="s">
        <v>1052</v>
      </c>
      <c r="B1089" s="13">
        <f>IFERROR(__xludf.DUMMYFUNCTION("GOOGLEFINANCE(A1089,""PRICE"")"),318.0)</f>
        <v>318</v>
      </c>
      <c r="C1089" s="14">
        <f>IFERROR(__xludf.DUMMYFUNCTION("GOOGLEFINANCE(A1089,""PRICEOPEN"")"),318.3)</f>
        <v>318.3</v>
      </c>
      <c r="D1089" s="14">
        <f>IFERROR(__xludf.DUMMYFUNCTION("GOOGLEFINANCE(A1089,""HIGH"")"),320.85)</f>
        <v>320.85</v>
      </c>
      <c r="E1089" s="14">
        <f>IFERROR(__xludf.DUMMYFUNCTION("GOOGLEFINANCE(A1089,""LOW"")"),316.1)</f>
        <v>316.1</v>
      </c>
      <c r="F1089" s="15" t="str">
        <f t="shared" si="8"/>
        <v/>
      </c>
      <c r="G1089" s="16">
        <f>IFERROR(__xludf.DUMMYFUNCTION("GOOGLEFINANCE(A1089,""CLOSEYEST"")"),315.95)</f>
        <v>315.95</v>
      </c>
      <c r="H1089" s="17" t="str">
        <f t="shared" si="14"/>
        <v/>
      </c>
      <c r="I1089" s="18">
        <f t="shared" si="9"/>
        <v>317.6333333</v>
      </c>
      <c r="J1089" s="19">
        <f t="shared" si="10"/>
        <v>319.1666667</v>
      </c>
      <c r="K1089" s="19"/>
      <c r="L1089" s="19">
        <f t="shared" si="11"/>
        <v>314.4166667</v>
      </c>
      <c r="M1089" s="19">
        <f t="shared" si="12"/>
        <v>322.3833333</v>
      </c>
      <c r="N1089" s="19">
        <f t="shared" si="13"/>
        <v>312.8833333</v>
      </c>
    </row>
    <row r="1090" ht="24.75" customHeight="1">
      <c r="A1090" s="21" t="s">
        <v>1053</v>
      </c>
      <c r="B1090" s="13">
        <f>IFERROR(__xludf.DUMMYFUNCTION("GOOGLEFINANCE(A1090,""PRICE"")"),980.45)</f>
        <v>980.45</v>
      </c>
      <c r="C1090" s="14">
        <f>IFERROR(__xludf.DUMMYFUNCTION("GOOGLEFINANCE(A1090,""PRICEOPEN"")"),983.6)</f>
        <v>983.6</v>
      </c>
      <c r="D1090" s="14">
        <f>IFERROR(__xludf.DUMMYFUNCTION("GOOGLEFINANCE(A1090,""HIGH"")"),997.5)</f>
        <v>997.5</v>
      </c>
      <c r="E1090" s="14">
        <f>IFERROR(__xludf.DUMMYFUNCTION("GOOGLEFINANCE(A1090,""LOW"")"),973.0)</f>
        <v>973</v>
      </c>
      <c r="F1090" s="15" t="str">
        <f t="shared" si="8"/>
        <v/>
      </c>
      <c r="G1090" s="16">
        <f>IFERROR(__xludf.DUMMYFUNCTION("GOOGLEFINANCE(A1090,""CLOSEYEST"")"),978.9)</f>
        <v>978.9</v>
      </c>
      <c r="H1090" s="17" t="str">
        <f t="shared" si="14"/>
        <v/>
      </c>
      <c r="I1090" s="18">
        <f t="shared" si="9"/>
        <v>983.1333333</v>
      </c>
      <c r="J1090" s="19">
        <f t="shared" si="10"/>
        <v>993.2666667</v>
      </c>
      <c r="K1090" s="19"/>
      <c r="L1090" s="19">
        <f t="shared" si="11"/>
        <v>968.7666667</v>
      </c>
      <c r="M1090" s="19">
        <f t="shared" si="12"/>
        <v>1007.633333</v>
      </c>
      <c r="N1090" s="19">
        <f t="shared" si="13"/>
        <v>958.6333333</v>
      </c>
    </row>
    <row r="1091" ht="24.75" customHeight="1">
      <c r="A1091" s="21" t="s">
        <v>1054</v>
      </c>
      <c r="B1091" s="13">
        <f>IFERROR(__xludf.DUMMYFUNCTION("GOOGLEFINANCE(A1091,""PRICE"")"),343.1)</f>
        <v>343.1</v>
      </c>
      <c r="C1091" s="14">
        <f>IFERROR(__xludf.DUMMYFUNCTION("GOOGLEFINANCE(A1091,""PRICEOPEN"")"),345.75)</f>
        <v>345.75</v>
      </c>
      <c r="D1091" s="14">
        <f>IFERROR(__xludf.DUMMYFUNCTION("GOOGLEFINANCE(A1091,""HIGH"")"),357.8)</f>
        <v>357.8</v>
      </c>
      <c r="E1091" s="14">
        <f>IFERROR(__xludf.DUMMYFUNCTION("GOOGLEFINANCE(A1091,""LOW"")"),341.0)</f>
        <v>341</v>
      </c>
      <c r="F1091" s="15" t="str">
        <f t="shared" si="8"/>
        <v/>
      </c>
      <c r="G1091" s="16">
        <f>IFERROR(__xludf.DUMMYFUNCTION("GOOGLEFINANCE(A1091,""CLOSEYEST"")"),343.95)</f>
        <v>343.95</v>
      </c>
      <c r="H1091" s="17" t="str">
        <f t="shared" si="14"/>
        <v/>
      </c>
      <c r="I1091" s="18">
        <f t="shared" si="9"/>
        <v>347.5833333</v>
      </c>
      <c r="J1091" s="19">
        <f t="shared" si="10"/>
        <v>354.1666667</v>
      </c>
      <c r="K1091" s="19"/>
      <c r="L1091" s="19">
        <f t="shared" si="11"/>
        <v>337.3666667</v>
      </c>
      <c r="M1091" s="19">
        <f t="shared" si="12"/>
        <v>364.3833333</v>
      </c>
      <c r="N1091" s="19">
        <f t="shared" si="13"/>
        <v>330.7833333</v>
      </c>
    </row>
    <row r="1092" ht="24.75" customHeight="1">
      <c r="A1092" s="21" t="s">
        <v>1055</v>
      </c>
      <c r="B1092" s="13">
        <f>IFERROR(__xludf.DUMMYFUNCTION("GOOGLEFINANCE(A1092,""PRICE"")"),299.6)</f>
        <v>299.6</v>
      </c>
      <c r="C1092" s="14">
        <f>IFERROR(__xludf.DUMMYFUNCTION("GOOGLEFINANCE(A1092,""PRICEOPEN"")"),290.5)</f>
        <v>290.5</v>
      </c>
      <c r="D1092" s="14">
        <f>IFERROR(__xludf.DUMMYFUNCTION("GOOGLEFINANCE(A1092,""HIGH"")"),299.85)</f>
        <v>299.85</v>
      </c>
      <c r="E1092" s="14">
        <f>IFERROR(__xludf.DUMMYFUNCTION("GOOGLEFINANCE(A1092,""LOW"")"),286.15)</f>
        <v>286.15</v>
      </c>
      <c r="F1092" s="15" t="str">
        <f t="shared" si="8"/>
        <v/>
      </c>
      <c r="G1092" s="16">
        <f>IFERROR(__xludf.DUMMYFUNCTION("GOOGLEFINANCE(A1092,""CLOSEYEST"")"),294.85)</f>
        <v>294.85</v>
      </c>
      <c r="H1092" s="17" t="str">
        <f t="shared" si="14"/>
        <v>GAP DOWN</v>
      </c>
      <c r="I1092" s="18">
        <f t="shared" si="9"/>
        <v>293.6166667</v>
      </c>
      <c r="J1092" s="19">
        <f t="shared" si="10"/>
        <v>301.0833333</v>
      </c>
      <c r="K1092" s="19"/>
      <c r="L1092" s="19">
        <f t="shared" si="11"/>
        <v>287.3833333</v>
      </c>
      <c r="M1092" s="19">
        <f t="shared" si="12"/>
        <v>307.3166667</v>
      </c>
      <c r="N1092" s="19">
        <f t="shared" si="13"/>
        <v>279.9166667</v>
      </c>
    </row>
    <row r="1093" ht="24.75" customHeight="1">
      <c r="A1093" s="21" t="s">
        <v>1056</v>
      </c>
      <c r="B1093" s="13">
        <f>IFERROR(__xludf.DUMMYFUNCTION("GOOGLEFINANCE(A1093,""PRICE"")"),12.78)</f>
        <v>12.78</v>
      </c>
      <c r="C1093" s="14">
        <f>IFERROR(__xludf.DUMMYFUNCTION("GOOGLEFINANCE(A1093,""PRICEOPEN"")"),12.28)</f>
        <v>12.28</v>
      </c>
      <c r="D1093" s="14">
        <f>IFERROR(__xludf.DUMMYFUNCTION("GOOGLEFINANCE(A1093,""HIGH"")"),12.78)</f>
        <v>12.78</v>
      </c>
      <c r="E1093" s="14">
        <f>IFERROR(__xludf.DUMMYFUNCTION("GOOGLEFINANCE(A1093,""LOW"")"),12.19)</f>
        <v>12.19</v>
      </c>
      <c r="F1093" s="15" t="str">
        <f t="shared" si="8"/>
        <v/>
      </c>
      <c r="G1093" s="16">
        <f>IFERROR(__xludf.DUMMYFUNCTION("GOOGLEFINANCE(A1093,""CLOSEYEST"")"),12.18)</f>
        <v>12.18</v>
      </c>
      <c r="H1093" s="17" t="str">
        <f t="shared" si="14"/>
        <v/>
      </c>
      <c r="I1093" s="18">
        <f t="shared" si="9"/>
        <v>12.38333333</v>
      </c>
      <c r="J1093" s="19">
        <f t="shared" si="10"/>
        <v>12.57666667</v>
      </c>
      <c r="K1093" s="19"/>
      <c r="L1093" s="19">
        <f t="shared" si="11"/>
        <v>11.98666667</v>
      </c>
      <c r="M1093" s="19">
        <f t="shared" si="12"/>
        <v>12.97333333</v>
      </c>
      <c r="N1093" s="19">
        <f t="shared" si="13"/>
        <v>11.79333333</v>
      </c>
    </row>
    <row r="1094" ht="24.75" customHeight="1">
      <c r="A1094" s="21" t="s">
        <v>1057</v>
      </c>
      <c r="B1094" s="13">
        <f>IFERROR(__xludf.DUMMYFUNCTION("GOOGLEFINANCE(A1094,""PRICE"")"),439.95)</f>
        <v>439.95</v>
      </c>
      <c r="C1094" s="14">
        <f>IFERROR(__xludf.DUMMYFUNCTION("GOOGLEFINANCE(A1094,""PRICEOPEN"")"),445.85)</f>
        <v>445.85</v>
      </c>
      <c r="D1094" s="14">
        <f>IFERROR(__xludf.DUMMYFUNCTION("GOOGLEFINANCE(A1094,""HIGH"")"),447.9)</f>
        <v>447.9</v>
      </c>
      <c r="E1094" s="14">
        <f>IFERROR(__xludf.DUMMYFUNCTION("GOOGLEFINANCE(A1094,""LOW"")"),431.1)</f>
        <v>431.1</v>
      </c>
      <c r="F1094" s="15" t="str">
        <f t="shared" si="8"/>
        <v/>
      </c>
      <c r="G1094" s="16">
        <f>IFERROR(__xludf.DUMMYFUNCTION("GOOGLEFINANCE(A1094,""CLOSEYEST"")"),445.3)</f>
        <v>445.3</v>
      </c>
      <c r="H1094" s="17" t="str">
        <f t="shared" si="14"/>
        <v/>
      </c>
      <c r="I1094" s="18">
        <f t="shared" si="9"/>
        <v>441.4333333</v>
      </c>
      <c r="J1094" s="19">
        <f t="shared" si="10"/>
        <v>451.7666667</v>
      </c>
      <c r="K1094" s="19"/>
      <c r="L1094" s="19">
        <f t="shared" si="11"/>
        <v>434.9666667</v>
      </c>
      <c r="M1094" s="19">
        <f t="shared" si="12"/>
        <v>458.2333333</v>
      </c>
      <c r="N1094" s="19">
        <f t="shared" si="13"/>
        <v>424.6333333</v>
      </c>
    </row>
    <row r="1095" ht="24.75" customHeight="1">
      <c r="A1095" s="21" t="s">
        <v>1058</v>
      </c>
      <c r="B1095" s="13">
        <f>IFERROR(__xludf.DUMMYFUNCTION("GOOGLEFINANCE(A1095,""PRICE"")"),100.35)</f>
        <v>100.35</v>
      </c>
      <c r="C1095" s="14">
        <f>IFERROR(__xludf.DUMMYFUNCTION("GOOGLEFINANCE(A1095,""PRICEOPEN"")"),98.99)</f>
        <v>98.99</v>
      </c>
      <c r="D1095" s="14">
        <f>IFERROR(__xludf.DUMMYFUNCTION("GOOGLEFINANCE(A1095,""HIGH"")"),102.0)</f>
        <v>102</v>
      </c>
      <c r="E1095" s="14">
        <f>IFERROR(__xludf.DUMMYFUNCTION("GOOGLEFINANCE(A1095,""LOW"")"),98.12)</f>
        <v>98.12</v>
      </c>
      <c r="F1095" s="15" t="str">
        <f t="shared" si="8"/>
        <v/>
      </c>
      <c r="G1095" s="16">
        <f>IFERROR(__xludf.DUMMYFUNCTION("GOOGLEFINANCE(A1095,""CLOSEYEST"")"),98.42)</f>
        <v>98.42</v>
      </c>
      <c r="H1095" s="17" t="str">
        <f t="shared" si="14"/>
        <v/>
      </c>
      <c r="I1095" s="18">
        <f t="shared" si="9"/>
        <v>99.51333333</v>
      </c>
      <c r="J1095" s="19">
        <f t="shared" si="10"/>
        <v>100.9066667</v>
      </c>
      <c r="K1095" s="19"/>
      <c r="L1095" s="19">
        <f t="shared" si="11"/>
        <v>97.02666667</v>
      </c>
      <c r="M1095" s="19">
        <f t="shared" si="12"/>
        <v>103.3933333</v>
      </c>
      <c r="N1095" s="19">
        <f t="shared" si="13"/>
        <v>95.63333333</v>
      </c>
    </row>
    <row r="1096" ht="24.75" customHeight="1">
      <c r="A1096" s="21" t="s">
        <v>1059</v>
      </c>
      <c r="B1096" s="13">
        <f>IFERROR(__xludf.DUMMYFUNCTION("GOOGLEFINANCE(A1096,""PRICE"")"),125.1)</f>
        <v>125.1</v>
      </c>
      <c r="C1096" s="14">
        <f>IFERROR(__xludf.DUMMYFUNCTION("GOOGLEFINANCE(A1096,""PRICEOPEN"")"),127.43)</f>
        <v>127.43</v>
      </c>
      <c r="D1096" s="14">
        <f>IFERROR(__xludf.DUMMYFUNCTION("GOOGLEFINANCE(A1096,""HIGH"")"),128.48)</f>
        <v>128.48</v>
      </c>
      <c r="E1096" s="14">
        <f>IFERROR(__xludf.DUMMYFUNCTION("GOOGLEFINANCE(A1096,""LOW"")"),121.95)</f>
        <v>121.95</v>
      </c>
      <c r="F1096" s="15" t="str">
        <f t="shared" si="8"/>
        <v/>
      </c>
      <c r="G1096" s="16">
        <f>IFERROR(__xludf.DUMMYFUNCTION("GOOGLEFINANCE(A1096,""CLOSEYEST"")"),126.43)</f>
        <v>126.43</v>
      </c>
      <c r="H1096" s="17" t="str">
        <f t="shared" si="14"/>
        <v/>
      </c>
      <c r="I1096" s="18">
        <f t="shared" si="9"/>
        <v>125.62</v>
      </c>
      <c r="J1096" s="19">
        <f t="shared" si="10"/>
        <v>129.29</v>
      </c>
      <c r="K1096" s="19"/>
      <c r="L1096" s="19">
        <f t="shared" si="11"/>
        <v>122.76</v>
      </c>
      <c r="M1096" s="19">
        <f t="shared" si="12"/>
        <v>132.15</v>
      </c>
      <c r="N1096" s="19">
        <f t="shared" si="13"/>
        <v>119.09</v>
      </c>
    </row>
    <row r="1097" ht="24.75" customHeight="1">
      <c r="A1097" s="21" t="s">
        <v>1060</v>
      </c>
      <c r="B1097" s="13">
        <f>IFERROR(__xludf.DUMMYFUNCTION("GOOGLEFINANCE(A1097,""PRICE"")"),27.54)</f>
        <v>27.54</v>
      </c>
      <c r="C1097" s="14">
        <f>IFERROR(__xludf.DUMMYFUNCTION("GOOGLEFINANCE(A1097,""PRICEOPEN"")"),26.81)</f>
        <v>26.81</v>
      </c>
      <c r="D1097" s="14">
        <f>IFERROR(__xludf.DUMMYFUNCTION("GOOGLEFINANCE(A1097,""HIGH"")"),27.6)</f>
        <v>27.6</v>
      </c>
      <c r="E1097" s="14">
        <f>IFERROR(__xludf.DUMMYFUNCTION("GOOGLEFINANCE(A1097,""LOW"")"),26.6)</f>
        <v>26.6</v>
      </c>
      <c r="F1097" s="15" t="str">
        <f t="shared" si="8"/>
        <v/>
      </c>
      <c r="G1097" s="16">
        <f>IFERROR(__xludf.DUMMYFUNCTION("GOOGLEFINANCE(A1097,""CLOSEYEST"")"),27.09)</f>
        <v>27.09</v>
      </c>
      <c r="H1097" s="17" t="str">
        <f t="shared" si="14"/>
        <v>GAP DOWN</v>
      </c>
      <c r="I1097" s="18">
        <f t="shared" si="9"/>
        <v>27.09666667</v>
      </c>
      <c r="J1097" s="19">
        <f t="shared" si="10"/>
        <v>27.59333333</v>
      </c>
      <c r="K1097" s="19"/>
      <c r="L1097" s="19">
        <f t="shared" si="11"/>
        <v>26.59333333</v>
      </c>
      <c r="M1097" s="19">
        <f t="shared" si="12"/>
        <v>28.09666667</v>
      </c>
      <c r="N1097" s="19">
        <f t="shared" si="13"/>
        <v>26.09666667</v>
      </c>
    </row>
    <row r="1098" ht="24.75" customHeight="1">
      <c r="A1098" s="21" t="s">
        <v>1061</v>
      </c>
      <c r="B1098" s="13">
        <f>IFERROR(__xludf.DUMMYFUNCTION("GOOGLEFINANCE(A1098,""PRICE"")"),297.95)</f>
        <v>297.95</v>
      </c>
      <c r="C1098" s="14">
        <f>IFERROR(__xludf.DUMMYFUNCTION("GOOGLEFINANCE(A1098,""PRICEOPEN"")"),296.0)</f>
        <v>296</v>
      </c>
      <c r="D1098" s="14">
        <f>IFERROR(__xludf.DUMMYFUNCTION("GOOGLEFINANCE(A1098,""HIGH"")"),299.6)</f>
        <v>299.6</v>
      </c>
      <c r="E1098" s="14">
        <f>IFERROR(__xludf.DUMMYFUNCTION("GOOGLEFINANCE(A1098,""LOW"")"),294.05)</f>
        <v>294.05</v>
      </c>
      <c r="F1098" s="15" t="str">
        <f t="shared" si="8"/>
        <v/>
      </c>
      <c r="G1098" s="16">
        <f>IFERROR(__xludf.DUMMYFUNCTION("GOOGLEFINANCE(A1098,""CLOSEYEST"")"),299.9)</f>
        <v>299.9</v>
      </c>
      <c r="H1098" s="17" t="str">
        <f t="shared" si="14"/>
        <v>GAP DOWN</v>
      </c>
      <c r="I1098" s="18">
        <f t="shared" si="9"/>
        <v>297.85</v>
      </c>
      <c r="J1098" s="19">
        <f t="shared" si="10"/>
        <v>301.65</v>
      </c>
      <c r="K1098" s="19"/>
      <c r="L1098" s="19">
        <f t="shared" si="11"/>
        <v>296.1</v>
      </c>
      <c r="M1098" s="19">
        <f t="shared" si="12"/>
        <v>303.4</v>
      </c>
      <c r="N1098" s="19">
        <f t="shared" si="13"/>
        <v>292.3</v>
      </c>
    </row>
    <row r="1099" ht="24.75" customHeight="1">
      <c r="A1099" s="21" t="s">
        <v>1062</v>
      </c>
      <c r="B1099" s="13">
        <f>IFERROR(__xludf.DUMMYFUNCTION("GOOGLEFINANCE(A1099,""PRICE"")"),124.0)</f>
        <v>124</v>
      </c>
      <c r="C1099" s="14">
        <f>IFERROR(__xludf.DUMMYFUNCTION("GOOGLEFINANCE(A1099,""PRICEOPEN"")"),126.5)</f>
        <v>126.5</v>
      </c>
      <c r="D1099" s="14">
        <f>IFERROR(__xludf.DUMMYFUNCTION("GOOGLEFINANCE(A1099,""HIGH"")"),128.78)</f>
        <v>128.78</v>
      </c>
      <c r="E1099" s="14">
        <f>IFERROR(__xludf.DUMMYFUNCTION("GOOGLEFINANCE(A1099,""LOW"")"),122.43)</f>
        <v>122.43</v>
      </c>
      <c r="F1099" s="15" t="str">
        <f t="shared" si="8"/>
        <v/>
      </c>
      <c r="G1099" s="16">
        <f>IFERROR(__xludf.DUMMYFUNCTION("GOOGLEFINANCE(A1099,""CLOSEYEST"")"),127.13)</f>
        <v>127.13</v>
      </c>
      <c r="H1099" s="17" t="str">
        <f t="shared" si="14"/>
        <v/>
      </c>
      <c r="I1099" s="18">
        <f t="shared" si="9"/>
        <v>126.1133333</v>
      </c>
      <c r="J1099" s="19">
        <f t="shared" si="10"/>
        <v>129.7966667</v>
      </c>
      <c r="K1099" s="19"/>
      <c r="L1099" s="19">
        <f t="shared" si="11"/>
        <v>123.4466667</v>
      </c>
      <c r="M1099" s="19">
        <f t="shared" si="12"/>
        <v>132.4633333</v>
      </c>
      <c r="N1099" s="19">
        <f t="shared" si="13"/>
        <v>119.7633333</v>
      </c>
    </row>
    <row r="1100" ht="24.75" customHeight="1">
      <c r="A1100" s="21" t="s">
        <v>1063</v>
      </c>
      <c r="B1100" s="13">
        <f>IFERROR(__xludf.DUMMYFUNCTION("GOOGLEFINANCE(A1100,""PRICE"")"),25.94)</f>
        <v>25.94</v>
      </c>
      <c r="C1100" s="14">
        <f>IFERROR(__xludf.DUMMYFUNCTION("GOOGLEFINANCE(A1100,""PRICEOPEN"")"),24.63)</f>
        <v>24.63</v>
      </c>
      <c r="D1100" s="14">
        <f>IFERROR(__xludf.DUMMYFUNCTION("GOOGLEFINANCE(A1100,""HIGH"")"),26.0)</f>
        <v>26</v>
      </c>
      <c r="E1100" s="14">
        <f>IFERROR(__xludf.DUMMYFUNCTION("GOOGLEFINANCE(A1100,""LOW"")"),24.63)</f>
        <v>24.63</v>
      </c>
      <c r="F1100" s="15" t="str">
        <f t="shared" si="8"/>
        <v>BUY</v>
      </c>
      <c r="G1100" s="16">
        <f>IFERROR(__xludf.DUMMYFUNCTION("GOOGLEFINANCE(A1100,""CLOSEYEST"")"),25.2)</f>
        <v>25.2</v>
      </c>
      <c r="H1100" s="17" t="str">
        <f t="shared" si="14"/>
        <v>GAP DOWN</v>
      </c>
      <c r="I1100" s="18">
        <f t="shared" si="9"/>
        <v>25.27666667</v>
      </c>
      <c r="J1100" s="19">
        <f t="shared" si="10"/>
        <v>25.92333333</v>
      </c>
      <c r="K1100" s="19"/>
      <c r="L1100" s="19">
        <f t="shared" si="11"/>
        <v>24.55333333</v>
      </c>
      <c r="M1100" s="19">
        <f t="shared" si="12"/>
        <v>26.64666667</v>
      </c>
      <c r="N1100" s="19">
        <f t="shared" si="13"/>
        <v>23.90666667</v>
      </c>
    </row>
    <row r="1101" ht="24.75" customHeight="1">
      <c r="A1101" s="21" t="s">
        <v>1064</v>
      </c>
      <c r="B1101" s="13">
        <f>IFERROR(__xludf.DUMMYFUNCTION("GOOGLEFINANCE(A1101,""PRICE"")"),247.9)</f>
        <v>247.9</v>
      </c>
      <c r="C1101" s="14">
        <f>IFERROR(__xludf.DUMMYFUNCTION("GOOGLEFINANCE(A1101,""PRICEOPEN"")"),241.0)</f>
        <v>241</v>
      </c>
      <c r="D1101" s="14">
        <f>IFERROR(__xludf.DUMMYFUNCTION("GOOGLEFINANCE(A1101,""HIGH"")"),248.0)</f>
        <v>248</v>
      </c>
      <c r="E1101" s="14">
        <f>IFERROR(__xludf.DUMMYFUNCTION("GOOGLEFINANCE(A1101,""LOW"")"),238.0)</f>
        <v>238</v>
      </c>
      <c r="F1101" s="15" t="str">
        <f t="shared" si="8"/>
        <v/>
      </c>
      <c r="G1101" s="16">
        <f>IFERROR(__xludf.DUMMYFUNCTION("GOOGLEFINANCE(A1101,""CLOSEYEST"")"),237.6)</f>
        <v>237.6</v>
      </c>
      <c r="H1101" s="17" t="str">
        <f t="shared" si="14"/>
        <v>GAP UP</v>
      </c>
      <c r="I1101" s="18">
        <f t="shared" si="9"/>
        <v>241.2</v>
      </c>
      <c r="J1101" s="19">
        <f t="shared" si="10"/>
        <v>244.4</v>
      </c>
      <c r="K1101" s="19"/>
      <c r="L1101" s="19">
        <f t="shared" si="11"/>
        <v>234.4</v>
      </c>
      <c r="M1101" s="19">
        <f t="shared" si="12"/>
        <v>251.2</v>
      </c>
      <c r="N1101" s="19">
        <f t="shared" si="13"/>
        <v>231.2</v>
      </c>
    </row>
    <row r="1102" ht="24.75" customHeight="1">
      <c r="A1102" s="21" t="s">
        <v>1065</v>
      </c>
      <c r="B1102" s="13">
        <f>IFERROR(__xludf.DUMMYFUNCTION("GOOGLEFINANCE(A1102,""PRICE"")"),240.97)</f>
        <v>240.97</v>
      </c>
      <c r="C1102" s="14">
        <f>IFERROR(__xludf.DUMMYFUNCTION("GOOGLEFINANCE(A1102,""PRICEOPEN"")"),243.03)</f>
        <v>243.03</v>
      </c>
      <c r="D1102" s="14">
        <f>IFERROR(__xludf.DUMMYFUNCTION("GOOGLEFINANCE(A1102,""HIGH"")"),243.03)</f>
        <v>243.03</v>
      </c>
      <c r="E1102" s="14">
        <f>IFERROR(__xludf.DUMMYFUNCTION("GOOGLEFINANCE(A1102,""LOW"")"),236.89)</f>
        <v>236.89</v>
      </c>
      <c r="F1102" s="15" t="str">
        <f t="shared" si="8"/>
        <v>SELL</v>
      </c>
      <c r="G1102" s="16">
        <f>IFERROR(__xludf.DUMMYFUNCTION("GOOGLEFINANCE(A1102,""CLOSEYEST"")"),240.62)</f>
        <v>240.62</v>
      </c>
      <c r="H1102" s="17" t="str">
        <f t="shared" si="14"/>
        <v>GAP UP</v>
      </c>
      <c r="I1102" s="18">
        <f t="shared" si="9"/>
        <v>240.18</v>
      </c>
      <c r="J1102" s="19">
        <f t="shared" si="10"/>
        <v>243.47</v>
      </c>
      <c r="K1102" s="19"/>
      <c r="L1102" s="19">
        <f t="shared" si="11"/>
        <v>237.33</v>
      </c>
      <c r="M1102" s="19">
        <f t="shared" si="12"/>
        <v>246.32</v>
      </c>
      <c r="N1102" s="19">
        <f t="shared" si="13"/>
        <v>234.04</v>
      </c>
    </row>
    <row r="1103" ht="24.75" customHeight="1">
      <c r="A1103" s="21" t="s">
        <v>1066</v>
      </c>
      <c r="B1103" s="13">
        <f>IFERROR(__xludf.DUMMYFUNCTION("GOOGLEFINANCE(A1103,""PRICE"")"),117.25)</f>
        <v>117.25</v>
      </c>
      <c r="C1103" s="14">
        <f>IFERROR(__xludf.DUMMYFUNCTION("GOOGLEFINANCE(A1103,""PRICEOPEN"")"),119.4)</f>
        <v>119.4</v>
      </c>
      <c r="D1103" s="14">
        <f>IFERROR(__xludf.DUMMYFUNCTION("GOOGLEFINANCE(A1103,""HIGH"")"),119.4)</f>
        <v>119.4</v>
      </c>
      <c r="E1103" s="14">
        <f>IFERROR(__xludf.DUMMYFUNCTION("GOOGLEFINANCE(A1103,""LOW"")"),115.8)</f>
        <v>115.8</v>
      </c>
      <c r="F1103" s="15" t="str">
        <f t="shared" si="8"/>
        <v>SELL</v>
      </c>
      <c r="G1103" s="16">
        <f>IFERROR(__xludf.DUMMYFUNCTION("GOOGLEFINANCE(A1103,""CLOSEYEST"")"),118.35)</f>
        <v>118.35</v>
      </c>
      <c r="H1103" s="17" t="str">
        <f t="shared" si="14"/>
        <v/>
      </c>
      <c r="I1103" s="18">
        <f t="shared" si="9"/>
        <v>117.85</v>
      </c>
      <c r="J1103" s="19">
        <f t="shared" si="10"/>
        <v>119.9</v>
      </c>
      <c r="K1103" s="19"/>
      <c r="L1103" s="19">
        <f t="shared" si="11"/>
        <v>116.3</v>
      </c>
      <c r="M1103" s="19">
        <f t="shared" si="12"/>
        <v>121.45</v>
      </c>
      <c r="N1103" s="19">
        <f t="shared" si="13"/>
        <v>114.25</v>
      </c>
    </row>
    <row r="1104" ht="24.75" customHeight="1">
      <c r="A1104" s="21" t="s">
        <v>1067</v>
      </c>
      <c r="B1104" s="13">
        <f>IFERROR(__xludf.DUMMYFUNCTION("GOOGLEFINANCE(A1104,""PRICE"")"),10.23)</f>
        <v>10.23</v>
      </c>
      <c r="C1104" s="14">
        <f>IFERROR(__xludf.DUMMYFUNCTION("GOOGLEFINANCE(A1104,""PRICEOPEN"")"),10.29)</f>
        <v>10.29</v>
      </c>
      <c r="D1104" s="14">
        <f>IFERROR(__xludf.DUMMYFUNCTION("GOOGLEFINANCE(A1104,""HIGH"")"),10.43)</f>
        <v>10.43</v>
      </c>
      <c r="E1104" s="14">
        <f>IFERROR(__xludf.DUMMYFUNCTION("GOOGLEFINANCE(A1104,""LOW"")"),10.01)</f>
        <v>10.01</v>
      </c>
      <c r="F1104" s="15" t="str">
        <f t="shared" si="8"/>
        <v/>
      </c>
      <c r="G1104" s="16">
        <f>IFERROR(__xludf.DUMMYFUNCTION("GOOGLEFINANCE(A1104,""CLOSEYEST"")"),10.26)</f>
        <v>10.26</v>
      </c>
      <c r="H1104" s="17" t="str">
        <f t="shared" si="14"/>
        <v/>
      </c>
      <c r="I1104" s="18">
        <f t="shared" si="9"/>
        <v>10.23333333</v>
      </c>
      <c r="J1104" s="19">
        <f t="shared" si="10"/>
        <v>10.45666667</v>
      </c>
      <c r="K1104" s="19"/>
      <c r="L1104" s="19">
        <f t="shared" si="11"/>
        <v>10.03666667</v>
      </c>
      <c r="M1104" s="19">
        <f t="shared" si="12"/>
        <v>10.65333333</v>
      </c>
      <c r="N1104" s="19">
        <f t="shared" si="13"/>
        <v>9.813333333</v>
      </c>
    </row>
    <row r="1105" ht="24.75" customHeight="1">
      <c r="A1105" s="21" t="s">
        <v>1068</v>
      </c>
      <c r="B1105" s="13">
        <f>IFERROR(__xludf.DUMMYFUNCTION("GOOGLEFINANCE(A1105,""PRICE"")"),156.5)</f>
        <v>156.5</v>
      </c>
      <c r="C1105" s="14">
        <f>IFERROR(__xludf.DUMMYFUNCTION("GOOGLEFINANCE(A1105,""PRICEOPEN"")"),154.0)</f>
        <v>154</v>
      </c>
      <c r="D1105" s="14">
        <f>IFERROR(__xludf.DUMMYFUNCTION("GOOGLEFINANCE(A1105,""HIGH"")"),156.95)</f>
        <v>156.95</v>
      </c>
      <c r="E1105" s="14">
        <f>IFERROR(__xludf.DUMMYFUNCTION("GOOGLEFINANCE(A1105,""LOW"")"),154.0)</f>
        <v>154</v>
      </c>
      <c r="F1105" s="15" t="str">
        <f t="shared" si="8"/>
        <v>BUY</v>
      </c>
      <c r="G1105" s="16">
        <f>IFERROR(__xludf.DUMMYFUNCTION("GOOGLEFINANCE(A1105,""CLOSEYEST"")"),155.97)</f>
        <v>155.97</v>
      </c>
      <c r="H1105" s="17" t="str">
        <f t="shared" si="14"/>
        <v>GAP DOWN</v>
      </c>
      <c r="I1105" s="18">
        <f t="shared" si="9"/>
        <v>155.64</v>
      </c>
      <c r="J1105" s="19">
        <f t="shared" si="10"/>
        <v>157.28</v>
      </c>
      <c r="K1105" s="19"/>
      <c r="L1105" s="19">
        <f t="shared" si="11"/>
        <v>154.33</v>
      </c>
      <c r="M1105" s="19">
        <f t="shared" si="12"/>
        <v>158.59</v>
      </c>
      <c r="N1105" s="19">
        <f t="shared" si="13"/>
        <v>152.69</v>
      </c>
    </row>
    <row r="1106" ht="24.75" customHeight="1">
      <c r="A1106" s="21" t="s">
        <v>1069</v>
      </c>
      <c r="B1106" s="13">
        <f>IFERROR(__xludf.DUMMYFUNCTION("GOOGLEFINANCE(A1106,""PRICE"")"),240.0)</f>
        <v>240</v>
      </c>
      <c r="C1106" s="14">
        <f>IFERROR(__xludf.DUMMYFUNCTION("GOOGLEFINANCE(A1106,""PRICEOPEN"")"),231.05)</f>
        <v>231.05</v>
      </c>
      <c r="D1106" s="14">
        <f>IFERROR(__xludf.DUMMYFUNCTION("GOOGLEFINANCE(A1106,""HIGH"")"),240.0)</f>
        <v>240</v>
      </c>
      <c r="E1106" s="14">
        <f>IFERROR(__xludf.DUMMYFUNCTION("GOOGLEFINANCE(A1106,""LOW"")"),231.0)</f>
        <v>231</v>
      </c>
      <c r="F1106" s="15" t="str">
        <f t="shared" si="8"/>
        <v/>
      </c>
      <c r="G1106" s="16">
        <f>IFERROR(__xludf.DUMMYFUNCTION("GOOGLEFINANCE(A1106,""CLOSEYEST"")"),232.53)</f>
        <v>232.53</v>
      </c>
      <c r="H1106" s="17" t="str">
        <f t="shared" si="14"/>
        <v/>
      </c>
      <c r="I1106" s="18">
        <f t="shared" si="9"/>
        <v>234.51</v>
      </c>
      <c r="J1106" s="19">
        <f t="shared" si="10"/>
        <v>238.02</v>
      </c>
      <c r="K1106" s="19"/>
      <c r="L1106" s="19">
        <f t="shared" si="11"/>
        <v>229.02</v>
      </c>
      <c r="M1106" s="19">
        <f t="shared" si="12"/>
        <v>243.51</v>
      </c>
      <c r="N1106" s="19">
        <f t="shared" si="13"/>
        <v>225.51</v>
      </c>
    </row>
    <row r="1107" ht="24.75" customHeight="1">
      <c r="A1107" s="21" t="s">
        <v>1070</v>
      </c>
      <c r="B1107" s="13">
        <f>IFERROR(__xludf.DUMMYFUNCTION("GOOGLEFINANCE(A1107,""PRICE"")"),5478.0)</f>
        <v>5478</v>
      </c>
      <c r="C1107" s="14">
        <f>IFERROR(__xludf.DUMMYFUNCTION("GOOGLEFINANCE(A1107,""PRICEOPEN"")"),5455.0)</f>
        <v>5455</v>
      </c>
      <c r="D1107" s="14">
        <f>IFERROR(__xludf.DUMMYFUNCTION("GOOGLEFINANCE(A1107,""HIGH"")"),5564.5)</f>
        <v>5564.5</v>
      </c>
      <c r="E1107" s="14">
        <f>IFERROR(__xludf.DUMMYFUNCTION("GOOGLEFINANCE(A1107,""LOW"")"),5431.0)</f>
        <v>5431</v>
      </c>
      <c r="F1107" s="15" t="str">
        <f t="shared" si="8"/>
        <v/>
      </c>
      <c r="G1107" s="16">
        <f>IFERROR(__xludf.DUMMYFUNCTION("GOOGLEFINANCE(A1107,""CLOSEYEST"")"),5441.5)</f>
        <v>5441.5</v>
      </c>
      <c r="H1107" s="17" t="str">
        <f t="shared" si="14"/>
        <v/>
      </c>
      <c r="I1107" s="18">
        <f t="shared" si="9"/>
        <v>5479</v>
      </c>
      <c r="J1107" s="19">
        <f t="shared" si="10"/>
        <v>5527</v>
      </c>
      <c r="K1107" s="19"/>
      <c r="L1107" s="19">
        <f t="shared" si="11"/>
        <v>5393.5</v>
      </c>
      <c r="M1107" s="19">
        <f t="shared" si="12"/>
        <v>5612.5</v>
      </c>
      <c r="N1107" s="19">
        <f t="shared" si="13"/>
        <v>5345.5</v>
      </c>
    </row>
    <row r="1108" ht="24.75" customHeight="1">
      <c r="A1108" s="21" t="s">
        <v>1071</v>
      </c>
      <c r="B1108" s="13">
        <f>IFERROR(__xludf.DUMMYFUNCTION("GOOGLEFINANCE(A1108,""PRICE"")"),136.7)</f>
        <v>136.7</v>
      </c>
      <c r="C1108" s="14">
        <f>IFERROR(__xludf.DUMMYFUNCTION("GOOGLEFINANCE(A1108,""PRICEOPEN"")"),133.9)</f>
        <v>133.9</v>
      </c>
      <c r="D1108" s="14">
        <f>IFERROR(__xludf.DUMMYFUNCTION("GOOGLEFINANCE(A1108,""HIGH"")"),143.95)</f>
        <v>143.95</v>
      </c>
      <c r="E1108" s="14">
        <f>IFERROR(__xludf.DUMMYFUNCTION("GOOGLEFINANCE(A1108,""LOW"")"),132.34)</f>
        <v>132.34</v>
      </c>
      <c r="F1108" s="15" t="str">
        <f t="shared" si="8"/>
        <v/>
      </c>
      <c r="G1108" s="16">
        <f>IFERROR(__xludf.DUMMYFUNCTION("GOOGLEFINANCE(A1108,""CLOSEYEST"")"),132.8)</f>
        <v>132.8</v>
      </c>
      <c r="H1108" s="17" t="str">
        <f t="shared" si="14"/>
        <v/>
      </c>
      <c r="I1108" s="18">
        <f t="shared" si="9"/>
        <v>136.3633333</v>
      </c>
      <c r="J1108" s="19">
        <f t="shared" si="10"/>
        <v>140.3866667</v>
      </c>
      <c r="K1108" s="19"/>
      <c r="L1108" s="19">
        <f t="shared" si="11"/>
        <v>128.7766667</v>
      </c>
      <c r="M1108" s="19">
        <f t="shared" si="12"/>
        <v>147.9733333</v>
      </c>
      <c r="N1108" s="19">
        <f t="shared" si="13"/>
        <v>124.7533333</v>
      </c>
    </row>
    <row r="1109" ht="24.75" customHeight="1">
      <c r="A1109" s="21" t="s">
        <v>1072</v>
      </c>
      <c r="B1109" s="13">
        <f>IFERROR(__xludf.DUMMYFUNCTION("GOOGLEFINANCE(A1109,""PRICE"")"),876.0)</f>
        <v>876</v>
      </c>
      <c r="C1109" s="14">
        <f>IFERROR(__xludf.DUMMYFUNCTION("GOOGLEFINANCE(A1109,""PRICEOPEN"")"),858.0)</f>
        <v>858</v>
      </c>
      <c r="D1109" s="14">
        <f>IFERROR(__xludf.DUMMYFUNCTION("GOOGLEFINANCE(A1109,""HIGH"")"),880.0)</f>
        <v>880</v>
      </c>
      <c r="E1109" s="14">
        <f>IFERROR(__xludf.DUMMYFUNCTION("GOOGLEFINANCE(A1109,""LOW"")"),858.0)</f>
        <v>858</v>
      </c>
      <c r="F1109" s="15" t="str">
        <f t="shared" si="8"/>
        <v>BUY</v>
      </c>
      <c r="G1109" s="16">
        <f>IFERROR(__xludf.DUMMYFUNCTION("GOOGLEFINANCE(A1109,""CLOSEYEST"")"),857.3)</f>
        <v>857.3</v>
      </c>
      <c r="H1109" s="17" t="str">
        <f t="shared" si="14"/>
        <v/>
      </c>
      <c r="I1109" s="18">
        <f t="shared" si="9"/>
        <v>865.1</v>
      </c>
      <c r="J1109" s="19">
        <f t="shared" si="10"/>
        <v>872.2</v>
      </c>
      <c r="K1109" s="19"/>
      <c r="L1109" s="19">
        <f t="shared" si="11"/>
        <v>850.2</v>
      </c>
      <c r="M1109" s="19">
        <f t="shared" si="12"/>
        <v>887.1</v>
      </c>
      <c r="N1109" s="19">
        <f t="shared" si="13"/>
        <v>843.1</v>
      </c>
    </row>
    <row r="1110" ht="24.75" customHeight="1">
      <c r="A1110" s="21" t="s">
        <v>1073</v>
      </c>
      <c r="B1110" s="13" t="str">
        <f>IFERROR(__xludf.DUMMYFUNCTION("GOOGLEFINANCE(A1110,""PRICE"")"),"#N/A")</f>
        <v>#N/A</v>
      </c>
      <c r="C1110" s="14" t="str">
        <f>IFERROR(__xludf.DUMMYFUNCTION("GOOGLEFINANCE(A1110,""PRICEOPEN"")"),"#N/A")</f>
        <v>#N/A</v>
      </c>
      <c r="D1110" s="14" t="str">
        <f>IFERROR(__xludf.DUMMYFUNCTION("GOOGLEFINANCE(A1110,""HIGH"")"),"#N/A")</f>
        <v>#N/A</v>
      </c>
      <c r="E1110" s="14" t="str">
        <f>IFERROR(__xludf.DUMMYFUNCTION("GOOGLEFINANCE(A1110,""LOW"")"),"#N/A")</f>
        <v>#N/A</v>
      </c>
      <c r="F1110" s="15" t="str">
        <f t="shared" si="8"/>
        <v>#N/A</v>
      </c>
      <c r="G1110" s="16" t="str">
        <f>IFERROR(__xludf.DUMMYFUNCTION("GOOGLEFINANCE(A1110,""CLOSEYEST"")"),"#N/A")</f>
        <v>#N/A</v>
      </c>
      <c r="H1110" s="17" t="str">
        <f t="shared" si="14"/>
        <v>#N/A</v>
      </c>
      <c r="I1110" s="18" t="str">
        <f t="shared" si="9"/>
        <v>#N/A</v>
      </c>
      <c r="J1110" s="19" t="str">
        <f t="shared" si="10"/>
        <v>#N/A</v>
      </c>
      <c r="K1110" s="19"/>
      <c r="L1110" s="19" t="str">
        <f t="shared" si="11"/>
        <v>#N/A</v>
      </c>
      <c r="M1110" s="19" t="str">
        <f t="shared" si="12"/>
        <v>#N/A</v>
      </c>
      <c r="N1110" s="19" t="str">
        <f t="shared" si="13"/>
        <v>#N/A</v>
      </c>
    </row>
    <row r="1111" ht="24.75" customHeight="1">
      <c r="A1111" s="21" t="s">
        <v>1074</v>
      </c>
      <c r="B1111" s="13">
        <f>IFERROR(__xludf.DUMMYFUNCTION("GOOGLEFINANCE(A1111,""PRICE"")"),456.0)</f>
        <v>456</v>
      </c>
      <c r="C1111" s="14">
        <f>IFERROR(__xludf.DUMMYFUNCTION("GOOGLEFINANCE(A1111,""PRICEOPEN"")"),428.0)</f>
        <v>428</v>
      </c>
      <c r="D1111" s="14">
        <f>IFERROR(__xludf.DUMMYFUNCTION("GOOGLEFINANCE(A1111,""HIGH"")"),456.0)</f>
        <v>456</v>
      </c>
      <c r="E1111" s="14">
        <f>IFERROR(__xludf.DUMMYFUNCTION("GOOGLEFINANCE(A1111,""LOW"")"),428.0)</f>
        <v>428</v>
      </c>
      <c r="F1111" s="15" t="str">
        <f t="shared" si="8"/>
        <v>BUY</v>
      </c>
      <c r="G1111" s="16">
        <f>IFERROR(__xludf.DUMMYFUNCTION("GOOGLEFINANCE(A1111,""CLOSEYEST"")"),428.75)</f>
        <v>428.75</v>
      </c>
      <c r="H1111" s="17" t="str">
        <f t="shared" si="14"/>
        <v/>
      </c>
      <c r="I1111" s="18">
        <f t="shared" si="9"/>
        <v>437.5833333</v>
      </c>
      <c r="J1111" s="19">
        <f t="shared" si="10"/>
        <v>447.1666667</v>
      </c>
      <c r="K1111" s="19"/>
      <c r="L1111" s="19">
        <f t="shared" si="11"/>
        <v>419.1666667</v>
      </c>
      <c r="M1111" s="19">
        <f t="shared" si="12"/>
        <v>465.5833333</v>
      </c>
      <c r="N1111" s="19">
        <f t="shared" si="13"/>
        <v>409.5833333</v>
      </c>
    </row>
    <row r="1112" ht="24.75" customHeight="1">
      <c r="A1112" s="21" t="s">
        <v>1075</v>
      </c>
      <c r="B1112" s="13">
        <f>IFERROR(__xludf.DUMMYFUNCTION("GOOGLEFINANCE(A1112,""PRICE"")"),190.9)</f>
        <v>190.9</v>
      </c>
      <c r="C1112" s="14">
        <f>IFERROR(__xludf.DUMMYFUNCTION("GOOGLEFINANCE(A1112,""PRICEOPEN"")"),191.29)</f>
        <v>191.29</v>
      </c>
      <c r="D1112" s="14">
        <f>IFERROR(__xludf.DUMMYFUNCTION("GOOGLEFINANCE(A1112,""HIGH"")"),194.39)</f>
        <v>194.39</v>
      </c>
      <c r="E1112" s="14">
        <f>IFERROR(__xludf.DUMMYFUNCTION("GOOGLEFINANCE(A1112,""LOW"")"),187.5)</f>
        <v>187.5</v>
      </c>
      <c r="F1112" s="15" t="str">
        <f t="shared" si="8"/>
        <v/>
      </c>
      <c r="G1112" s="16">
        <f>IFERROR(__xludf.DUMMYFUNCTION("GOOGLEFINANCE(A1112,""CLOSEYEST"")"),189.86)</f>
        <v>189.86</v>
      </c>
      <c r="H1112" s="17" t="str">
        <f t="shared" si="14"/>
        <v/>
      </c>
      <c r="I1112" s="18">
        <f t="shared" si="9"/>
        <v>190.5833333</v>
      </c>
      <c r="J1112" s="19">
        <f t="shared" si="10"/>
        <v>193.6666667</v>
      </c>
      <c r="K1112" s="19"/>
      <c r="L1112" s="19">
        <f t="shared" si="11"/>
        <v>186.7766667</v>
      </c>
      <c r="M1112" s="19">
        <f t="shared" si="12"/>
        <v>197.4733333</v>
      </c>
      <c r="N1112" s="19">
        <f t="shared" si="13"/>
        <v>183.6933333</v>
      </c>
    </row>
    <row r="1113" ht="24.75" customHeight="1">
      <c r="A1113" s="21" t="s">
        <v>1076</v>
      </c>
      <c r="B1113" s="13">
        <f>IFERROR(__xludf.DUMMYFUNCTION("GOOGLEFINANCE(A1113,""PRICE"")"),55.3)</f>
        <v>55.3</v>
      </c>
      <c r="C1113" s="14">
        <f>IFERROR(__xludf.DUMMYFUNCTION("GOOGLEFINANCE(A1113,""PRICEOPEN"")"),53.6)</f>
        <v>53.6</v>
      </c>
      <c r="D1113" s="14">
        <f>IFERROR(__xludf.DUMMYFUNCTION("GOOGLEFINANCE(A1113,""HIGH"")"),56.95)</f>
        <v>56.95</v>
      </c>
      <c r="E1113" s="14">
        <f>IFERROR(__xludf.DUMMYFUNCTION("GOOGLEFINANCE(A1113,""LOW"")"),53.01)</f>
        <v>53.01</v>
      </c>
      <c r="F1113" s="15" t="str">
        <f t="shared" si="8"/>
        <v/>
      </c>
      <c r="G1113" s="16">
        <f>IFERROR(__xludf.DUMMYFUNCTION("GOOGLEFINANCE(A1113,""CLOSEYEST"")"),53.23)</f>
        <v>53.23</v>
      </c>
      <c r="H1113" s="17" t="str">
        <f t="shared" si="14"/>
        <v/>
      </c>
      <c r="I1113" s="18">
        <f t="shared" si="9"/>
        <v>54.39666667</v>
      </c>
      <c r="J1113" s="19">
        <f t="shared" si="10"/>
        <v>55.78333333</v>
      </c>
      <c r="K1113" s="19"/>
      <c r="L1113" s="19">
        <f t="shared" si="11"/>
        <v>51.84333333</v>
      </c>
      <c r="M1113" s="19">
        <f t="shared" si="12"/>
        <v>58.33666667</v>
      </c>
      <c r="N1113" s="19">
        <f t="shared" si="13"/>
        <v>50.45666667</v>
      </c>
    </row>
    <row r="1114" ht="24.75" customHeight="1">
      <c r="A1114" s="21" t="s">
        <v>1077</v>
      </c>
      <c r="B1114" s="13">
        <f>IFERROR(__xludf.DUMMYFUNCTION("GOOGLEFINANCE(A1114,""PRICE"")"),3.39)</f>
        <v>3.39</v>
      </c>
      <c r="C1114" s="14">
        <f>IFERROR(__xludf.DUMMYFUNCTION("GOOGLEFINANCE(A1114,""PRICEOPEN"")"),3.35)</f>
        <v>3.35</v>
      </c>
      <c r="D1114" s="14">
        <f>IFERROR(__xludf.DUMMYFUNCTION("GOOGLEFINANCE(A1114,""HIGH"")"),3.4)</f>
        <v>3.4</v>
      </c>
      <c r="E1114" s="14">
        <f>IFERROR(__xludf.DUMMYFUNCTION("GOOGLEFINANCE(A1114,""LOW"")"),3.33)</f>
        <v>3.33</v>
      </c>
      <c r="F1114" s="15" t="str">
        <f t="shared" si="8"/>
        <v/>
      </c>
      <c r="G1114" s="16">
        <f>IFERROR(__xludf.DUMMYFUNCTION("GOOGLEFINANCE(A1114,""CLOSEYEST"")"),3.34)</f>
        <v>3.34</v>
      </c>
      <c r="H1114" s="17" t="str">
        <f t="shared" si="14"/>
        <v/>
      </c>
      <c r="I1114" s="18">
        <f t="shared" si="9"/>
        <v>3.356666667</v>
      </c>
      <c r="J1114" s="19">
        <f t="shared" si="10"/>
        <v>3.383333333</v>
      </c>
      <c r="K1114" s="19"/>
      <c r="L1114" s="19">
        <f t="shared" si="11"/>
        <v>3.313333333</v>
      </c>
      <c r="M1114" s="19">
        <f t="shared" si="12"/>
        <v>3.426666667</v>
      </c>
      <c r="N1114" s="19">
        <f t="shared" si="13"/>
        <v>3.286666667</v>
      </c>
    </row>
    <row r="1115" ht="24.75" customHeight="1">
      <c r="A1115" s="21" t="s">
        <v>1078</v>
      </c>
      <c r="B1115" s="13">
        <f>IFERROR(__xludf.DUMMYFUNCTION("GOOGLEFINANCE(A1115,""PRICE"")"),941.75)</f>
        <v>941.75</v>
      </c>
      <c r="C1115" s="14">
        <f>IFERROR(__xludf.DUMMYFUNCTION("GOOGLEFINANCE(A1115,""PRICEOPEN"")"),942.0)</f>
        <v>942</v>
      </c>
      <c r="D1115" s="14">
        <f>IFERROR(__xludf.DUMMYFUNCTION("GOOGLEFINANCE(A1115,""HIGH"")"),951.0)</f>
        <v>951</v>
      </c>
      <c r="E1115" s="14">
        <f>IFERROR(__xludf.DUMMYFUNCTION("GOOGLEFINANCE(A1115,""LOW"")"),936.5)</f>
        <v>936.5</v>
      </c>
      <c r="F1115" s="15" t="str">
        <f t="shared" si="8"/>
        <v/>
      </c>
      <c r="G1115" s="16">
        <f>IFERROR(__xludf.DUMMYFUNCTION("GOOGLEFINANCE(A1115,""CLOSEYEST"")"),949.55)</f>
        <v>949.55</v>
      </c>
      <c r="H1115" s="17" t="str">
        <f t="shared" si="14"/>
        <v/>
      </c>
      <c r="I1115" s="18">
        <f t="shared" si="9"/>
        <v>945.6833333</v>
      </c>
      <c r="J1115" s="19">
        <f t="shared" si="10"/>
        <v>954.8666667</v>
      </c>
      <c r="K1115" s="19"/>
      <c r="L1115" s="19">
        <f t="shared" si="11"/>
        <v>940.3666667</v>
      </c>
      <c r="M1115" s="19">
        <f t="shared" si="12"/>
        <v>960.1833333</v>
      </c>
      <c r="N1115" s="19">
        <f t="shared" si="13"/>
        <v>931.1833333</v>
      </c>
    </row>
    <row r="1116" ht="24.75" customHeight="1">
      <c r="A1116" s="21" t="s">
        <v>1079</v>
      </c>
      <c r="B1116" s="13">
        <f>IFERROR(__xludf.DUMMYFUNCTION("GOOGLEFINANCE(A1116,""PRICE"")"),12.66)</f>
        <v>12.66</v>
      </c>
      <c r="C1116" s="14">
        <f>IFERROR(__xludf.DUMMYFUNCTION("GOOGLEFINANCE(A1116,""PRICEOPEN"")"),12.66)</f>
        <v>12.66</v>
      </c>
      <c r="D1116" s="14">
        <f>IFERROR(__xludf.DUMMYFUNCTION("GOOGLEFINANCE(A1116,""HIGH"")"),12.66)</f>
        <v>12.66</v>
      </c>
      <c r="E1116" s="14">
        <f>IFERROR(__xludf.DUMMYFUNCTION("GOOGLEFINANCE(A1116,""LOW"")"),12.66)</f>
        <v>12.66</v>
      </c>
      <c r="F1116" s="15" t="str">
        <f t="shared" si="8"/>
        <v>SELL</v>
      </c>
      <c r="G1116" s="16">
        <f>IFERROR(__xludf.DUMMYFUNCTION("GOOGLEFINANCE(A1116,""CLOSEYEST"")"),12.06)</f>
        <v>12.06</v>
      </c>
      <c r="H1116" s="17" t="str">
        <f t="shared" si="14"/>
        <v>GAP UP</v>
      </c>
      <c r="I1116" s="18">
        <f t="shared" si="9"/>
        <v>12.46</v>
      </c>
      <c r="J1116" s="19">
        <f t="shared" si="10"/>
        <v>12.26</v>
      </c>
      <c r="K1116" s="19"/>
      <c r="L1116" s="19">
        <f t="shared" si="11"/>
        <v>12.26</v>
      </c>
      <c r="M1116" s="19">
        <f t="shared" si="12"/>
        <v>12.46</v>
      </c>
      <c r="N1116" s="19">
        <f t="shared" si="13"/>
        <v>12.46</v>
      </c>
    </row>
    <row r="1117" ht="24.75" customHeight="1">
      <c r="A1117" s="21" t="s">
        <v>1080</v>
      </c>
      <c r="B1117" s="13">
        <f>IFERROR(__xludf.DUMMYFUNCTION("GOOGLEFINANCE(A1117,""PRICE"")"),240.0)</f>
        <v>240</v>
      </c>
      <c r="C1117" s="14">
        <f>IFERROR(__xludf.DUMMYFUNCTION("GOOGLEFINANCE(A1117,""PRICEOPEN"")"),241.69)</f>
        <v>241.69</v>
      </c>
      <c r="D1117" s="14">
        <f>IFERROR(__xludf.DUMMYFUNCTION("GOOGLEFINANCE(A1117,""HIGH"")"),241.69)</f>
        <v>241.69</v>
      </c>
      <c r="E1117" s="14">
        <f>IFERROR(__xludf.DUMMYFUNCTION("GOOGLEFINANCE(A1117,""LOW"")"),234.0)</f>
        <v>234</v>
      </c>
      <c r="F1117" s="15" t="str">
        <f t="shared" si="8"/>
        <v>SELL</v>
      </c>
      <c r="G1117" s="16">
        <f>IFERROR(__xludf.DUMMYFUNCTION("GOOGLEFINANCE(A1117,""CLOSEYEST"")"),236.89)</f>
        <v>236.89</v>
      </c>
      <c r="H1117" s="17" t="str">
        <f t="shared" si="14"/>
        <v>GAP UP</v>
      </c>
      <c r="I1117" s="18">
        <f t="shared" si="9"/>
        <v>237.5266667</v>
      </c>
      <c r="J1117" s="19">
        <f t="shared" si="10"/>
        <v>241.0533333</v>
      </c>
      <c r="K1117" s="19"/>
      <c r="L1117" s="19">
        <f t="shared" si="11"/>
        <v>233.3633333</v>
      </c>
      <c r="M1117" s="19">
        <f t="shared" si="12"/>
        <v>245.2166667</v>
      </c>
      <c r="N1117" s="19">
        <f t="shared" si="13"/>
        <v>229.8366667</v>
      </c>
    </row>
    <row r="1118" ht="24.75" customHeight="1">
      <c r="A1118" s="21" t="s">
        <v>1081</v>
      </c>
      <c r="B1118" s="13">
        <f>IFERROR(__xludf.DUMMYFUNCTION("GOOGLEFINANCE(A1118,""PRICE"")"),2.22)</f>
        <v>2.22</v>
      </c>
      <c r="C1118" s="14">
        <f>IFERROR(__xludf.DUMMYFUNCTION("GOOGLEFINANCE(A1118,""PRICEOPEN"")"),2.2)</f>
        <v>2.2</v>
      </c>
      <c r="D1118" s="14">
        <f>IFERROR(__xludf.DUMMYFUNCTION("GOOGLEFINANCE(A1118,""HIGH"")"),2.22)</f>
        <v>2.22</v>
      </c>
      <c r="E1118" s="14">
        <f>IFERROR(__xludf.DUMMYFUNCTION("GOOGLEFINANCE(A1118,""LOW"")"),2.19)</f>
        <v>2.19</v>
      </c>
      <c r="F1118" s="15" t="str">
        <f t="shared" si="8"/>
        <v/>
      </c>
      <c r="G1118" s="16">
        <f>IFERROR(__xludf.DUMMYFUNCTION("GOOGLEFINANCE(A1118,""CLOSEYEST"")"),2.2)</f>
        <v>2.2</v>
      </c>
      <c r="H1118" s="17" t="str">
        <f t="shared" si="14"/>
        <v/>
      </c>
      <c r="I1118" s="18">
        <f t="shared" si="9"/>
        <v>2.203333333</v>
      </c>
      <c r="J1118" s="19">
        <f t="shared" si="10"/>
        <v>2.216666667</v>
      </c>
      <c r="K1118" s="19"/>
      <c r="L1118" s="19">
        <f t="shared" si="11"/>
        <v>2.186666667</v>
      </c>
      <c r="M1118" s="19">
        <f t="shared" si="12"/>
        <v>2.233333333</v>
      </c>
      <c r="N1118" s="19">
        <f t="shared" si="13"/>
        <v>2.173333333</v>
      </c>
    </row>
    <row r="1119" ht="24.75" customHeight="1">
      <c r="A1119" s="21" t="s">
        <v>1082</v>
      </c>
      <c r="B1119" s="13">
        <f>IFERROR(__xludf.DUMMYFUNCTION("GOOGLEFINANCE(A1119,""PRICE"")"),274.0)</f>
        <v>274</v>
      </c>
      <c r="C1119" s="14">
        <f>IFERROR(__xludf.DUMMYFUNCTION("GOOGLEFINANCE(A1119,""PRICEOPEN"")"),238.0)</f>
        <v>238</v>
      </c>
      <c r="D1119" s="14">
        <f>IFERROR(__xludf.DUMMYFUNCTION("GOOGLEFINANCE(A1119,""HIGH"")"),274.8)</f>
        <v>274.8</v>
      </c>
      <c r="E1119" s="14">
        <f>IFERROR(__xludf.DUMMYFUNCTION("GOOGLEFINANCE(A1119,""LOW"")"),236.05)</f>
        <v>236.05</v>
      </c>
      <c r="F1119" s="15" t="str">
        <f t="shared" si="8"/>
        <v/>
      </c>
      <c r="G1119" s="16">
        <f>IFERROR(__xludf.DUMMYFUNCTION("GOOGLEFINANCE(A1119,""CLOSEYEST"")"),231.57)</f>
        <v>231.57</v>
      </c>
      <c r="H1119" s="17" t="str">
        <f t="shared" si="14"/>
        <v>GAP UP</v>
      </c>
      <c r="I1119" s="18">
        <f t="shared" si="9"/>
        <v>247.4733333</v>
      </c>
      <c r="J1119" s="19">
        <f t="shared" si="10"/>
        <v>258.8966667</v>
      </c>
      <c r="K1119" s="19"/>
      <c r="L1119" s="19">
        <f t="shared" si="11"/>
        <v>220.1466667</v>
      </c>
      <c r="M1119" s="19">
        <f t="shared" si="12"/>
        <v>286.2233333</v>
      </c>
      <c r="N1119" s="19">
        <f t="shared" si="13"/>
        <v>208.7233333</v>
      </c>
    </row>
    <row r="1120" ht="24.75" customHeight="1">
      <c r="A1120" s="21" t="s">
        <v>1083</v>
      </c>
      <c r="B1120" s="13">
        <f>IFERROR(__xludf.DUMMYFUNCTION("GOOGLEFINANCE(A1120,""PRICE"")"),61.6)</f>
        <v>61.6</v>
      </c>
      <c r="C1120" s="14">
        <f>IFERROR(__xludf.DUMMYFUNCTION("GOOGLEFINANCE(A1120,""PRICEOPEN"")"),61.35)</f>
        <v>61.35</v>
      </c>
      <c r="D1120" s="14">
        <f>IFERROR(__xludf.DUMMYFUNCTION("GOOGLEFINANCE(A1120,""HIGH"")"),61.99)</f>
        <v>61.99</v>
      </c>
      <c r="E1120" s="14">
        <f>IFERROR(__xludf.DUMMYFUNCTION("GOOGLEFINANCE(A1120,""LOW"")"),61.3)</f>
        <v>61.3</v>
      </c>
      <c r="F1120" s="15" t="str">
        <f t="shared" si="8"/>
        <v/>
      </c>
      <c r="G1120" s="16">
        <f>IFERROR(__xludf.DUMMYFUNCTION("GOOGLEFINANCE(A1120,""CLOSEYEST"")"),61.31)</f>
        <v>61.31</v>
      </c>
      <c r="H1120" s="17" t="str">
        <f t="shared" si="14"/>
        <v/>
      </c>
      <c r="I1120" s="18">
        <f t="shared" si="9"/>
        <v>61.53333333</v>
      </c>
      <c r="J1120" s="19">
        <f t="shared" si="10"/>
        <v>61.76666667</v>
      </c>
      <c r="K1120" s="19"/>
      <c r="L1120" s="19">
        <f t="shared" si="11"/>
        <v>61.07666667</v>
      </c>
      <c r="M1120" s="19">
        <f t="shared" si="12"/>
        <v>62.22333333</v>
      </c>
      <c r="N1120" s="19">
        <f t="shared" si="13"/>
        <v>60.84333333</v>
      </c>
    </row>
    <row r="1121" ht="24.75" customHeight="1">
      <c r="A1121" s="21" t="s">
        <v>1084</v>
      </c>
      <c r="B1121" s="13" t="str">
        <f>IFERROR(__xludf.DUMMYFUNCTION("GOOGLEFINANCE(A1121,""PRICE"")"),"#N/A")</f>
        <v>#N/A</v>
      </c>
      <c r="C1121" s="14" t="str">
        <f>IFERROR(__xludf.DUMMYFUNCTION("GOOGLEFINANCE(A1121,""PRICEOPEN"")"),"#N/A")</f>
        <v>#N/A</v>
      </c>
      <c r="D1121" s="14" t="str">
        <f>IFERROR(__xludf.DUMMYFUNCTION("GOOGLEFINANCE(A1121,""HIGH"")"),"#N/A")</f>
        <v>#N/A</v>
      </c>
      <c r="E1121" s="14" t="str">
        <f>IFERROR(__xludf.DUMMYFUNCTION("GOOGLEFINANCE(A1121,""LOW"")"),"#N/A")</f>
        <v>#N/A</v>
      </c>
      <c r="F1121" s="15" t="str">
        <f t="shared" si="8"/>
        <v>#N/A</v>
      </c>
      <c r="G1121" s="16" t="str">
        <f>IFERROR(__xludf.DUMMYFUNCTION("GOOGLEFINANCE(A1121,""CLOSEYEST"")"),"#N/A")</f>
        <v>#N/A</v>
      </c>
      <c r="H1121" s="17" t="str">
        <f t="shared" si="14"/>
        <v>#N/A</v>
      </c>
      <c r="I1121" s="18" t="str">
        <f t="shared" si="9"/>
        <v>#N/A</v>
      </c>
      <c r="J1121" s="19" t="str">
        <f t="shared" si="10"/>
        <v>#N/A</v>
      </c>
      <c r="K1121" s="19"/>
      <c r="L1121" s="19" t="str">
        <f t="shared" si="11"/>
        <v>#N/A</v>
      </c>
      <c r="M1121" s="19" t="str">
        <f t="shared" si="12"/>
        <v>#N/A</v>
      </c>
      <c r="N1121" s="19" t="str">
        <f t="shared" si="13"/>
        <v>#N/A</v>
      </c>
    </row>
    <row r="1122" ht="24.75" customHeight="1">
      <c r="A1122" s="21" t="s">
        <v>1085</v>
      </c>
      <c r="B1122" s="13">
        <f>IFERROR(__xludf.DUMMYFUNCTION("GOOGLEFINANCE(A1122,""PRICE"")"),85.24)</f>
        <v>85.24</v>
      </c>
      <c r="C1122" s="14">
        <f>IFERROR(__xludf.DUMMYFUNCTION("GOOGLEFINANCE(A1122,""PRICEOPEN"")"),85.1)</f>
        <v>85.1</v>
      </c>
      <c r="D1122" s="14">
        <f>IFERROR(__xludf.DUMMYFUNCTION("GOOGLEFINANCE(A1122,""HIGH"")"),85.92)</f>
        <v>85.92</v>
      </c>
      <c r="E1122" s="14">
        <f>IFERROR(__xludf.DUMMYFUNCTION("GOOGLEFINANCE(A1122,""LOW"")"),83.95)</f>
        <v>83.95</v>
      </c>
      <c r="F1122" s="15" t="str">
        <f t="shared" si="8"/>
        <v/>
      </c>
      <c r="G1122" s="16">
        <f>IFERROR(__xludf.DUMMYFUNCTION("GOOGLEFINANCE(A1122,""CLOSEYEST"")"),85.06)</f>
        <v>85.06</v>
      </c>
      <c r="H1122" s="17" t="str">
        <f t="shared" si="14"/>
        <v/>
      </c>
      <c r="I1122" s="18">
        <f t="shared" si="9"/>
        <v>84.97666667</v>
      </c>
      <c r="J1122" s="19">
        <f t="shared" si="10"/>
        <v>86.00333333</v>
      </c>
      <c r="K1122" s="19"/>
      <c r="L1122" s="19">
        <f t="shared" si="11"/>
        <v>84.03333333</v>
      </c>
      <c r="M1122" s="19">
        <f t="shared" si="12"/>
        <v>86.94666667</v>
      </c>
      <c r="N1122" s="19">
        <f t="shared" si="13"/>
        <v>83.00666667</v>
      </c>
    </row>
    <row r="1123" ht="24.75" customHeight="1">
      <c r="A1123" s="21" t="s">
        <v>1086</v>
      </c>
      <c r="B1123" s="13">
        <f>IFERROR(__xludf.DUMMYFUNCTION("GOOGLEFINANCE(A1123,""PRICE"")"),1.3)</f>
        <v>1.3</v>
      </c>
      <c r="C1123" s="14">
        <f>IFERROR(__xludf.DUMMYFUNCTION("GOOGLEFINANCE(A1123,""PRICEOPEN"")"),1.23)</f>
        <v>1.23</v>
      </c>
      <c r="D1123" s="14">
        <f>IFERROR(__xludf.DUMMYFUNCTION("GOOGLEFINANCE(A1123,""HIGH"")"),1.3)</f>
        <v>1.3</v>
      </c>
      <c r="E1123" s="14">
        <f>IFERROR(__xludf.DUMMYFUNCTION("GOOGLEFINANCE(A1123,""LOW"")"),1.22)</f>
        <v>1.22</v>
      </c>
      <c r="F1123" s="15" t="str">
        <f t="shared" si="8"/>
        <v/>
      </c>
      <c r="G1123" s="16">
        <f>IFERROR(__xludf.DUMMYFUNCTION("GOOGLEFINANCE(A1123,""CLOSEYEST"")"),1.24)</f>
        <v>1.24</v>
      </c>
      <c r="H1123" s="17" t="str">
        <f t="shared" si="14"/>
        <v/>
      </c>
      <c r="I1123" s="18">
        <f t="shared" si="9"/>
        <v>1.253333333</v>
      </c>
      <c r="J1123" s="19">
        <f t="shared" si="10"/>
        <v>1.286666667</v>
      </c>
      <c r="K1123" s="19"/>
      <c r="L1123" s="19">
        <f t="shared" si="11"/>
        <v>1.206666667</v>
      </c>
      <c r="M1123" s="19">
        <f t="shared" si="12"/>
        <v>1.333333333</v>
      </c>
      <c r="N1123" s="19">
        <f t="shared" si="13"/>
        <v>1.173333333</v>
      </c>
    </row>
    <row r="1124" ht="24.75" customHeight="1">
      <c r="A1124" s="21" t="s">
        <v>1087</v>
      </c>
      <c r="B1124" s="13">
        <f>IFERROR(__xludf.DUMMYFUNCTION("GOOGLEFINANCE(A1124,""PRICE"")"),97.9)</f>
        <v>97.9</v>
      </c>
      <c r="C1124" s="14">
        <f>IFERROR(__xludf.DUMMYFUNCTION("GOOGLEFINANCE(A1124,""PRICEOPEN"")"),98.89)</f>
        <v>98.89</v>
      </c>
      <c r="D1124" s="14">
        <f>IFERROR(__xludf.DUMMYFUNCTION("GOOGLEFINANCE(A1124,""HIGH"")"),98.9)</f>
        <v>98.9</v>
      </c>
      <c r="E1124" s="14">
        <f>IFERROR(__xludf.DUMMYFUNCTION("GOOGLEFINANCE(A1124,""LOW"")"),96.2)</f>
        <v>96.2</v>
      </c>
      <c r="F1124" s="15" t="str">
        <f t="shared" si="8"/>
        <v/>
      </c>
      <c r="G1124" s="16">
        <f>IFERROR(__xludf.DUMMYFUNCTION("GOOGLEFINANCE(A1124,""CLOSEYEST"")"),97.23)</f>
        <v>97.23</v>
      </c>
      <c r="H1124" s="17" t="str">
        <f t="shared" si="14"/>
        <v>GAP UP</v>
      </c>
      <c r="I1124" s="18">
        <f t="shared" si="9"/>
        <v>97.44333333</v>
      </c>
      <c r="J1124" s="19">
        <f t="shared" si="10"/>
        <v>98.68666667</v>
      </c>
      <c r="K1124" s="19"/>
      <c r="L1124" s="19">
        <f t="shared" si="11"/>
        <v>95.98666667</v>
      </c>
      <c r="M1124" s="19">
        <f t="shared" si="12"/>
        <v>100.1433333</v>
      </c>
      <c r="N1124" s="19">
        <f t="shared" si="13"/>
        <v>94.74333333</v>
      </c>
    </row>
    <row r="1125" ht="24.75" customHeight="1">
      <c r="A1125" s="21" t="s">
        <v>1088</v>
      </c>
      <c r="B1125" s="13">
        <f>IFERROR(__xludf.DUMMYFUNCTION("GOOGLEFINANCE(A1125,""PRICE"")"),820.0)</f>
        <v>820</v>
      </c>
      <c r="C1125" s="14">
        <f>IFERROR(__xludf.DUMMYFUNCTION("GOOGLEFINANCE(A1125,""PRICEOPEN"")"),800.5)</f>
        <v>800.5</v>
      </c>
      <c r="D1125" s="14">
        <f>IFERROR(__xludf.DUMMYFUNCTION("GOOGLEFINANCE(A1125,""HIGH"")"),829.7)</f>
        <v>829.7</v>
      </c>
      <c r="E1125" s="14">
        <f>IFERROR(__xludf.DUMMYFUNCTION("GOOGLEFINANCE(A1125,""LOW"")"),792.6)</f>
        <v>792.6</v>
      </c>
      <c r="F1125" s="15" t="str">
        <f t="shared" si="8"/>
        <v/>
      </c>
      <c r="G1125" s="16">
        <f>IFERROR(__xludf.DUMMYFUNCTION("GOOGLEFINANCE(A1125,""CLOSEYEST"")"),790.0)</f>
        <v>790</v>
      </c>
      <c r="H1125" s="17" t="str">
        <f t="shared" si="14"/>
        <v>GAP UP</v>
      </c>
      <c r="I1125" s="18">
        <f t="shared" si="9"/>
        <v>804.1</v>
      </c>
      <c r="J1125" s="19">
        <f t="shared" si="10"/>
        <v>815.6</v>
      </c>
      <c r="K1125" s="19"/>
      <c r="L1125" s="19">
        <f t="shared" si="11"/>
        <v>778.5</v>
      </c>
      <c r="M1125" s="19">
        <f t="shared" si="12"/>
        <v>841.2</v>
      </c>
      <c r="N1125" s="19">
        <f t="shared" si="13"/>
        <v>767</v>
      </c>
    </row>
    <row r="1126" ht="24.75" customHeight="1">
      <c r="A1126" s="21" t="s">
        <v>1089</v>
      </c>
      <c r="B1126" s="13">
        <f>IFERROR(__xludf.DUMMYFUNCTION("GOOGLEFINANCE(A1126,""PRICE"")"),91.55)</f>
        <v>91.55</v>
      </c>
      <c r="C1126" s="14">
        <f>IFERROR(__xludf.DUMMYFUNCTION("GOOGLEFINANCE(A1126,""PRICEOPEN"")"),90.8)</f>
        <v>90.8</v>
      </c>
      <c r="D1126" s="14">
        <f>IFERROR(__xludf.DUMMYFUNCTION("GOOGLEFINANCE(A1126,""HIGH"")"),91.95)</f>
        <v>91.95</v>
      </c>
      <c r="E1126" s="14">
        <f>IFERROR(__xludf.DUMMYFUNCTION("GOOGLEFINANCE(A1126,""LOW"")"),90.0)</f>
        <v>90</v>
      </c>
      <c r="F1126" s="15" t="str">
        <f t="shared" si="8"/>
        <v/>
      </c>
      <c r="G1126" s="16">
        <f>IFERROR(__xludf.DUMMYFUNCTION("GOOGLEFINANCE(A1126,""CLOSEYEST"")"),90.81)</f>
        <v>90.81</v>
      </c>
      <c r="H1126" s="17" t="str">
        <f t="shared" si="14"/>
        <v/>
      </c>
      <c r="I1126" s="18">
        <f t="shared" si="9"/>
        <v>90.92</v>
      </c>
      <c r="J1126" s="19">
        <f t="shared" si="10"/>
        <v>91.84</v>
      </c>
      <c r="K1126" s="19"/>
      <c r="L1126" s="19">
        <f t="shared" si="11"/>
        <v>89.89</v>
      </c>
      <c r="M1126" s="19">
        <f t="shared" si="12"/>
        <v>92.87</v>
      </c>
      <c r="N1126" s="19">
        <f t="shared" si="13"/>
        <v>88.97</v>
      </c>
    </row>
    <row r="1127" ht="24.75" customHeight="1">
      <c r="A1127" s="21" t="s">
        <v>1090</v>
      </c>
      <c r="B1127" s="13">
        <f>IFERROR(__xludf.DUMMYFUNCTION("GOOGLEFINANCE(A1127,""PRICE"")"),187.5)</f>
        <v>187.5</v>
      </c>
      <c r="C1127" s="14">
        <f>IFERROR(__xludf.DUMMYFUNCTION("GOOGLEFINANCE(A1127,""PRICEOPEN"")"),185.64)</f>
        <v>185.64</v>
      </c>
      <c r="D1127" s="14">
        <f>IFERROR(__xludf.DUMMYFUNCTION("GOOGLEFINANCE(A1127,""HIGH"")"),189.02)</f>
        <v>189.02</v>
      </c>
      <c r="E1127" s="14">
        <f>IFERROR(__xludf.DUMMYFUNCTION("GOOGLEFINANCE(A1127,""LOW"")"),185.64)</f>
        <v>185.64</v>
      </c>
      <c r="F1127" s="15" t="str">
        <f t="shared" si="8"/>
        <v>BUY</v>
      </c>
      <c r="G1127" s="16">
        <f>IFERROR(__xludf.DUMMYFUNCTION("GOOGLEFINANCE(A1127,""CLOSEYEST"")"),185.64)</f>
        <v>185.64</v>
      </c>
      <c r="H1127" s="17" t="str">
        <f t="shared" si="14"/>
        <v/>
      </c>
      <c r="I1127" s="18">
        <f t="shared" si="9"/>
        <v>186.7666667</v>
      </c>
      <c r="J1127" s="19">
        <f t="shared" si="10"/>
        <v>187.8933333</v>
      </c>
      <c r="K1127" s="19"/>
      <c r="L1127" s="19">
        <f t="shared" si="11"/>
        <v>184.5133333</v>
      </c>
      <c r="M1127" s="19">
        <f t="shared" si="12"/>
        <v>190.1466667</v>
      </c>
      <c r="N1127" s="19">
        <f t="shared" si="13"/>
        <v>183.3866667</v>
      </c>
    </row>
    <row r="1128" ht="24.75" customHeight="1">
      <c r="A1128" s="21" t="s">
        <v>1091</v>
      </c>
      <c r="B1128" s="13" t="str">
        <f>IFERROR(__xludf.DUMMYFUNCTION("GOOGLEFINANCE(A1128,""PRICE"")"),"#N/A")</f>
        <v>#N/A</v>
      </c>
      <c r="C1128" s="14" t="str">
        <f>IFERROR(__xludf.DUMMYFUNCTION("GOOGLEFINANCE(A1128,""PRICEOPEN"")"),"#N/A")</f>
        <v>#N/A</v>
      </c>
      <c r="D1128" s="14" t="str">
        <f>IFERROR(__xludf.DUMMYFUNCTION("GOOGLEFINANCE(A1128,""HIGH"")"),"#N/A")</f>
        <v>#N/A</v>
      </c>
      <c r="E1128" s="14" t="str">
        <f>IFERROR(__xludf.DUMMYFUNCTION("GOOGLEFINANCE(A1128,""LOW"")"),"#N/A")</f>
        <v>#N/A</v>
      </c>
      <c r="F1128" s="15" t="str">
        <f t="shared" si="8"/>
        <v>#N/A</v>
      </c>
      <c r="G1128" s="16" t="str">
        <f>IFERROR(__xludf.DUMMYFUNCTION("GOOGLEFINANCE(A1128,""CLOSEYEST"")"),"#N/A")</f>
        <v>#N/A</v>
      </c>
      <c r="H1128" s="17" t="str">
        <f t="shared" si="14"/>
        <v>#N/A</v>
      </c>
      <c r="I1128" s="18" t="str">
        <f t="shared" si="9"/>
        <v>#N/A</v>
      </c>
      <c r="J1128" s="19" t="str">
        <f t="shared" si="10"/>
        <v>#N/A</v>
      </c>
      <c r="K1128" s="19"/>
      <c r="L1128" s="19" t="str">
        <f t="shared" si="11"/>
        <v>#N/A</v>
      </c>
      <c r="M1128" s="19" t="str">
        <f t="shared" si="12"/>
        <v>#N/A</v>
      </c>
      <c r="N1128" s="19" t="str">
        <f t="shared" si="13"/>
        <v>#N/A</v>
      </c>
    </row>
    <row r="1129" ht="24.75" customHeight="1">
      <c r="A1129" s="21" t="s">
        <v>1092</v>
      </c>
      <c r="B1129" s="13">
        <f>IFERROR(__xludf.DUMMYFUNCTION("GOOGLEFINANCE(A1129,""PRICE"")"),109.99)</f>
        <v>109.99</v>
      </c>
      <c r="C1129" s="14">
        <f>IFERROR(__xludf.DUMMYFUNCTION("GOOGLEFINANCE(A1129,""PRICEOPEN"")"),110.69)</f>
        <v>110.69</v>
      </c>
      <c r="D1129" s="14">
        <f>IFERROR(__xludf.DUMMYFUNCTION("GOOGLEFINANCE(A1129,""HIGH"")"),111.0)</f>
        <v>111</v>
      </c>
      <c r="E1129" s="14">
        <f>IFERROR(__xludf.DUMMYFUNCTION("GOOGLEFINANCE(A1129,""LOW"")"),109.0)</f>
        <v>109</v>
      </c>
      <c r="F1129" s="15" t="str">
        <f t="shared" si="8"/>
        <v/>
      </c>
      <c r="G1129" s="16">
        <f>IFERROR(__xludf.DUMMYFUNCTION("GOOGLEFINANCE(A1129,""CLOSEYEST"")"),110.42)</f>
        <v>110.42</v>
      </c>
      <c r="H1129" s="17" t="str">
        <f t="shared" si="14"/>
        <v/>
      </c>
      <c r="I1129" s="18">
        <f t="shared" si="9"/>
        <v>110.14</v>
      </c>
      <c r="J1129" s="19">
        <f t="shared" si="10"/>
        <v>111.28</v>
      </c>
      <c r="K1129" s="19"/>
      <c r="L1129" s="19">
        <f t="shared" si="11"/>
        <v>109.28</v>
      </c>
      <c r="M1129" s="19">
        <f t="shared" si="12"/>
        <v>112.14</v>
      </c>
      <c r="N1129" s="19">
        <f t="shared" si="13"/>
        <v>108.14</v>
      </c>
    </row>
    <row r="1130" ht="24.75" customHeight="1">
      <c r="A1130" s="21" t="s">
        <v>1093</v>
      </c>
      <c r="B1130" s="13">
        <f>IFERROR(__xludf.DUMMYFUNCTION("GOOGLEFINANCE(A1130,""PRICE"")"),93.26)</f>
        <v>93.26</v>
      </c>
      <c r="C1130" s="14">
        <f>IFERROR(__xludf.DUMMYFUNCTION("GOOGLEFINANCE(A1130,""PRICEOPEN"")"),94.2)</f>
        <v>94.2</v>
      </c>
      <c r="D1130" s="14">
        <f>IFERROR(__xludf.DUMMYFUNCTION("GOOGLEFINANCE(A1130,""HIGH"")"),94.59)</f>
        <v>94.59</v>
      </c>
      <c r="E1130" s="14">
        <f>IFERROR(__xludf.DUMMYFUNCTION("GOOGLEFINANCE(A1130,""LOW"")"),92.4)</f>
        <v>92.4</v>
      </c>
      <c r="F1130" s="15" t="str">
        <f t="shared" si="8"/>
        <v/>
      </c>
      <c r="G1130" s="16">
        <f>IFERROR(__xludf.DUMMYFUNCTION("GOOGLEFINANCE(A1130,""CLOSEYEST"")"),93.8)</f>
        <v>93.8</v>
      </c>
      <c r="H1130" s="17" t="str">
        <f t="shared" si="14"/>
        <v/>
      </c>
      <c r="I1130" s="18">
        <f t="shared" si="9"/>
        <v>93.59666667</v>
      </c>
      <c r="J1130" s="19">
        <f t="shared" si="10"/>
        <v>94.79333333</v>
      </c>
      <c r="K1130" s="19"/>
      <c r="L1130" s="19">
        <f t="shared" si="11"/>
        <v>92.60333333</v>
      </c>
      <c r="M1130" s="19">
        <f t="shared" si="12"/>
        <v>95.78666667</v>
      </c>
      <c r="N1130" s="19">
        <f t="shared" si="13"/>
        <v>91.40666667</v>
      </c>
    </row>
    <row r="1131" ht="24.75" customHeight="1">
      <c r="A1131" s="21" t="s">
        <v>1094</v>
      </c>
      <c r="B1131" s="13">
        <f>IFERROR(__xludf.DUMMYFUNCTION("GOOGLEFINANCE(A1131,""PRICE"")"),8.08)</f>
        <v>8.08</v>
      </c>
      <c r="C1131" s="14">
        <f>IFERROR(__xludf.DUMMYFUNCTION("GOOGLEFINANCE(A1131,""PRICEOPEN"")"),8.28)</f>
        <v>8.28</v>
      </c>
      <c r="D1131" s="14">
        <f>IFERROR(__xludf.DUMMYFUNCTION("GOOGLEFINANCE(A1131,""HIGH"")"),8.3)</f>
        <v>8.3</v>
      </c>
      <c r="E1131" s="14">
        <f>IFERROR(__xludf.DUMMYFUNCTION("GOOGLEFINANCE(A1131,""LOW"")"),8.01)</f>
        <v>8.01</v>
      </c>
      <c r="F1131" s="15" t="str">
        <f t="shared" si="8"/>
        <v/>
      </c>
      <c r="G1131" s="16">
        <f>IFERROR(__xludf.DUMMYFUNCTION("GOOGLEFINANCE(A1131,""CLOSEYEST"")"),8.12)</f>
        <v>8.12</v>
      </c>
      <c r="H1131" s="17" t="str">
        <f t="shared" si="14"/>
        <v>GAP UP</v>
      </c>
      <c r="I1131" s="18">
        <f t="shared" si="9"/>
        <v>8.143333333</v>
      </c>
      <c r="J1131" s="19">
        <f t="shared" si="10"/>
        <v>8.276666667</v>
      </c>
      <c r="K1131" s="19"/>
      <c r="L1131" s="19">
        <f t="shared" si="11"/>
        <v>7.986666667</v>
      </c>
      <c r="M1131" s="19">
        <f t="shared" si="12"/>
        <v>8.433333333</v>
      </c>
      <c r="N1131" s="19">
        <f t="shared" si="13"/>
        <v>7.853333333</v>
      </c>
    </row>
    <row r="1132" ht="24.75" customHeight="1">
      <c r="A1132" s="21" t="s">
        <v>1095</v>
      </c>
      <c r="B1132" s="13">
        <f>IFERROR(__xludf.DUMMYFUNCTION("GOOGLEFINANCE(A1132,""PRICE"")"),15.37)</f>
        <v>15.37</v>
      </c>
      <c r="C1132" s="14">
        <f>IFERROR(__xludf.DUMMYFUNCTION("GOOGLEFINANCE(A1132,""PRICEOPEN"")"),15.17)</f>
        <v>15.17</v>
      </c>
      <c r="D1132" s="14">
        <f>IFERROR(__xludf.DUMMYFUNCTION("GOOGLEFINANCE(A1132,""HIGH"")"),15.42)</f>
        <v>15.42</v>
      </c>
      <c r="E1132" s="14">
        <f>IFERROR(__xludf.DUMMYFUNCTION("GOOGLEFINANCE(A1132,""LOW"")"),15.08)</f>
        <v>15.08</v>
      </c>
      <c r="F1132" s="15" t="str">
        <f t="shared" si="8"/>
        <v/>
      </c>
      <c r="G1132" s="16">
        <f>IFERROR(__xludf.DUMMYFUNCTION("GOOGLEFINANCE(A1132,""CLOSEYEST"")"),15.08)</f>
        <v>15.08</v>
      </c>
      <c r="H1132" s="17" t="str">
        <f t="shared" si="14"/>
        <v/>
      </c>
      <c r="I1132" s="18">
        <f t="shared" si="9"/>
        <v>15.19333333</v>
      </c>
      <c r="J1132" s="19">
        <f t="shared" si="10"/>
        <v>15.30666667</v>
      </c>
      <c r="K1132" s="19"/>
      <c r="L1132" s="19">
        <f t="shared" si="11"/>
        <v>14.96666667</v>
      </c>
      <c r="M1132" s="19">
        <f t="shared" si="12"/>
        <v>15.53333333</v>
      </c>
      <c r="N1132" s="19">
        <f t="shared" si="13"/>
        <v>14.85333333</v>
      </c>
    </row>
    <row r="1133" ht="24.75" customHeight="1">
      <c r="A1133" s="21" t="s">
        <v>1096</v>
      </c>
      <c r="B1133" s="13">
        <f>IFERROR(__xludf.DUMMYFUNCTION("GOOGLEFINANCE(A1133,""PRICE"")"),376.15)</f>
        <v>376.15</v>
      </c>
      <c r="C1133" s="14">
        <f>IFERROR(__xludf.DUMMYFUNCTION("GOOGLEFINANCE(A1133,""PRICEOPEN"")"),369.0)</f>
        <v>369</v>
      </c>
      <c r="D1133" s="14">
        <f>IFERROR(__xludf.DUMMYFUNCTION("GOOGLEFINANCE(A1133,""HIGH"")"),381.8)</f>
        <v>381.8</v>
      </c>
      <c r="E1133" s="14">
        <f>IFERROR(__xludf.DUMMYFUNCTION("GOOGLEFINANCE(A1133,""LOW"")"),366.5)</f>
        <v>366.5</v>
      </c>
      <c r="F1133" s="15" t="str">
        <f t="shared" si="8"/>
        <v/>
      </c>
      <c r="G1133" s="16">
        <f>IFERROR(__xludf.DUMMYFUNCTION("GOOGLEFINANCE(A1133,""CLOSEYEST"")"),366.3)</f>
        <v>366.3</v>
      </c>
      <c r="H1133" s="17" t="str">
        <f t="shared" si="14"/>
        <v/>
      </c>
      <c r="I1133" s="18">
        <f t="shared" si="9"/>
        <v>371.5333333</v>
      </c>
      <c r="J1133" s="19">
        <f t="shared" si="10"/>
        <v>376.5666667</v>
      </c>
      <c r="K1133" s="19"/>
      <c r="L1133" s="19">
        <f t="shared" si="11"/>
        <v>361.2666667</v>
      </c>
      <c r="M1133" s="19">
        <f t="shared" si="12"/>
        <v>386.8333333</v>
      </c>
      <c r="N1133" s="19">
        <f t="shared" si="13"/>
        <v>356.2333333</v>
      </c>
    </row>
    <row r="1134" ht="24.75" customHeight="1">
      <c r="A1134" s="21" t="s">
        <v>1097</v>
      </c>
      <c r="B1134" s="13">
        <f>IFERROR(__xludf.DUMMYFUNCTION("GOOGLEFINANCE(A1134,""PRICE"")"),151.25)</f>
        <v>151.25</v>
      </c>
      <c r="C1134" s="14">
        <f>IFERROR(__xludf.DUMMYFUNCTION("GOOGLEFINANCE(A1134,""PRICEOPEN"")"),145.59)</f>
        <v>145.59</v>
      </c>
      <c r="D1134" s="14">
        <f>IFERROR(__xludf.DUMMYFUNCTION("GOOGLEFINANCE(A1134,""HIGH"")"),153.9)</f>
        <v>153.9</v>
      </c>
      <c r="E1134" s="14">
        <f>IFERROR(__xludf.DUMMYFUNCTION("GOOGLEFINANCE(A1134,""LOW"")"),145.19)</f>
        <v>145.19</v>
      </c>
      <c r="F1134" s="15" t="str">
        <f t="shared" si="8"/>
        <v/>
      </c>
      <c r="G1134" s="16">
        <f>IFERROR(__xludf.DUMMYFUNCTION("GOOGLEFINANCE(A1134,""CLOSEYEST"")"),144.99)</f>
        <v>144.99</v>
      </c>
      <c r="H1134" s="17" t="str">
        <f t="shared" si="14"/>
        <v/>
      </c>
      <c r="I1134" s="18">
        <f t="shared" si="9"/>
        <v>148.0266667</v>
      </c>
      <c r="J1134" s="19">
        <f t="shared" si="10"/>
        <v>150.8633333</v>
      </c>
      <c r="K1134" s="19"/>
      <c r="L1134" s="19">
        <f t="shared" si="11"/>
        <v>142.1533333</v>
      </c>
      <c r="M1134" s="19">
        <f t="shared" si="12"/>
        <v>156.7366667</v>
      </c>
      <c r="N1134" s="19">
        <f t="shared" si="13"/>
        <v>139.3166667</v>
      </c>
    </row>
    <row r="1135" ht="24.75" customHeight="1">
      <c r="A1135" s="21" t="s">
        <v>1098</v>
      </c>
      <c r="B1135" s="13">
        <f>IFERROR(__xludf.DUMMYFUNCTION("GOOGLEFINANCE(A1135,""PRICE"")"),27.0)</f>
        <v>27</v>
      </c>
      <c r="C1135" s="14">
        <f>IFERROR(__xludf.DUMMYFUNCTION("GOOGLEFINANCE(A1135,""PRICEOPEN"")"),25.64)</f>
        <v>25.64</v>
      </c>
      <c r="D1135" s="14">
        <f>IFERROR(__xludf.DUMMYFUNCTION("GOOGLEFINANCE(A1135,""HIGH"")"),27.03)</f>
        <v>27.03</v>
      </c>
      <c r="E1135" s="14">
        <f>IFERROR(__xludf.DUMMYFUNCTION("GOOGLEFINANCE(A1135,""LOW"")"),25.64)</f>
        <v>25.64</v>
      </c>
      <c r="F1135" s="15" t="str">
        <f t="shared" si="8"/>
        <v>BUY</v>
      </c>
      <c r="G1135" s="16">
        <f>IFERROR(__xludf.DUMMYFUNCTION("GOOGLEFINANCE(A1135,""CLOSEYEST"")"),25.81)</f>
        <v>25.81</v>
      </c>
      <c r="H1135" s="17" t="str">
        <f t="shared" si="14"/>
        <v/>
      </c>
      <c r="I1135" s="18">
        <f t="shared" si="9"/>
        <v>26.16</v>
      </c>
      <c r="J1135" s="19">
        <f t="shared" si="10"/>
        <v>26.68</v>
      </c>
      <c r="K1135" s="19"/>
      <c r="L1135" s="19">
        <f t="shared" si="11"/>
        <v>25.29</v>
      </c>
      <c r="M1135" s="19">
        <f t="shared" si="12"/>
        <v>27.55</v>
      </c>
      <c r="N1135" s="19">
        <f t="shared" si="13"/>
        <v>24.77</v>
      </c>
    </row>
    <row r="1136" ht="24.75" customHeight="1">
      <c r="A1136" s="21" t="s">
        <v>1099</v>
      </c>
      <c r="B1136" s="13">
        <f>IFERROR(__xludf.DUMMYFUNCTION("GOOGLEFINANCE(A1136,""PRICE"")"),445.0)</f>
        <v>445</v>
      </c>
      <c r="C1136" s="14">
        <f>IFERROR(__xludf.DUMMYFUNCTION("GOOGLEFINANCE(A1136,""PRICEOPEN"")"),451.9)</f>
        <v>451.9</v>
      </c>
      <c r="D1136" s="14">
        <f>IFERROR(__xludf.DUMMYFUNCTION("GOOGLEFINANCE(A1136,""HIGH"")"),451.9)</f>
        <v>451.9</v>
      </c>
      <c r="E1136" s="14">
        <f>IFERROR(__xludf.DUMMYFUNCTION("GOOGLEFINANCE(A1136,""LOW"")"),440.0)</f>
        <v>440</v>
      </c>
      <c r="F1136" s="15" t="str">
        <f t="shared" si="8"/>
        <v>SELL</v>
      </c>
      <c r="G1136" s="16">
        <f>IFERROR(__xludf.DUMMYFUNCTION("GOOGLEFINANCE(A1136,""CLOSEYEST"")"),444.95)</f>
        <v>444.95</v>
      </c>
      <c r="H1136" s="17" t="str">
        <f t="shared" si="14"/>
        <v>GAP UP</v>
      </c>
      <c r="I1136" s="18">
        <f t="shared" si="9"/>
        <v>445.6166667</v>
      </c>
      <c r="J1136" s="19">
        <f t="shared" si="10"/>
        <v>451.2333333</v>
      </c>
      <c r="K1136" s="19"/>
      <c r="L1136" s="19">
        <f t="shared" si="11"/>
        <v>439.3333333</v>
      </c>
      <c r="M1136" s="19">
        <f t="shared" si="12"/>
        <v>457.5166667</v>
      </c>
      <c r="N1136" s="19">
        <f t="shared" si="13"/>
        <v>433.7166667</v>
      </c>
    </row>
    <row r="1137" ht="24.75" customHeight="1">
      <c r="A1137" s="21" t="s">
        <v>1100</v>
      </c>
      <c r="B1137" s="13">
        <f>IFERROR(__xludf.DUMMYFUNCTION("GOOGLEFINANCE(A1137,""PRICE"")"),116.7)</f>
        <v>116.7</v>
      </c>
      <c r="C1137" s="14">
        <f>IFERROR(__xludf.DUMMYFUNCTION("GOOGLEFINANCE(A1137,""PRICEOPEN"")"),118.46)</f>
        <v>118.46</v>
      </c>
      <c r="D1137" s="14">
        <f>IFERROR(__xludf.DUMMYFUNCTION("GOOGLEFINANCE(A1137,""HIGH"")"),119.08)</f>
        <v>119.08</v>
      </c>
      <c r="E1137" s="14">
        <f>IFERROR(__xludf.DUMMYFUNCTION("GOOGLEFINANCE(A1137,""LOW"")"),115.1)</f>
        <v>115.1</v>
      </c>
      <c r="F1137" s="15" t="str">
        <f t="shared" si="8"/>
        <v/>
      </c>
      <c r="G1137" s="16">
        <f>IFERROR(__xludf.DUMMYFUNCTION("GOOGLEFINANCE(A1137,""CLOSEYEST"")"),115.24)</f>
        <v>115.24</v>
      </c>
      <c r="H1137" s="17" t="str">
        <f t="shared" si="14"/>
        <v>GAP UP</v>
      </c>
      <c r="I1137" s="18">
        <f t="shared" si="9"/>
        <v>116.4733333</v>
      </c>
      <c r="J1137" s="19">
        <f t="shared" si="10"/>
        <v>117.8466667</v>
      </c>
      <c r="K1137" s="19"/>
      <c r="L1137" s="19">
        <f t="shared" si="11"/>
        <v>113.8666667</v>
      </c>
      <c r="M1137" s="19">
        <f t="shared" si="12"/>
        <v>120.4533333</v>
      </c>
      <c r="N1137" s="19">
        <f t="shared" si="13"/>
        <v>112.4933333</v>
      </c>
    </row>
    <row r="1138" ht="24.75" customHeight="1">
      <c r="A1138" s="21" t="s">
        <v>1101</v>
      </c>
      <c r="B1138" s="13">
        <f>IFERROR(__xludf.DUMMYFUNCTION("GOOGLEFINANCE(A1138,""PRICE"")"),28.3)</f>
        <v>28.3</v>
      </c>
      <c r="C1138" s="14">
        <f>IFERROR(__xludf.DUMMYFUNCTION("GOOGLEFINANCE(A1138,""PRICEOPEN"")"),28.88)</f>
        <v>28.88</v>
      </c>
      <c r="D1138" s="14">
        <f>IFERROR(__xludf.DUMMYFUNCTION("GOOGLEFINANCE(A1138,""HIGH"")"),29.0)</f>
        <v>29</v>
      </c>
      <c r="E1138" s="14">
        <f>IFERROR(__xludf.DUMMYFUNCTION("GOOGLEFINANCE(A1138,""LOW"")"),28.01)</f>
        <v>28.01</v>
      </c>
      <c r="F1138" s="15" t="str">
        <f t="shared" si="8"/>
        <v/>
      </c>
      <c r="G1138" s="16">
        <f>IFERROR(__xludf.DUMMYFUNCTION("GOOGLEFINANCE(A1138,""CLOSEYEST"")"),28.59)</f>
        <v>28.59</v>
      </c>
      <c r="H1138" s="17" t="str">
        <f t="shared" si="14"/>
        <v>GAP UP</v>
      </c>
      <c r="I1138" s="18">
        <f t="shared" si="9"/>
        <v>28.53333333</v>
      </c>
      <c r="J1138" s="19">
        <f t="shared" si="10"/>
        <v>29.05666667</v>
      </c>
      <c r="K1138" s="19"/>
      <c r="L1138" s="19">
        <f t="shared" si="11"/>
        <v>28.06666667</v>
      </c>
      <c r="M1138" s="19">
        <f t="shared" si="12"/>
        <v>29.52333333</v>
      </c>
      <c r="N1138" s="19">
        <f t="shared" si="13"/>
        <v>27.54333333</v>
      </c>
    </row>
    <row r="1139" ht="24.75" customHeight="1">
      <c r="A1139" s="21" t="s">
        <v>1102</v>
      </c>
      <c r="B1139" s="13">
        <f>IFERROR(__xludf.DUMMYFUNCTION("GOOGLEFINANCE(A1139,""PRICE"")"),489.0)</f>
        <v>489</v>
      </c>
      <c r="C1139" s="14">
        <f>IFERROR(__xludf.DUMMYFUNCTION("GOOGLEFINANCE(A1139,""PRICEOPEN"")"),488.45)</f>
        <v>488.45</v>
      </c>
      <c r="D1139" s="14">
        <f>IFERROR(__xludf.DUMMYFUNCTION("GOOGLEFINANCE(A1139,""HIGH"")"),504.0)</f>
        <v>504</v>
      </c>
      <c r="E1139" s="14">
        <f>IFERROR(__xludf.DUMMYFUNCTION("GOOGLEFINANCE(A1139,""LOW"")"),483.4)</f>
        <v>483.4</v>
      </c>
      <c r="F1139" s="15" t="str">
        <f t="shared" si="8"/>
        <v/>
      </c>
      <c r="G1139" s="16">
        <f>IFERROR(__xludf.DUMMYFUNCTION("GOOGLEFINANCE(A1139,""CLOSEYEST"")"),485.75)</f>
        <v>485.75</v>
      </c>
      <c r="H1139" s="17" t="str">
        <f t="shared" si="14"/>
        <v/>
      </c>
      <c r="I1139" s="18">
        <f t="shared" si="9"/>
        <v>491.05</v>
      </c>
      <c r="J1139" s="19">
        <f t="shared" si="10"/>
        <v>498.7</v>
      </c>
      <c r="K1139" s="19"/>
      <c r="L1139" s="19">
        <f t="shared" si="11"/>
        <v>478.1</v>
      </c>
      <c r="M1139" s="19">
        <f t="shared" si="12"/>
        <v>511.65</v>
      </c>
      <c r="N1139" s="19">
        <f t="shared" si="13"/>
        <v>470.45</v>
      </c>
    </row>
    <row r="1140" ht="24.75" customHeight="1">
      <c r="A1140" s="21" t="s">
        <v>1103</v>
      </c>
      <c r="B1140" s="13" t="str">
        <f>IFERROR(__xludf.DUMMYFUNCTION("GOOGLEFINANCE(A1140,""PRICE"")"),"#N/A")</f>
        <v>#N/A</v>
      </c>
      <c r="C1140" s="14" t="str">
        <f>IFERROR(__xludf.DUMMYFUNCTION("GOOGLEFINANCE(A1140,""PRICEOPEN"")"),"#N/A")</f>
        <v>#N/A</v>
      </c>
      <c r="D1140" s="14" t="str">
        <f>IFERROR(__xludf.DUMMYFUNCTION("GOOGLEFINANCE(A1140,""HIGH"")"),"#N/A")</f>
        <v>#N/A</v>
      </c>
      <c r="E1140" s="14" t="str">
        <f>IFERROR(__xludf.DUMMYFUNCTION("GOOGLEFINANCE(A1140,""LOW"")"),"#N/A")</f>
        <v>#N/A</v>
      </c>
      <c r="F1140" s="15" t="str">
        <f t="shared" si="8"/>
        <v>#N/A</v>
      </c>
      <c r="G1140" s="16" t="str">
        <f>IFERROR(__xludf.DUMMYFUNCTION("GOOGLEFINANCE(A1140,""CLOSEYEST"")"),"#N/A")</f>
        <v>#N/A</v>
      </c>
      <c r="H1140" s="17" t="str">
        <f t="shared" si="14"/>
        <v>#N/A</v>
      </c>
      <c r="I1140" s="18" t="str">
        <f t="shared" si="9"/>
        <v>#N/A</v>
      </c>
      <c r="J1140" s="19" t="str">
        <f t="shared" si="10"/>
        <v>#N/A</v>
      </c>
      <c r="K1140" s="19"/>
      <c r="L1140" s="19" t="str">
        <f t="shared" si="11"/>
        <v>#N/A</v>
      </c>
      <c r="M1140" s="19" t="str">
        <f t="shared" si="12"/>
        <v>#N/A</v>
      </c>
      <c r="N1140" s="19" t="str">
        <f t="shared" si="13"/>
        <v>#N/A</v>
      </c>
    </row>
    <row r="1141" ht="24.75" customHeight="1">
      <c r="A1141" s="21" t="s">
        <v>1104</v>
      </c>
      <c r="B1141" s="13">
        <f>IFERROR(__xludf.DUMMYFUNCTION("GOOGLEFINANCE(A1141,""PRICE"")"),712.05)</f>
        <v>712.05</v>
      </c>
      <c r="C1141" s="14">
        <f>IFERROR(__xludf.DUMMYFUNCTION("GOOGLEFINANCE(A1141,""PRICEOPEN"")"),724.2)</f>
        <v>724.2</v>
      </c>
      <c r="D1141" s="14">
        <f>IFERROR(__xludf.DUMMYFUNCTION("GOOGLEFINANCE(A1141,""HIGH"")"),730.6)</f>
        <v>730.6</v>
      </c>
      <c r="E1141" s="14">
        <f>IFERROR(__xludf.DUMMYFUNCTION("GOOGLEFINANCE(A1141,""LOW"")"),711.0)</f>
        <v>711</v>
      </c>
      <c r="F1141" s="15" t="str">
        <f t="shared" si="8"/>
        <v/>
      </c>
      <c r="G1141" s="16">
        <f>IFERROR(__xludf.DUMMYFUNCTION("GOOGLEFINANCE(A1141,""CLOSEYEST"")"),724.2)</f>
        <v>724.2</v>
      </c>
      <c r="H1141" s="17" t="str">
        <f t="shared" si="14"/>
        <v/>
      </c>
      <c r="I1141" s="18">
        <f t="shared" si="9"/>
        <v>721.9333333</v>
      </c>
      <c r="J1141" s="19">
        <f t="shared" si="10"/>
        <v>732.8666667</v>
      </c>
      <c r="K1141" s="19"/>
      <c r="L1141" s="19">
        <f t="shared" si="11"/>
        <v>713.2666667</v>
      </c>
      <c r="M1141" s="19">
        <f t="shared" si="12"/>
        <v>741.5333333</v>
      </c>
      <c r="N1141" s="19">
        <f t="shared" si="13"/>
        <v>702.3333333</v>
      </c>
    </row>
    <row r="1142" ht="24.75" customHeight="1">
      <c r="A1142" s="21" t="s">
        <v>1105</v>
      </c>
      <c r="B1142" s="13">
        <f>IFERROR(__xludf.DUMMYFUNCTION("GOOGLEFINANCE(A1142,""PRICE"")"),941.55)</f>
        <v>941.55</v>
      </c>
      <c r="C1142" s="14">
        <f>IFERROR(__xludf.DUMMYFUNCTION("GOOGLEFINANCE(A1142,""PRICEOPEN"")"),950.15)</f>
        <v>950.15</v>
      </c>
      <c r="D1142" s="14">
        <f>IFERROR(__xludf.DUMMYFUNCTION("GOOGLEFINANCE(A1142,""HIGH"")"),955.05)</f>
        <v>955.05</v>
      </c>
      <c r="E1142" s="14">
        <f>IFERROR(__xludf.DUMMYFUNCTION("GOOGLEFINANCE(A1142,""LOW"")"),925.65)</f>
        <v>925.65</v>
      </c>
      <c r="F1142" s="15" t="str">
        <f t="shared" si="8"/>
        <v/>
      </c>
      <c r="G1142" s="16">
        <f>IFERROR(__xludf.DUMMYFUNCTION("GOOGLEFINANCE(A1142,""CLOSEYEST"")"),940.75)</f>
        <v>940.75</v>
      </c>
      <c r="H1142" s="17" t="str">
        <f t="shared" si="14"/>
        <v/>
      </c>
      <c r="I1142" s="18">
        <f t="shared" si="9"/>
        <v>940.4833333</v>
      </c>
      <c r="J1142" s="19">
        <f t="shared" si="10"/>
        <v>955.3166667</v>
      </c>
      <c r="K1142" s="19"/>
      <c r="L1142" s="19">
        <f t="shared" si="11"/>
        <v>925.9166667</v>
      </c>
      <c r="M1142" s="19">
        <f t="shared" si="12"/>
        <v>969.8833333</v>
      </c>
      <c r="N1142" s="19">
        <f t="shared" si="13"/>
        <v>911.0833333</v>
      </c>
    </row>
    <row r="1143" ht="24.75" customHeight="1">
      <c r="A1143" s="21" t="s">
        <v>1106</v>
      </c>
      <c r="B1143" s="13" t="str">
        <f>IFERROR(__xludf.DUMMYFUNCTION("GOOGLEFINANCE(A1143,""PRICE"")"),"#N/A")</f>
        <v>#N/A</v>
      </c>
      <c r="C1143" s="14" t="str">
        <f>IFERROR(__xludf.DUMMYFUNCTION("GOOGLEFINANCE(A1143,""PRICEOPEN"")"),"#N/A")</f>
        <v>#N/A</v>
      </c>
      <c r="D1143" s="14" t="str">
        <f>IFERROR(__xludf.DUMMYFUNCTION("GOOGLEFINANCE(A1143,""HIGH"")"),"#N/A")</f>
        <v>#N/A</v>
      </c>
      <c r="E1143" s="14" t="str">
        <f>IFERROR(__xludf.DUMMYFUNCTION("GOOGLEFINANCE(A1143,""LOW"")"),"#N/A")</f>
        <v>#N/A</v>
      </c>
      <c r="F1143" s="15" t="str">
        <f t="shared" si="8"/>
        <v>#N/A</v>
      </c>
      <c r="G1143" s="16" t="str">
        <f>IFERROR(__xludf.DUMMYFUNCTION("GOOGLEFINANCE(A1143,""CLOSEYEST"")"),"#N/A")</f>
        <v>#N/A</v>
      </c>
      <c r="H1143" s="17" t="str">
        <f t="shared" si="14"/>
        <v>#N/A</v>
      </c>
      <c r="I1143" s="18" t="str">
        <f t="shared" si="9"/>
        <v>#N/A</v>
      </c>
      <c r="J1143" s="19" t="str">
        <f t="shared" si="10"/>
        <v>#N/A</v>
      </c>
      <c r="K1143" s="19"/>
      <c r="L1143" s="19" t="str">
        <f t="shared" si="11"/>
        <v>#N/A</v>
      </c>
      <c r="M1143" s="19" t="str">
        <f t="shared" si="12"/>
        <v>#N/A</v>
      </c>
      <c r="N1143" s="19" t="str">
        <f t="shared" si="13"/>
        <v>#N/A</v>
      </c>
    </row>
    <row r="1144" ht="24.75" customHeight="1">
      <c r="A1144" s="21" t="s">
        <v>1107</v>
      </c>
      <c r="B1144" s="13">
        <f>IFERROR(__xludf.DUMMYFUNCTION("GOOGLEFINANCE(A1144,""PRICE"")"),104.97)</f>
        <v>104.97</v>
      </c>
      <c r="C1144" s="14">
        <f>IFERROR(__xludf.DUMMYFUNCTION("GOOGLEFINANCE(A1144,""PRICEOPEN"")"),102.0)</f>
        <v>102</v>
      </c>
      <c r="D1144" s="14">
        <f>IFERROR(__xludf.DUMMYFUNCTION("GOOGLEFINANCE(A1144,""HIGH"")"),105.1)</f>
        <v>105.1</v>
      </c>
      <c r="E1144" s="14">
        <f>IFERROR(__xludf.DUMMYFUNCTION("GOOGLEFINANCE(A1144,""LOW"")"),101.63)</f>
        <v>101.63</v>
      </c>
      <c r="F1144" s="15" t="str">
        <f t="shared" si="8"/>
        <v/>
      </c>
      <c r="G1144" s="16">
        <f>IFERROR(__xludf.DUMMYFUNCTION("GOOGLEFINANCE(A1144,""CLOSEYEST"")"),102.84)</f>
        <v>102.84</v>
      </c>
      <c r="H1144" s="17" t="str">
        <f t="shared" si="14"/>
        <v/>
      </c>
      <c r="I1144" s="18">
        <f t="shared" si="9"/>
        <v>103.19</v>
      </c>
      <c r="J1144" s="19">
        <f t="shared" si="10"/>
        <v>104.75</v>
      </c>
      <c r="K1144" s="19"/>
      <c r="L1144" s="19">
        <f t="shared" si="11"/>
        <v>101.28</v>
      </c>
      <c r="M1144" s="19">
        <f t="shared" si="12"/>
        <v>106.66</v>
      </c>
      <c r="N1144" s="19">
        <f t="shared" si="13"/>
        <v>99.72</v>
      </c>
    </row>
    <row r="1145" ht="24.75" customHeight="1">
      <c r="A1145" s="21" t="s">
        <v>1108</v>
      </c>
      <c r="B1145" s="13">
        <f>IFERROR(__xludf.DUMMYFUNCTION("GOOGLEFINANCE(A1145,""PRICE"")"),580.0)</f>
        <v>580</v>
      </c>
      <c r="C1145" s="14">
        <f>IFERROR(__xludf.DUMMYFUNCTION("GOOGLEFINANCE(A1145,""PRICEOPEN"")"),580.7)</f>
        <v>580.7</v>
      </c>
      <c r="D1145" s="14">
        <f>IFERROR(__xludf.DUMMYFUNCTION("GOOGLEFINANCE(A1145,""HIGH"")"),584.5)</f>
        <v>584.5</v>
      </c>
      <c r="E1145" s="14">
        <f>IFERROR(__xludf.DUMMYFUNCTION("GOOGLEFINANCE(A1145,""LOW"")"),575.55)</f>
        <v>575.55</v>
      </c>
      <c r="F1145" s="15" t="str">
        <f t="shared" si="8"/>
        <v/>
      </c>
      <c r="G1145" s="16">
        <f>IFERROR(__xludf.DUMMYFUNCTION("GOOGLEFINANCE(A1145,""CLOSEYEST"")"),573.7)</f>
        <v>573.7</v>
      </c>
      <c r="H1145" s="17" t="str">
        <f t="shared" si="14"/>
        <v>GAP UP</v>
      </c>
      <c r="I1145" s="18">
        <f t="shared" si="9"/>
        <v>577.9166667</v>
      </c>
      <c r="J1145" s="19">
        <f t="shared" si="10"/>
        <v>580.2833333</v>
      </c>
      <c r="K1145" s="19"/>
      <c r="L1145" s="19">
        <f t="shared" si="11"/>
        <v>571.3333333</v>
      </c>
      <c r="M1145" s="19">
        <f t="shared" si="12"/>
        <v>586.8666667</v>
      </c>
      <c r="N1145" s="19">
        <f t="shared" si="13"/>
        <v>568.9666667</v>
      </c>
    </row>
    <row r="1146" ht="24.75" customHeight="1">
      <c r="A1146" s="21" t="s">
        <v>1109</v>
      </c>
      <c r="B1146" s="13">
        <f>IFERROR(__xludf.DUMMYFUNCTION("GOOGLEFINANCE(A1146,""PRICE"")"),5.47)</f>
        <v>5.47</v>
      </c>
      <c r="C1146" s="14">
        <f>IFERROR(__xludf.DUMMYFUNCTION("GOOGLEFINANCE(A1146,""PRICEOPEN"")"),5.52)</f>
        <v>5.52</v>
      </c>
      <c r="D1146" s="14">
        <f>IFERROR(__xludf.DUMMYFUNCTION("GOOGLEFINANCE(A1146,""HIGH"")"),5.52)</f>
        <v>5.52</v>
      </c>
      <c r="E1146" s="14">
        <f>IFERROR(__xludf.DUMMYFUNCTION("GOOGLEFINANCE(A1146,""LOW"")"),5.3)</f>
        <v>5.3</v>
      </c>
      <c r="F1146" s="15" t="str">
        <f t="shared" si="8"/>
        <v>SELL</v>
      </c>
      <c r="G1146" s="16">
        <f>IFERROR(__xludf.DUMMYFUNCTION("GOOGLEFINANCE(A1146,""CLOSEYEST"")"),5.52)</f>
        <v>5.52</v>
      </c>
      <c r="H1146" s="17" t="str">
        <f t="shared" si="14"/>
        <v/>
      </c>
      <c r="I1146" s="18">
        <f t="shared" si="9"/>
        <v>5.446666667</v>
      </c>
      <c r="J1146" s="19">
        <f t="shared" si="10"/>
        <v>5.593333333</v>
      </c>
      <c r="K1146" s="19"/>
      <c r="L1146" s="19">
        <f t="shared" si="11"/>
        <v>5.373333333</v>
      </c>
      <c r="M1146" s="19">
        <f t="shared" si="12"/>
        <v>5.666666667</v>
      </c>
      <c r="N1146" s="19">
        <f t="shared" si="13"/>
        <v>5.226666667</v>
      </c>
    </row>
    <row r="1147" ht="24.75" customHeight="1">
      <c r="A1147" s="21" t="s">
        <v>1110</v>
      </c>
      <c r="B1147" s="13">
        <f>IFERROR(__xludf.DUMMYFUNCTION("GOOGLEFINANCE(A1147,""PRICE"")"),145.0)</f>
        <v>145</v>
      </c>
      <c r="C1147" s="14">
        <f>IFERROR(__xludf.DUMMYFUNCTION("GOOGLEFINANCE(A1147,""PRICEOPEN"")"),145.32)</f>
        <v>145.32</v>
      </c>
      <c r="D1147" s="14">
        <f>IFERROR(__xludf.DUMMYFUNCTION("GOOGLEFINANCE(A1147,""HIGH"")"),147.34)</f>
        <v>147.34</v>
      </c>
      <c r="E1147" s="14">
        <f>IFERROR(__xludf.DUMMYFUNCTION("GOOGLEFINANCE(A1147,""LOW"")"),143.05)</f>
        <v>143.05</v>
      </c>
      <c r="F1147" s="15" t="str">
        <f t="shared" si="8"/>
        <v/>
      </c>
      <c r="G1147" s="16">
        <f>IFERROR(__xludf.DUMMYFUNCTION("GOOGLEFINANCE(A1147,""CLOSEYEST"")"),144.2)</f>
        <v>144.2</v>
      </c>
      <c r="H1147" s="17" t="str">
        <f t="shared" si="14"/>
        <v/>
      </c>
      <c r="I1147" s="18">
        <f t="shared" si="9"/>
        <v>144.8633333</v>
      </c>
      <c r="J1147" s="19">
        <f t="shared" si="10"/>
        <v>146.6766667</v>
      </c>
      <c r="K1147" s="19"/>
      <c r="L1147" s="19">
        <f t="shared" si="11"/>
        <v>142.3866667</v>
      </c>
      <c r="M1147" s="19">
        <f t="shared" si="12"/>
        <v>149.1533333</v>
      </c>
      <c r="N1147" s="19">
        <f t="shared" si="13"/>
        <v>140.5733333</v>
      </c>
    </row>
    <row r="1148" ht="24.75" customHeight="1">
      <c r="A1148" s="21" t="s">
        <v>1111</v>
      </c>
      <c r="B1148" s="13">
        <f>IFERROR(__xludf.DUMMYFUNCTION("GOOGLEFINANCE(A1148,""PRICE"")"),84.0)</f>
        <v>84</v>
      </c>
      <c r="C1148" s="14">
        <f>IFERROR(__xludf.DUMMYFUNCTION("GOOGLEFINANCE(A1148,""PRICEOPEN"")"),80.3)</f>
        <v>80.3</v>
      </c>
      <c r="D1148" s="14">
        <f>IFERROR(__xludf.DUMMYFUNCTION("GOOGLEFINANCE(A1148,""HIGH"")"),86.9)</f>
        <v>86.9</v>
      </c>
      <c r="E1148" s="14">
        <f>IFERROR(__xludf.DUMMYFUNCTION("GOOGLEFINANCE(A1148,""LOW"")"),80.3)</f>
        <v>80.3</v>
      </c>
      <c r="F1148" s="15" t="str">
        <f t="shared" si="8"/>
        <v>BUY</v>
      </c>
      <c r="G1148" s="16">
        <f>IFERROR(__xludf.DUMMYFUNCTION("GOOGLEFINANCE(A1148,""CLOSEYEST"")"),84.42)</f>
        <v>84.42</v>
      </c>
      <c r="H1148" s="17" t="str">
        <f t="shared" si="14"/>
        <v>GAP DOWN</v>
      </c>
      <c r="I1148" s="18">
        <f t="shared" si="9"/>
        <v>83.87333333</v>
      </c>
      <c r="J1148" s="19">
        <f t="shared" si="10"/>
        <v>87.44666667</v>
      </c>
      <c r="K1148" s="19"/>
      <c r="L1148" s="19">
        <f t="shared" si="11"/>
        <v>80.84666667</v>
      </c>
      <c r="M1148" s="19">
        <f t="shared" si="12"/>
        <v>90.47333333</v>
      </c>
      <c r="N1148" s="19">
        <f t="shared" si="13"/>
        <v>77.27333333</v>
      </c>
    </row>
    <row r="1149" ht="24.75" customHeight="1">
      <c r="A1149" s="21" t="s">
        <v>1112</v>
      </c>
      <c r="B1149" s="13">
        <f>IFERROR(__xludf.DUMMYFUNCTION("GOOGLEFINANCE(A1149,""PRICE"")"),474.65)</f>
        <v>474.65</v>
      </c>
      <c r="C1149" s="14">
        <f>IFERROR(__xludf.DUMMYFUNCTION("GOOGLEFINANCE(A1149,""PRICEOPEN"")"),475.0)</f>
        <v>475</v>
      </c>
      <c r="D1149" s="14">
        <f>IFERROR(__xludf.DUMMYFUNCTION("GOOGLEFINANCE(A1149,""HIGH"")"),489.95)</f>
        <v>489.95</v>
      </c>
      <c r="E1149" s="14">
        <f>IFERROR(__xludf.DUMMYFUNCTION("GOOGLEFINANCE(A1149,""LOW"")"),472.2)</f>
        <v>472.2</v>
      </c>
      <c r="F1149" s="15" t="str">
        <f t="shared" si="8"/>
        <v/>
      </c>
      <c r="G1149" s="16">
        <f>IFERROR(__xludf.DUMMYFUNCTION("GOOGLEFINANCE(A1149,""CLOSEYEST"")"),477.25)</f>
        <v>477.25</v>
      </c>
      <c r="H1149" s="17" t="str">
        <f t="shared" si="14"/>
        <v/>
      </c>
      <c r="I1149" s="18">
        <f t="shared" si="9"/>
        <v>479.8</v>
      </c>
      <c r="J1149" s="19">
        <f t="shared" si="10"/>
        <v>487.4</v>
      </c>
      <c r="K1149" s="19"/>
      <c r="L1149" s="19">
        <f t="shared" si="11"/>
        <v>469.65</v>
      </c>
      <c r="M1149" s="19">
        <f t="shared" si="12"/>
        <v>497.55</v>
      </c>
      <c r="N1149" s="19">
        <f t="shared" si="13"/>
        <v>462.05</v>
      </c>
    </row>
    <row r="1150" ht="24.75" customHeight="1">
      <c r="A1150" s="21" t="s">
        <v>1113</v>
      </c>
      <c r="B1150" s="13">
        <f>IFERROR(__xludf.DUMMYFUNCTION("GOOGLEFINANCE(A1150,""PRICE"")"),276.0)</f>
        <v>276</v>
      </c>
      <c r="C1150" s="14">
        <f>IFERROR(__xludf.DUMMYFUNCTION("GOOGLEFINANCE(A1150,""PRICEOPEN"")"),279.6)</f>
        <v>279.6</v>
      </c>
      <c r="D1150" s="14">
        <f>IFERROR(__xludf.DUMMYFUNCTION("GOOGLEFINANCE(A1150,""HIGH"")"),281.0)</f>
        <v>281</v>
      </c>
      <c r="E1150" s="14">
        <f>IFERROR(__xludf.DUMMYFUNCTION("GOOGLEFINANCE(A1150,""LOW"")"),274.4)</f>
        <v>274.4</v>
      </c>
      <c r="F1150" s="15" t="str">
        <f t="shared" si="8"/>
        <v/>
      </c>
      <c r="G1150" s="16">
        <f>IFERROR(__xludf.DUMMYFUNCTION("GOOGLEFINANCE(A1150,""CLOSEYEST"")"),278.1)</f>
        <v>278.1</v>
      </c>
      <c r="H1150" s="17" t="str">
        <f t="shared" si="14"/>
        <v/>
      </c>
      <c r="I1150" s="18">
        <f t="shared" si="9"/>
        <v>277.8333333</v>
      </c>
      <c r="J1150" s="19">
        <f t="shared" si="10"/>
        <v>281.2666667</v>
      </c>
      <c r="K1150" s="19"/>
      <c r="L1150" s="19">
        <f t="shared" si="11"/>
        <v>274.6666667</v>
      </c>
      <c r="M1150" s="19">
        <f t="shared" si="12"/>
        <v>284.4333333</v>
      </c>
      <c r="N1150" s="19">
        <f t="shared" si="13"/>
        <v>271.2333333</v>
      </c>
    </row>
    <row r="1151" ht="24.75" customHeight="1">
      <c r="A1151" s="21" t="s">
        <v>1114</v>
      </c>
      <c r="B1151" s="13">
        <f>IFERROR(__xludf.DUMMYFUNCTION("GOOGLEFINANCE(A1151,""PRICE"")"),2735.0)</f>
        <v>2735</v>
      </c>
      <c r="C1151" s="14">
        <f>IFERROR(__xludf.DUMMYFUNCTION("GOOGLEFINANCE(A1151,""PRICEOPEN"")"),2720.1)</f>
        <v>2720.1</v>
      </c>
      <c r="D1151" s="14">
        <f>IFERROR(__xludf.DUMMYFUNCTION("GOOGLEFINANCE(A1151,""HIGH"")"),2800.0)</f>
        <v>2800</v>
      </c>
      <c r="E1151" s="14">
        <f>IFERROR(__xludf.DUMMYFUNCTION("GOOGLEFINANCE(A1151,""LOW"")"),2650.0)</f>
        <v>2650</v>
      </c>
      <c r="F1151" s="15" t="str">
        <f t="shared" si="8"/>
        <v/>
      </c>
      <c r="G1151" s="16">
        <f>IFERROR(__xludf.DUMMYFUNCTION("GOOGLEFINANCE(A1151,""CLOSEYEST"")"),2764.1)</f>
        <v>2764.1</v>
      </c>
      <c r="H1151" s="17" t="str">
        <f t="shared" si="14"/>
        <v>GAP DOWN</v>
      </c>
      <c r="I1151" s="18">
        <f t="shared" si="9"/>
        <v>2738.033333</v>
      </c>
      <c r="J1151" s="19">
        <f t="shared" si="10"/>
        <v>2826.066667</v>
      </c>
      <c r="K1151" s="19"/>
      <c r="L1151" s="19">
        <f t="shared" si="11"/>
        <v>2676.066667</v>
      </c>
      <c r="M1151" s="19">
        <f t="shared" si="12"/>
        <v>2888.033333</v>
      </c>
      <c r="N1151" s="19">
        <f t="shared" si="13"/>
        <v>2588.033333</v>
      </c>
    </row>
    <row r="1152" ht="24.75" customHeight="1">
      <c r="A1152" s="21" t="s">
        <v>1115</v>
      </c>
      <c r="B1152" s="13">
        <f>IFERROR(__xludf.DUMMYFUNCTION("GOOGLEFINANCE(A1152,""PRICE"")"),508.0)</f>
        <v>508</v>
      </c>
      <c r="C1152" s="14">
        <f>IFERROR(__xludf.DUMMYFUNCTION("GOOGLEFINANCE(A1152,""PRICEOPEN"")"),506.6)</f>
        <v>506.6</v>
      </c>
      <c r="D1152" s="14">
        <f>IFERROR(__xludf.DUMMYFUNCTION("GOOGLEFINANCE(A1152,""HIGH"")"),509.8)</f>
        <v>509.8</v>
      </c>
      <c r="E1152" s="14">
        <f>IFERROR(__xludf.DUMMYFUNCTION("GOOGLEFINANCE(A1152,""LOW"")"),493.3)</f>
        <v>493.3</v>
      </c>
      <c r="F1152" s="15" t="str">
        <f t="shared" si="8"/>
        <v/>
      </c>
      <c r="G1152" s="16">
        <f>IFERROR(__xludf.DUMMYFUNCTION("GOOGLEFINANCE(A1152,""CLOSEYEST"")"),508.4)</f>
        <v>508.4</v>
      </c>
      <c r="H1152" s="17" t="str">
        <f t="shared" si="14"/>
        <v/>
      </c>
      <c r="I1152" s="18">
        <f t="shared" si="9"/>
        <v>503.8333333</v>
      </c>
      <c r="J1152" s="19">
        <f t="shared" si="10"/>
        <v>514.3666667</v>
      </c>
      <c r="K1152" s="19"/>
      <c r="L1152" s="19">
        <f t="shared" si="11"/>
        <v>497.8666667</v>
      </c>
      <c r="M1152" s="19">
        <f t="shared" si="12"/>
        <v>520.3333333</v>
      </c>
      <c r="N1152" s="19">
        <f t="shared" si="13"/>
        <v>487.3333333</v>
      </c>
    </row>
    <row r="1153" ht="24.75" customHeight="1">
      <c r="A1153" s="21" t="s">
        <v>1116</v>
      </c>
      <c r="B1153" s="13">
        <f>IFERROR(__xludf.DUMMYFUNCTION("GOOGLEFINANCE(A1153,""PRICE"")"),673.4)</f>
        <v>673.4</v>
      </c>
      <c r="C1153" s="14">
        <f>IFERROR(__xludf.DUMMYFUNCTION("GOOGLEFINANCE(A1153,""PRICEOPEN"")"),664.5)</f>
        <v>664.5</v>
      </c>
      <c r="D1153" s="14">
        <f>IFERROR(__xludf.DUMMYFUNCTION("GOOGLEFINANCE(A1153,""HIGH"")"),673.9)</f>
        <v>673.9</v>
      </c>
      <c r="E1153" s="14">
        <f>IFERROR(__xludf.DUMMYFUNCTION("GOOGLEFINANCE(A1153,""LOW"")"),660.5)</f>
        <v>660.5</v>
      </c>
      <c r="F1153" s="15" t="str">
        <f t="shared" si="8"/>
        <v/>
      </c>
      <c r="G1153" s="16">
        <f>IFERROR(__xludf.DUMMYFUNCTION("GOOGLEFINANCE(A1153,""CLOSEYEST"")"),666.7)</f>
        <v>666.7</v>
      </c>
      <c r="H1153" s="17" t="str">
        <f t="shared" si="14"/>
        <v/>
      </c>
      <c r="I1153" s="18">
        <f t="shared" si="9"/>
        <v>667.0333333</v>
      </c>
      <c r="J1153" s="19">
        <f t="shared" si="10"/>
        <v>673.5666667</v>
      </c>
      <c r="K1153" s="19"/>
      <c r="L1153" s="19">
        <f t="shared" si="11"/>
        <v>660.1666667</v>
      </c>
      <c r="M1153" s="19">
        <f t="shared" si="12"/>
        <v>680.4333333</v>
      </c>
      <c r="N1153" s="19">
        <f t="shared" si="13"/>
        <v>653.6333333</v>
      </c>
    </row>
    <row r="1154" ht="24.75" customHeight="1">
      <c r="A1154" s="21" t="s">
        <v>1117</v>
      </c>
      <c r="B1154" s="13">
        <f>IFERROR(__xludf.DUMMYFUNCTION("GOOGLEFINANCE(A1154,""PRICE"")"),38.5)</f>
        <v>38.5</v>
      </c>
      <c r="C1154" s="14">
        <f>IFERROR(__xludf.DUMMYFUNCTION("GOOGLEFINANCE(A1154,""PRICEOPEN"")"),37.32)</f>
        <v>37.32</v>
      </c>
      <c r="D1154" s="14">
        <f>IFERROR(__xludf.DUMMYFUNCTION("GOOGLEFINANCE(A1154,""HIGH"")"),39.18)</f>
        <v>39.18</v>
      </c>
      <c r="E1154" s="14">
        <f>IFERROR(__xludf.DUMMYFUNCTION("GOOGLEFINANCE(A1154,""LOW"")"),36.67)</f>
        <v>36.67</v>
      </c>
      <c r="F1154" s="15" t="str">
        <f t="shared" si="8"/>
        <v/>
      </c>
      <c r="G1154" s="16">
        <f>IFERROR(__xludf.DUMMYFUNCTION("GOOGLEFINANCE(A1154,""CLOSEYEST"")"),37.32)</f>
        <v>37.32</v>
      </c>
      <c r="H1154" s="17" t="str">
        <f t="shared" si="14"/>
        <v/>
      </c>
      <c r="I1154" s="18">
        <f t="shared" si="9"/>
        <v>37.72333333</v>
      </c>
      <c r="J1154" s="19">
        <f t="shared" si="10"/>
        <v>38.77666667</v>
      </c>
      <c r="K1154" s="19"/>
      <c r="L1154" s="19">
        <f t="shared" si="11"/>
        <v>36.26666667</v>
      </c>
      <c r="M1154" s="19">
        <f t="shared" si="12"/>
        <v>40.23333333</v>
      </c>
      <c r="N1154" s="19">
        <f t="shared" si="13"/>
        <v>35.21333333</v>
      </c>
    </row>
    <row r="1155" ht="24.75" customHeight="1">
      <c r="A1155" s="21" t="s">
        <v>1118</v>
      </c>
      <c r="B1155" s="13">
        <f>IFERROR(__xludf.DUMMYFUNCTION("GOOGLEFINANCE(A1155,""PRICE"")"),1156.4)</f>
        <v>1156.4</v>
      </c>
      <c r="C1155" s="14">
        <f>IFERROR(__xludf.DUMMYFUNCTION("GOOGLEFINANCE(A1155,""PRICEOPEN"")"),1189.0)</f>
        <v>1189</v>
      </c>
      <c r="D1155" s="14">
        <f>IFERROR(__xludf.DUMMYFUNCTION("GOOGLEFINANCE(A1155,""HIGH"")"),1189.0)</f>
        <v>1189</v>
      </c>
      <c r="E1155" s="14">
        <f>IFERROR(__xludf.DUMMYFUNCTION("GOOGLEFINANCE(A1155,""LOW"")"),1154.5)</f>
        <v>1154.5</v>
      </c>
      <c r="F1155" s="15" t="str">
        <f t="shared" si="8"/>
        <v>SELL</v>
      </c>
      <c r="G1155" s="16">
        <f>IFERROR(__xludf.DUMMYFUNCTION("GOOGLEFINANCE(A1155,""CLOSEYEST"")"),1179.6)</f>
        <v>1179.6</v>
      </c>
      <c r="H1155" s="17" t="str">
        <f t="shared" si="14"/>
        <v/>
      </c>
      <c r="I1155" s="18">
        <f t="shared" si="9"/>
        <v>1174.366667</v>
      </c>
      <c r="J1155" s="19">
        <f t="shared" si="10"/>
        <v>1194.233333</v>
      </c>
      <c r="K1155" s="19"/>
      <c r="L1155" s="19">
        <f t="shared" si="11"/>
        <v>1159.733333</v>
      </c>
      <c r="M1155" s="19">
        <f t="shared" si="12"/>
        <v>1208.866667</v>
      </c>
      <c r="N1155" s="19">
        <f t="shared" si="13"/>
        <v>1139.866667</v>
      </c>
    </row>
    <row r="1156" ht="24.75" customHeight="1">
      <c r="A1156" s="21" t="s">
        <v>1119</v>
      </c>
      <c r="B1156" s="13">
        <f>IFERROR(__xludf.DUMMYFUNCTION("GOOGLEFINANCE(A1156,""PRICE"")"),64.18)</f>
        <v>64.18</v>
      </c>
      <c r="C1156" s="14">
        <f>IFERROR(__xludf.DUMMYFUNCTION("GOOGLEFINANCE(A1156,""PRICEOPEN"")"),64.4)</f>
        <v>64.4</v>
      </c>
      <c r="D1156" s="14">
        <f>IFERROR(__xludf.DUMMYFUNCTION("GOOGLEFINANCE(A1156,""HIGH"")"),65.61)</f>
        <v>65.61</v>
      </c>
      <c r="E1156" s="14">
        <f>IFERROR(__xludf.DUMMYFUNCTION("GOOGLEFINANCE(A1156,""LOW"")"),62.95)</f>
        <v>62.95</v>
      </c>
      <c r="F1156" s="15" t="str">
        <f t="shared" si="8"/>
        <v/>
      </c>
      <c r="G1156" s="16">
        <f>IFERROR(__xludf.DUMMYFUNCTION("GOOGLEFINANCE(A1156,""CLOSEYEST"")"),64.4)</f>
        <v>64.4</v>
      </c>
      <c r="H1156" s="17" t="str">
        <f t="shared" si="14"/>
        <v/>
      </c>
      <c r="I1156" s="18">
        <f t="shared" si="9"/>
        <v>64.32</v>
      </c>
      <c r="J1156" s="19">
        <f t="shared" si="10"/>
        <v>65.69</v>
      </c>
      <c r="K1156" s="19"/>
      <c r="L1156" s="19">
        <f t="shared" si="11"/>
        <v>63.03</v>
      </c>
      <c r="M1156" s="19">
        <f t="shared" si="12"/>
        <v>66.98</v>
      </c>
      <c r="N1156" s="19">
        <f t="shared" si="13"/>
        <v>61.66</v>
      </c>
    </row>
    <row r="1157" ht="24.75" customHeight="1">
      <c r="A1157" s="21" t="s">
        <v>1120</v>
      </c>
      <c r="B1157" s="13">
        <f>IFERROR(__xludf.DUMMYFUNCTION("GOOGLEFINANCE(A1157,""PRICE"")"),45.76)</f>
        <v>45.76</v>
      </c>
      <c r="C1157" s="14">
        <f>IFERROR(__xludf.DUMMYFUNCTION("GOOGLEFINANCE(A1157,""PRICEOPEN"")"),46.36)</f>
        <v>46.36</v>
      </c>
      <c r="D1157" s="14">
        <f>IFERROR(__xludf.DUMMYFUNCTION("GOOGLEFINANCE(A1157,""HIGH"")"),47.22)</f>
        <v>47.22</v>
      </c>
      <c r="E1157" s="14">
        <f>IFERROR(__xludf.DUMMYFUNCTION("GOOGLEFINANCE(A1157,""LOW"")"),44.8)</f>
        <v>44.8</v>
      </c>
      <c r="F1157" s="15" t="str">
        <f t="shared" si="8"/>
        <v/>
      </c>
      <c r="G1157" s="16">
        <f>IFERROR(__xludf.DUMMYFUNCTION("GOOGLEFINANCE(A1157,""CLOSEYEST"")"),46.14)</f>
        <v>46.14</v>
      </c>
      <c r="H1157" s="17" t="str">
        <f t="shared" si="14"/>
        <v/>
      </c>
      <c r="I1157" s="18">
        <f t="shared" si="9"/>
        <v>46.05333333</v>
      </c>
      <c r="J1157" s="19">
        <f t="shared" si="10"/>
        <v>47.30666667</v>
      </c>
      <c r="K1157" s="19"/>
      <c r="L1157" s="19">
        <f t="shared" si="11"/>
        <v>44.88666667</v>
      </c>
      <c r="M1157" s="19">
        <f t="shared" si="12"/>
        <v>48.47333333</v>
      </c>
      <c r="N1157" s="19">
        <f t="shared" si="13"/>
        <v>43.63333333</v>
      </c>
    </row>
    <row r="1158" ht="24.75" customHeight="1">
      <c r="A1158" s="21" t="s">
        <v>1121</v>
      </c>
      <c r="B1158" s="13">
        <f>IFERROR(__xludf.DUMMYFUNCTION("GOOGLEFINANCE(A1158,""PRICE"")"),82.48)</f>
        <v>82.48</v>
      </c>
      <c r="C1158" s="14">
        <f>IFERROR(__xludf.DUMMYFUNCTION("GOOGLEFINANCE(A1158,""PRICEOPEN"")"),85.67)</f>
        <v>85.67</v>
      </c>
      <c r="D1158" s="14">
        <f>IFERROR(__xludf.DUMMYFUNCTION("GOOGLEFINANCE(A1158,""HIGH"")"),85.67)</f>
        <v>85.67</v>
      </c>
      <c r="E1158" s="14">
        <f>IFERROR(__xludf.DUMMYFUNCTION("GOOGLEFINANCE(A1158,""LOW"")"),81.6)</f>
        <v>81.6</v>
      </c>
      <c r="F1158" s="15" t="str">
        <f t="shared" si="8"/>
        <v>SELL</v>
      </c>
      <c r="G1158" s="16">
        <f>IFERROR(__xludf.DUMMYFUNCTION("GOOGLEFINANCE(A1158,""CLOSEYEST"")"),83.9)</f>
        <v>83.9</v>
      </c>
      <c r="H1158" s="17" t="str">
        <f t="shared" si="14"/>
        <v>GAP UP</v>
      </c>
      <c r="I1158" s="18">
        <f t="shared" si="9"/>
        <v>83.72333333</v>
      </c>
      <c r="J1158" s="19">
        <f t="shared" si="10"/>
        <v>85.84666667</v>
      </c>
      <c r="K1158" s="19"/>
      <c r="L1158" s="19">
        <f t="shared" si="11"/>
        <v>81.77666667</v>
      </c>
      <c r="M1158" s="19">
        <f t="shared" si="12"/>
        <v>87.79333333</v>
      </c>
      <c r="N1158" s="19">
        <f t="shared" si="13"/>
        <v>79.65333333</v>
      </c>
    </row>
    <row r="1159" ht="24.75" customHeight="1">
      <c r="A1159" s="21" t="s">
        <v>1122</v>
      </c>
      <c r="B1159" s="13">
        <f>IFERROR(__xludf.DUMMYFUNCTION("GOOGLEFINANCE(A1159,""PRICE"")"),73.96)</f>
        <v>73.96</v>
      </c>
      <c r="C1159" s="14">
        <f>IFERROR(__xludf.DUMMYFUNCTION("GOOGLEFINANCE(A1159,""PRICEOPEN"")"),73.5)</f>
        <v>73.5</v>
      </c>
      <c r="D1159" s="14">
        <f>IFERROR(__xludf.DUMMYFUNCTION("GOOGLEFINANCE(A1159,""HIGH"")"),73.97)</f>
        <v>73.97</v>
      </c>
      <c r="E1159" s="14">
        <f>IFERROR(__xludf.DUMMYFUNCTION("GOOGLEFINANCE(A1159,""LOW"")"),73.27)</f>
        <v>73.27</v>
      </c>
      <c r="F1159" s="15" t="str">
        <f t="shared" si="8"/>
        <v/>
      </c>
      <c r="G1159" s="16">
        <f>IFERROR(__xludf.DUMMYFUNCTION("GOOGLEFINANCE(A1159,""CLOSEYEST"")"),73.64)</f>
        <v>73.64</v>
      </c>
      <c r="H1159" s="17" t="str">
        <f t="shared" si="14"/>
        <v/>
      </c>
      <c r="I1159" s="18">
        <f t="shared" si="9"/>
        <v>73.62666667</v>
      </c>
      <c r="J1159" s="19">
        <f t="shared" si="10"/>
        <v>73.98333333</v>
      </c>
      <c r="K1159" s="19"/>
      <c r="L1159" s="19">
        <f t="shared" si="11"/>
        <v>73.28333333</v>
      </c>
      <c r="M1159" s="19">
        <f t="shared" si="12"/>
        <v>74.32666667</v>
      </c>
      <c r="N1159" s="19">
        <f t="shared" si="13"/>
        <v>72.92666667</v>
      </c>
    </row>
    <row r="1160" ht="24.75" customHeight="1">
      <c r="A1160" s="21" t="s">
        <v>1123</v>
      </c>
      <c r="B1160" s="13">
        <f>IFERROR(__xludf.DUMMYFUNCTION("GOOGLEFINANCE(A1160,""PRICE"")"),99.0)</f>
        <v>99</v>
      </c>
      <c r="C1160" s="14">
        <f>IFERROR(__xludf.DUMMYFUNCTION("GOOGLEFINANCE(A1160,""PRICEOPEN"")"),96.75)</f>
        <v>96.75</v>
      </c>
      <c r="D1160" s="14">
        <f>IFERROR(__xludf.DUMMYFUNCTION("GOOGLEFINANCE(A1160,""HIGH"")"),99.0)</f>
        <v>99</v>
      </c>
      <c r="E1160" s="14">
        <f>IFERROR(__xludf.DUMMYFUNCTION("GOOGLEFINANCE(A1160,""LOW"")"),96.05)</f>
        <v>96.05</v>
      </c>
      <c r="F1160" s="15" t="str">
        <f t="shared" si="8"/>
        <v/>
      </c>
      <c r="G1160" s="16">
        <f>IFERROR(__xludf.DUMMYFUNCTION("GOOGLEFINANCE(A1160,""CLOSEYEST"")"),95.58)</f>
        <v>95.58</v>
      </c>
      <c r="H1160" s="17" t="str">
        <f t="shared" si="14"/>
        <v>GAP UP</v>
      </c>
      <c r="I1160" s="18">
        <f t="shared" si="9"/>
        <v>96.87666667</v>
      </c>
      <c r="J1160" s="19">
        <f t="shared" si="10"/>
        <v>97.70333333</v>
      </c>
      <c r="K1160" s="19"/>
      <c r="L1160" s="19">
        <f t="shared" si="11"/>
        <v>94.75333333</v>
      </c>
      <c r="M1160" s="19">
        <f t="shared" si="12"/>
        <v>99.82666667</v>
      </c>
      <c r="N1160" s="19">
        <f t="shared" si="13"/>
        <v>93.92666667</v>
      </c>
    </row>
    <row r="1161" ht="24.75" customHeight="1">
      <c r="A1161" s="21" t="s">
        <v>1124</v>
      </c>
      <c r="B1161" s="13">
        <f>IFERROR(__xludf.DUMMYFUNCTION("GOOGLEFINANCE(A1161,""PRICE"")"),9.4)</f>
        <v>9.4</v>
      </c>
      <c r="C1161" s="14">
        <f>IFERROR(__xludf.DUMMYFUNCTION("GOOGLEFINANCE(A1161,""PRICEOPEN"")"),9.56)</f>
        <v>9.56</v>
      </c>
      <c r="D1161" s="14">
        <f>IFERROR(__xludf.DUMMYFUNCTION("GOOGLEFINANCE(A1161,""HIGH"")"),9.56)</f>
        <v>9.56</v>
      </c>
      <c r="E1161" s="14">
        <f>IFERROR(__xludf.DUMMYFUNCTION("GOOGLEFINANCE(A1161,""LOW"")"),9.31)</f>
        <v>9.31</v>
      </c>
      <c r="F1161" s="15" t="str">
        <f t="shared" si="8"/>
        <v>SELL</v>
      </c>
      <c r="G1161" s="16">
        <f>IFERROR(__xludf.DUMMYFUNCTION("GOOGLEFINANCE(A1161,""CLOSEYEST"")"),9.44)</f>
        <v>9.44</v>
      </c>
      <c r="H1161" s="17" t="str">
        <f t="shared" si="14"/>
        <v>GAP UP</v>
      </c>
      <c r="I1161" s="18">
        <f t="shared" si="9"/>
        <v>9.436666667</v>
      </c>
      <c r="J1161" s="19">
        <f t="shared" si="10"/>
        <v>9.563333333</v>
      </c>
      <c r="K1161" s="19"/>
      <c r="L1161" s="19">
        <f t="shared" si="11"/>
        <v>9.313333333</v>
      </c>
      <c r="M1161" s="19">
        <f t="shared" si="12"/>
        <v>9.686666667</v>
      </c>
      <c r="N1161" s="19">
        <f t="shared" si="13"/>
        <v>9.186666667</v>
      </c>
    </row>
    <row r="1162" ht="24.75" customHeight="1">
      <c r="A1162" s="21" t="s">
        <v>1125</v>
      </c>
      <c r="B1162" s="13">
        <f>IFERROR(__xludf.DUMMYFUNCTION("GOOGLEFINANCE(A1162,""PRICE"")"),1.51)</f>
        <v>1.51</v>
      </c>
      <c r="C1162" s="14">
        <f>IFERROR(__xludf.DUMMYFUNCTION("GOOGLEFINANCE(A1162,""PRICEOPEN"")"),1.51)</f>
        <v>1.51</v>
      </c>
      <c r="D1162" s="14">
        <f>IFERROR(__xludf.DUMMYFUNCTION("GOOGLEFINANCE(A1162,""HIGH"")"),1.54)</f>
        <v>1.54</v>
      </c>
      <c r="E1162" s="14">
        <f>IFERROR(__xludf.DUMMYFUNCTION("GOOGLEFINANCE(A1162,""LOW"")"),1.49)</f>
        <v>1.49</v>
      </c>
      <c r="F1162" s="15" t="str">
        <f t="shared" si="8"/>
        <v/>
      </c>
      <c r="G1162" s="16">
        <f>IFERROR(__xludf.DUMMYFUNCTION("GOOGLEFINANCE(A1162,""CLOSEYEST"")"),1.49)</f>
        <v>1.49</v>
      </c>
      <c r="H1162" s="17" t="str">
        <f t="shared" si="14"/>
        <v>GAP UP</v>
      </c>
      <c r="I1162" s="18">
        <f t="shared" si="9"/>
        <v>1.506666667</v>
      </c>
      <c r="J1162" s="19">
        <f t="shared" si="10"/>
        <v>1.523333333</v>
      </c>
      <c r="K1162" s="19"/>
      <c r="L1162" s="19">
        <f t="shared" si="11"/>
        <v>1.473333333</v>
      </c>
      <c r="M1162" s="19">
        <f t="shared" si="12"/>
        <v>1.556666667</v>
      </c>
      <c r="N1162" s="19">
        <f t="shared" si="13"/>
        <v>1.456666667</v>
      </c>
    </row>
    <row r="1163" ht="24.75" customHeight="1">
      <c r="A1163" s="21" t="s">
        <v>1126</v>
      </c>
      <c r="B1163" s="13">
        <f>IFERROR(__xludf.DUMMYFUNCTION("GOOGLEFINANCE(A1163,""PRICE"")"),10.99)</f>
        <v>10.99</v>
      </c>
      <c r="C1163" s="14">
        <f>IFERROR(__xludf.DUMMYFUNCTION("GOOGLEFINANCE(A1163,""PRICEOPEN"")"),10.99)</f>
        <v>10.99</v>
      </c>
      <c r="D1163" s="14">
        <f>IFERROR(__xludf.DUMMYFUNCTION("GOOGLEFINANCE(A1163,""HIGH"")"),10.99)</f>
        <v>10.99</v>
      </c>
      <c r="E1163" s="14">
        <f>IFERROR(__xludf.DUMMYFUNCTION("GOOGLEFINANCE(A1163,""LOW"")"),10.99)</f>
        <v>10.99</v>
      </c>
      <c r="F1163" s="15" t="str">
        <f t="shared" si="8"/>
        <v>SELL</v>
      </c>
      <c r="G1163" s="16">
        <f>IFERROR(__xludf.DUMMYFUNCTION("GOOGLEFINANCE(A1163,""CLOSEYEST"")"),10.99)</f>
        <v>10.99</v>
      </c>
      <c r="H1163" s="17" t="str">
        <f t="shared" si="14"/>
        <v/>
      </c>
      <c r="I1163" s="18">
        <f t="shared" si="9"/>
        <v>10.99</v>
      </c>
      <c r="J1163" s="19">
        <f t="shared" si="10"/>
        <v>10.99</v>
      </c>
      <c r="K1163" s="19"/>
      <c r="L1163" s="19">
        <f t="shared" si="11"/>
        <v>10.99</v>
      </c>
      <c r="M1163" s="19">
        <f t="shared" si="12"/>
        <v>10.99</v>
      </c>
      <c r="N1163" s="19">
        <f t="shared" si="13"/>
        <v>10.99</v>
      </c>
    </row>
    <row r="1164" ht="24.75" customHeight="1">
      <c r="A1164" s="21" t="s">
        <v>1127</v>
      </c>
      <c r="B1164" s="13" t="str">
        <f>IFERROR(__xludf.DUMMYFUNCTION("GOOGLEFINANCE(A1164,""PRICE"")"),"#N/A")</f>
        <v>#N/A</v>
      </c>
      <c r="C1164" s="14" t="str">
        <f>IFERROR(__xludf.DUMMYFUNCTION("GOOGLEFINANCE(A1164,""PRICEOPEN"")"),"#N/A")</f>
        <v>#N/A</v>
      </c>
      <c r="D1164" s="14" t="str">
        <f>IFERROR(__xludf.DUMMYFUNCTION("GOOGLEFINANCE(A1164,""HIGH"")"),"#N/A")</f>
        <v>#N/A</v>
      </c>
      <c r="E1164" s="14" t="str">
        <f>IFERROR(__xludf.DUMMYFUNCTION("GOOGLEFINANCE(A1164,""LOW"")"),"#N/A")</f>
        <v>#N/A</v>
      </c>
      <c r="F1164" s="15" t="str">
        <f t="shared" si="8"/>
        <v>#N/A</v>
      </c>
      <c r="G1164" s="16" t="str">
        <f>IFERROR(__xludf.DUMMYFUNCTION("GOOGLEFINANCE(A1164,""CLOSEYEST"")"),"#N/A")</f>
        <v>#N/A</v>
      </c>
      <c r="H1164" s="17" t="str">
        <f t="shared" si="14"/>
        <v>#N/A</v>
      </c>
      <c r="I1164" s="18" t="str">
        <f t="shared" si="9"/>
        <v>#N/A</v>
      </c>
      <c r="J1164" s="19" t="str">
        <f t="shared" si="10"/>
        <v>#N/A</v>
      </c>
      <c r="K1164" s="19"/>
      <c r="L1164" s="19" t="str">
        <f t="shared" si="11"/>
        <v>#N/A</v>
      </c>
      <c r="M1164" s="19" t="str">
        <f t="shared" si="12"/>
        <v>#N/A</v>
      </c>
      <c r="N1164" s="19" t="str">
        <f t="shared" si="13"/>
        <v>#N/A</v>
      </c>
    </row>
    <row r="1165" ht="24.75" customHeight="1">
      <c r="A1165" s="21" t="s">
        <v>1128</v>
      </c>
      <c r="B1165" s="13">
        <f>IFERROR(__xludf.DUMMYFUNCTION("GOOGLEFINANCE(A1165,""PRICE"")"),104.92)</f>
        <v>104.92</v>
      </c>
      <c r="C1165" s="14">
        <f>IFERROR(__xludf.DUMMYFUNCTION("GOOGLEFINANCE(A1165,""PRICEOPEN"")"),104.4)</f>
        <v>104.4</v>
      </c>
      <c r="D1165" s="14">
        <f>IFERROR(__xludf.DUMMYFUNCTION("GOOGLEFINANCE(A1165,""HIGH"")"),108.49)</f>
        <v>108.49</v>
      </c>
      <c r="E1165" s="14">
        <f>IFERROR(__xludf.DUMMYFUNCTION("GOOGLEFINANCE(A1165,""LOW"")"),103.11)</f>
        <v>103.11</v>
      </c>
      <c r="F1165" s="15" t="str">
        <f t="shared" si="8"/>
        <v/>
      </c>
      <c r="G1165" s="16">
        <f>IFERROR(__xludf.DUMMYFUNCTION("GOOGLEFINANCE(A1165,""CLOSEYEST"")"),103.21)</f>
        <v>103.21</v>
      </c>
      <c r="H1165" s="17" t="str">
        <f t="shared" si="14"/>
        <v>GAP UP</v>
      </c>
      <c r="I1165" s="18">
        <f t="shared" si="9"/>
        <v>104.9366667</v>
      </c>
      <c r="J1165" s="19">
        <f t="shared" si="10"/>
        <v>106.7633333</v>
      </c>
      <c r="K1165" s="19"/>
      <c r="L1165" s="19">
        <f t="shared" si="11"/>
        <v>101.3833333</v>
      </c>
      <c r="M1165" s="19">
        <f t="shared" si="12"/>
        <v>110.3166667</v>
      </c>
      <c r="N1165" s="19">
        <f t="shared" si="13"/>
        <v>99.55666667</v>
      </c>
    </row>
    <row r="1166" ht="24.75" customHeight="1">
      <c r="A1166" s="21" t="s">
        <v>1129</v>
      </c>
      <c r="B1166" s="13">
        <f>IFERROR(__xludf.DUMMYFUNCTION("GOOGLEFINANCE(A1166,""PRICE"")"),3.9)</f>
        <v>3.9</v>
      </c>
      <c r="C1166" s="14">
        <f>IFERROR(__xludf.DUMMYFUNCTION("GOOGLEFINANCE(A1166,""PRICEOPEN"")"),3.88)</f>
        <v>3.88</v>
      </c>
      <c r="D1166" s="14">
        <f>IFERROR(__xludf.DUMMYFUNCTION("GOOGLEFINANCE(A1166,""HIGH"")"),3.97)</f>
        <v>3.97</v>
      </c>
      <c r="E1166" s="14">
        <f>IFERROR(__xludf.DUMMYFUNCTION("GOOGLEFINANCE(A1166,""LOW"")"),3.88)</f>
        <v>3.88</v>
      </c>
      <c r="F1166" s="15" t="str">
        <f t="shared" si="8"/>
        <v>BUY</v>
      </c>
      <c r="G1166" s="16">
        <f>IFERROR(__xludf.DUMMYFUNCTION("GOOGLEFINANCE(A1166,""CLOSEYEST"")"),3.88)</f>
        <v>3.88</v>
      </c>
      <c r="H1166" s="17" t="str">
        <f t="shared" si="14"/>
        <v/>
      </c>
      <c r="I1166" s="18">
        <f t="shared" si="9"/>
        <v>3.91</v>
      </c>
      <c r="J1166" s="19">
        <f t="shared" si="10"/>
        <v>3.94</v>
      </c>
      <c r="K1166" s="19"/>
      <c r="L1166" s="19">
        <f t="shared" si="11"/>
        <v>3.85</v>
      </c>
      <c r="M1166" s="19">
        <f t="shared" si="12"/>
        <v>4</v>
      </c>
      <c r="N1166" s="19">
        <f t="shared" si="13"/>
        <v>3.82</v>
      </c>
    </row>
    <row r="1167" ht="24.75" customHeight="1">
      <c r="A1167" s="21" t="s">
        <v>1130</v>
      </c>
      <c r="B1167" s="13">
        <f>IFERROR(__xludf.DUMMYFUNCTION("GOOGLEFINANCE(A1167,""PRICE"")"),116.7)</f>
        <v>116.7</v>
      </c>
      <c r="C1167" s="14">
        <f>IFERROR(__xludf.DUMMYFUNCTION("GOOGLEFINANCE(A1167,""PRICEOPEN"")"),114.85)</f>
        <v>114.85</v>
      </c>
      <c r="D1167" s="14">
        <f>IFERROR(__xludf.DUMMYFUNCTION("GOOGLEFINANCE(A1167,""HIGH"")"),118.9)</f>
        <v>118.9</v>
      </c>
      <c r="E1167" s="14">
        <f>IFERROR(__xludf.DUMMYFUNCTION("GOOGLEFINANCE(A1167,""LOW"")"),113.86)</f>
        <v>113.86</v>
      </c>
      <c r="F1167" s="15" t="str">
        <f t="shared" si="8"/>
        <v/>
      </c>
      <c r="G1167" s="16">
        <f>IFERROR(__xludf.DUMMYFUNCTION("GOOGLEFINANCE(A1167,""CLOSEYEST"")"),113.73)</f>
        <v>113.73</v>
      </c>
      <c r="H1167" s="17" t="str">
        <f t="shared" si="14"/>
        <v/>
      </c>
      <c r="I1167" s="18">
        <f t="shared" si="9"/>
        <v>115.4966667</v>
      </c>
      <c r="J1167" s="19">
        <f t="shared" si="10"/>
        <v>117.1333333</v>
      </c>
      <c r="K1167" s="19"/>
      <c r="L1167" s="19">
        <f t="shared" si="11"/>
        <v>112.0933333</v>
      </c>
      <c r="M1167" s="19">
        <f t="shared" si="12"/>
        <v>120.5366667</v>
      </c>
      <c r="N1167" s="19">
        <f t="shared" si="13"/>
        <v>110.4566667</v>
      </c>
    </row>
    <row r="1168" ht="24.75" customHeight="1">
      <c r="A1168" s="21" t="s">
        <v>1131</v>
      </c>
      <c r="B1168" s="13">
        <f>IFERROR(__xludf.DUMMYFUNCTION("GOOGLEFINANCE(A1168,""PRICE"")"),203.8)</f>
        <v>203.8</v>
      </c>
      <c r="C1168" s="14">
        <f>IFERROR(__xludf.DUMMYFUNCTION("GOOGLEFINANCE(A1168,""PRICEOPEN"")"),187.53)</f>
        <v>187.53</v>
      </c>
      <c r="D1168" s="14">
        <f>IFERROR(__xludf.DUMMYFUNCTION("GOOGLEFINANCE(A1168,""HIGH"")"),203.8)</f>
        <v>203.8</v>
      </c>
      <c r="E1168" s="14">
        <f>IFERROR(__xludf.DUMMYFUNCTION("GOOGLEFINANCE(A1168,""LOW"")"),186.96)</f>
        <v>186.96</v>
      </c>
      <c r="F1168" s="15" t="str">
        <f t="shared" si="8"/>
        <v/>
      </c>
      <c r="G1168" s="16">
        <f>IFERROR(__xludf.DUMMYFUNCTION("GOOGLEFINANCE(A1168,""CLOSEYEST"")"),187.53)</f>
        <v>187.53</v>
      </c>
      <c r="H1168" s="17" t="str">
        <f t="shared" si="14"/>
        <v/>
      </c>
      <c r="I1168" s="18">
        <f t="shared" si="9"/>
        <v>192.7633333</v>
      </c>
      <c r="J1168" s="19">
        <f t="shared" si="10"/>
        <v>198.5666667</v>
      </c>
      <c r="K1168" s="19"/>
      <c r="L1168" s="19">
        <f t="shared" si="11"/>
        <v>181.7266667</v>
      </c>
      <c r="M1168" s="19">
        <f t="shared" si="12"/>
        <v>209.6033333</v>
      </c>
      <c r="N1168" s="19">
        <f t="shared" si="13"/>
        <v>175.9233333</v>
      </c>
    </row>
    <row r="1169" ht="24.75" customHeight="1">
      <c r="A1169" s="21" t="s">
        <v>1132</v>
      </c>
      <c r="B1169" s="13">
        <f>IFERROR(__xludf.DUMMYFUNCTION("GOOGLEFINANCE(A1169,""PRICE"")"),470.0)</f>
        <v>470</v>
      </c>
      <c r="C1169" s="14">
        <f>IFERROR(__xludf.DUMMYFUNCTION("GOOGLEFINANCE(A1169,""PRICEOPEN"")"),470.0)</f>
        <v>470</v>
      </c>
      <c r="D1169" s="14">
        <f>IFERROR(__xludf.DUMMYFUNCTION("GOOGLEFINANCE(A1169,""HIGH"")"),470.0)</f>
        <v>470</v>
      </c>
      <c r="E1169" s="14">
        <f>IFERROR(__xludf.DUMMYFUNCTION("GOOGLEFINANCE(A1169,""LOW"")"),452.05)</f>
        <v>452.05</v>
      </c>
      <c r="F1169" s="15" t="str">
        <f t="shared" si="8"/>
        <v>SELL</v>
      </c>
      <c r="G1169" s="16">
        <f>IFERROR(__xludf.DUMMYFUNCTION("GOOGLEFINANCE(A1169,""CLOSEYEST"")"),453.95)</f>
        <v>453.95</v>
      </c>
      <c r="H1169" s="17" t="str">
        <f t="shared" si="14"/>
        <v>GAP UP</v>
      </c>
      <c r="I1169" s="18">
        <f t="shared" si="9"/>
        <v>458.6666667</v>
      </c>
      <c r="J1169" s="19">
        <f t="shared" si="10"/>
        <v>465.2833333</v>
      </c>
      <c r="K1169" s="19"/>
      <c r="L1169" s="19">
        <f t="shared" si="11"/>
        <v>447.3333333</v>
      </c>
      <c r="M1169" s="19">
        <f t="shared" si="12"/>
        <v>476.6166667</v>
      </c>
      <c r="N1169" s="19">
        <f t="shared" si="13"/>
        <v>440.7166667</v>
      </c>
    </row>
    <row r="1170" ht="24.75" customHeight="1">
      <c r="A1170" s="21" t="s">
        <v>1133</v>
      </c>
      <c r="B1170" s="13">
        <f>IFERROR(__xludf.DUMMYFUNCTION("GOOGLEFINANCE(A1170,""PRICE"")"),86.02)</f>
        <v>86.02</v>
      </c>
      <c r="C1170" s="14">
        <f>IFERROR(__xludf.DUMMYFUNCTION("GOOGLEFINANCE(A1170,""PRICEOPEN"")"),85.0)</f>
        <v>85</v>
      </c>
      <c r="D1170" s="14">
        <f>IFERROR(__xludf.DUMMYFUNCTION("GOOGLEFINANCE(A1170,""HIGH"")"),86.95)</f>
        <v>86.95</v>
      </c>
      <c r="E1170" s="14">
        <f>IFERROR(__xludf.DUMMYFUNCTION("GOOGLEFINANCE(A1170,""LOW"")"),84.94)</f>
        <v>84.94</v>
      </c>
      <c r="F1170" s="15" t="str">
        <f t="shared" si="8"/>
        <v/>
      </c>
      <c r="G1170" s="16">
        <f>IFERROR(__xludf.DUMMYFUNCTION("GOOGLEFINANCE(A1170,""CLOSEYEST"")"),84.9)</f>
        <v>84.9</v>
      </c>
      <c r="H1170" s="17" t="str">
        <f t="shared" si="14"/>
        <v/>
      </c>
      <c r="I1170" s="18">
        <f t="shared" si="9"/>
        <v>85.59666667</v>
      </c>
      <c r="J1170" s="19">
        <f t="shared" si="10"/>
        <v>86.25333333</v>
      </c>
      <c r="K1170" s="19"/>
      <c r="L1170" s="19">
        <f t="shared" si="11"/>
        <v>84.24333333</v>
      </c>
      <c r="M1170" s="19">
        <f t="shared" si="12"/>
        <v>87.60666667</v>
      </c>
      <c r="N1170" s="19">
        <f t="shared" si="13"/>
        <v>83.58666667</v>
      </c>
    </row>
    <row r="1171" ht="24.75" customHeight="1">
      <c r="A1171" s="21" t="s">
        <v>1134</v>
      </c>
      <c r="B1171" s="13">
        <f>IFERROR(__xludf.DUMMYFUNCTION("GOOGLEFINANCE(A1171,""PRICE"")"),188.88)</f>
        <v>188.88</v>
      </c>
      <c r="C1171" s="14">
        <f>IFERROR(__xludf.DUMMYFUNCTION("GOOGLEFINANCE(A1171,""PRICEOPEN"")"),185.97)</f>
        <v>185.97</v>
      </c>
      <c r="D1171" s="14">
        <f>IFERROR(__xludf.DUMMYFUNCTION("GOOGLEFINANCE(A1171,""HIGH"")"),189.7)</f>
        <v>189.7</v>
      </c>
      <c r="E1171" s="14">
        <f>IFERROR(__xludf.DUMMYFUNCTION("GOOGLEFINANCE(A1171,""LOW"")"),185.05)</f>
        <v>185.05</v>
      </c>
      <c r="F1171" s="15" t="str">
        <f t="shared" si="8"/>
        <v/>
      </c>
      <c r="G1171" s="16">
        <f>IFERROR(__xludf.DUMMYFUNCTION("GOOGLEFINANCE(A1171,""CLOSEYEST"")"),185.25)</f>
        <v>185.25</v>
      </c>
      <c r="H1171" s="17" t="str">
        <f t="shared" si="14"/>
        <v/>
      </c>
      <c r="I1171" s="18">
        <f t="shared" si="9"/>
        <v>186.6666667</v>
      </c>
      <c r="J1171" s="19">
        <f t="shared" si="10"/>
        <v>188.2833333</v>
      </c>
      <c r="K1171" s="19"/>
      <c r="L1171" s="19">
        <f t="shared" si="11"/>
        <v>183.6333333</v>
      </c>
      <c r="M1171" s="19">
        <f t="shared" si="12"/>
        <v>191.3166667</v>
      </c>
      <c r="N1171" s="19">
        <f t="shared" si="13"/>
        <v>182.0166667</v>
      </c>
    </row>
    <row r="1172" ht="24.75" customHeight="1">
      <c r="A1172" s="21" t="s">
        <v>1135</v>
      </c>
      <c r="B1172" s="13">
        <f>IFERROR(__xludf.DUMMYFUNCTION("GOOGLEFINANCE(A1172,""PRICE"")"),55.84)</f>
        <v>55.84</v>
      </c>
      <c r="C1172" s="14">
        <f>IFERROR(__xludf.DUMMYFUNCTION("GOOGLEFINANCE(A1172,""PRICEOPEN"")"),55.5)</f>
        <v>55.5</v>
      </c>
      <c r="D1172" s="14">
        <f>IFERROR(__xludf.DUMMYFUNCTION("GOOGLEFINANCE(A1172,""HIGH"")"),56.26)</f>
        <v>56.26</v>
      </c>
      <c r="E1172" s="14">
        <f>IFERROR(__xludf.DUMMYFUNCTION("GOOGLEFINANCE(A1172,""LOW"")"),54.07)</f>
        <v>54.07</v>
      </c>
      <c r="F1172" s="15" t="str">
        <f t="shared" si="8"/>
        <v/>
      </c>
      <c r="G1172" s="16">
        <f>IFERROR(__xludf.DUMMYFUNCTION("GOOGLEFINANCE(A1172,""CLOSEYEST"")"),55.7)</f>
        <v>55.7</v>
      </c>
      <c r="H1172" s="17" t="str">
        <f t="shared" si="14"/>
        <v/>
      </c>
      <c r="I1172" s="18">
        <f t="shared" si="9"/>
        <v>55.34333333</v>
      </c>
      <c r="J1172" s="19">
        <f t="shared" si="10"/>
        <v>56.61666667</v>
      </c>
      <c r="K1172" s="19"/>
      <c r="L1172" s="19">
        <f t="shared" si="11"/>
        <v>54.42666667</v>
      </c>
      <c r="M1172" s="19">
        <f t="shared" si="12"/>
        <v>57.53333333</v>
      </c>
      <c r="N1172" s="19">
        <f t="shared" si="13"/>
        <v>53.15333333</v>
      </c>
    </row>
    <row r="1173" ht="24.75" customHeight="1">
      <c r="A1173" s="21" t="s">
        <v>1136</v>
      </c>
      <c r="B1173" s="13">
        <f>IFERROR(__xludf.DUMMYFUNCTION("GOOGLEFINANCE(A1173,""PRICE"")"),245.5)</f>
        <v>245.5</v>
      </c>
      <c r="C1173" s="14">
        <f>IFERROR(__xludf.DUMMYFUNCTION("GOOGLEFINANCE(A1173,""PRICEOPEN"")"),239.0)</f>
        <v>239</v>
      </c>
      <c r="D1173" s="14">
        <f>IFERROR(__xludf.DUMMYFUNCTION("GOOGLEFINANCE(A1173,""HIGH"")"),245.5)</f>
        <v>245.5</v>
      </c>
      <c r="E1173" s="14">
        <f>IFERROR(__xludf.DUMMYFUNCTION("GOOGLEFINANCE(A1173,""LOW"")"),238.83)</f>
        <v>238.83</v>
      </c>
      <c r="F1173" s="15" t="str">
        <f t="shared" si="8"/>
        <v/>
      </c>
      <c r="G1173" s="16">
        <f>IFERROR(__xludf.DUMMYFUNCTION("GOOGLEFINANCE(A1173,""CLOSEYEST"")"),239.33)</f>
        <v>239.33</v>
      </c>
      <c r="H1173" s="17" t="str">
        <f t="shared" si="14"/>
        <v/>
      </c>
      <c r="I1173" s="18">
        <f t="shared" si="9"/>
        <v>241.22</v>
      </c>
      <c r="J1173" s="19">
        <f t="shared" si="10"/>
        <v>243.61</v>
      </c>
      <c r="K1173" s="19"/>
      <c r="L1173" s="19">
        <f t="shared" si="11"/>
        <v>236.94</v>
      </c>
      <c r="M1173" s="19">
        <f t="shared" si="12"/>
        <v>247.89</v>
      </c>
      <c r="N1173" s="19">
        <f t="shared" si="13"/>
        <v>234.55</v>
      </c>
    </row>
    <row r="1174" ht="24.75" customHeight="1">
      <c r="A1174" s="21" t="s">
        <v>1137</v>
      </c>
      <c r="B1174" s="13">
        <f>IFERROR(__xludf.DUMMYFUNCTION("GOOGLEFINANCE(A1174,""PRICE"")"),275.0)</f>
        <v>275</v>
      </c>
      <c r="C1174" s="14">
        <f>IFERROR(__xludf.DUMMYFUNCTION("GOOGLEFINANCE(A1174,""PRICEOPEN"")"),276.95)</f>
        <v>276.95</v>
      </c>
      <c r="D1174" s="14">
        <f>IFERROR(__xludf.DUMMYFUNCTION("GOOGLEFINANCE(A1174,""HIGH"")"),276.95)</f>
        <v>276.95</v>
      </c>
      <c r="E1174" s="14">
        <f>IFERROR(__xludf.DUMMYFUNCTION("GOOGLEFINANCE(A1174,""LOW"")"),271.1)</f>
        <v>271.1</v>
      </c>
      <c r="F1174" s="15" t="str">
        <f t="shared" si="8"/>
        <v>SELL</v>
      </c>
      <c r="G1174" s="16">
        <f>IFERROR(__xludf.DUMMYFUNCTION("GOOGLEFINANCE(A1174,""CLOSEYEST"")"),274.65)</f>
        <v>274.65</v>
      </c>
      <c r="H1174" s="17" t="str">
        <f t="shared" si="14"/>
        <v/>
      </c>
      <c r="I1174" s="18">
        <f t="shared" si="9"/>
        <v>274.2333333</v>
      </c>
      <c r="J1174" s="19">
        <f t="shared" si="10"/>
        <v>277.3666667</v>
      </c>
      <c r="K1174" s="19"/>
      <c r="L1174" s="19">
        <f t="shared" si="11"/>
        <v>271.5166667</v>
      </c>
      <c r="M1174" s="19">
        <f t="shared" si="12"/>
        <v>280.0833333</v>
      </c>
      <c r="N1174" s="19">
        <f t="shared" si="13"/>
        <v>268.3833333</v>
      </c>
    </row>
    <row r="1175" ht="24.75" customHeight="1">
      <c r="A1175" s="21" t="s">
        <v>1138</v>
      </c>
      <c r="B1175" s="13">
        <f>IFERROR(__xludf.DUMMYFUNCTION("GOOGLEFINANCE(A1175,""PRICE"")"),2233.0)</f>
        <v>2233</v>
      </c>
      <c r="C1175" s="14">
        <f>IFERROR(__xludf.DUMMYFUNCTION("GOOGLEFINANCE(A1175,""PRICEOPEN"")"),2207.0)</f>
        <v>2207</v>
      </c>
      <c r="D1175" s="14">
        <f>IFERROR(__xludf.DUMMYFUNCTION("GOOGLEFINANCE(A1175,""HIGH"")"),2348.9)</f>
        <v>2348.9</v>
      </c>
      <c r="E1175" s="14">
        <f>IFERROR(__xludf.DUMMYFUNCTION("GOOGLEFINANCE(A1175,""LOW"")"),2133.1)</f>
        <v>2133.1</v>
      </c>
      <c r="F1175" s="15" t="str">
        <f t="shared" si="8"/>
        <v/>
      </c>
      <c r="G1175" s="16">
        <f>IFERROR(__xludf.DUMMYFUNCTION("GOOGLEFINANCE(A1175,""CLOSEYEST"")"),2168.5)</f>
        <v>2168.5</v>
      </c>
      <c r="H1175" s="17" t="str">
        <f t="shared" si="14"/>
        <v>GAP UP</v>
      </c>
      <c r="I1175" s="18">
        <f t="shared" si="9"/>
        <v>2216.833333</v>
      </c>
      <c r="J1175" s="19">
        <f t="shared" si="10"/>
        <v>2300.566667</v>
      </c>
      <c r="K1175" s="19"/>
      <c r="L1175" s="19">
        <f t="shared" si="11"/>
        <v>2084.766667</v>
      </c>
      <c r="M1175" s="19">
        <f t="shared" si="12"/>
        <v>2432.633333</v>
      </c>
      <c r="N1175" s="19">
        <f t="shared" si="13"/>
        <v>2001.033333</v>
      </c>
    </row>
    <row r="1176" ht="24.75" customHeight="1">
      <c r="A1176" s="21" t="s">
        <v>1139</v>
      </c>
      <c r="B1176" s="13" t="str">
        <f>IFERROR(__xludf.DUMMYFUNCTION("GOOGLEFINANCE(A1176,""PRICE"")"),"#N/A")</f>
        <v>#N/A</v>
      </c>
      <c r="C1176" s="14" t="str">
        <f>IFERROR(__xludf.DUMMYFUNCTION("GOOGLEFINANCE(A1176,""PRICEOPEN"")"),"#N/A")</f>
        <v>#N/A</v>
      </c>
      <c r="D1176" s="14" t="str">
        <f>IFERROR(__xludf.DUMMYFUNCTION("GOOGLEFINANCE(A1176,""HIGH"")"),"#N/A")</f>
        <v>#N/A</v>
      </c>
      <c r="E1176" s="14" t="str">
        <f>IFERROR(__xludf.DUMMYFUNCTION("GOOGLEFINANCE(A1176,""LOW"")"),"#N/A")</f>
        <v>#N/A</v>
      </c>
      <c r="F1176" s="15" t="str">
        <f t="shared" si="8"/>
        <v>#N/A</v>
      </c>
      <c r="G1176" s="16" t="str">
        <f>IFERROR(__xludf.DUMMYFUNCTION("GOOGLEFINANCE(A1176,""CLOSEYEST"")"),"#N/A")</f>
        <v>#N/A</v>
      </c>
      <c r="H1176" s="17" t="str">
        <f t="shared" si="14"/>
        <v>#N/A</v>
      </c>
      <c r="I1176" s="18" t="str">
        <f t="shared" si="9"/>
        <v>#N/A</v>
      </c>
      <c r="J1176" s="19" t="str">
        <f t="shared" si="10"/>
        <v>#N/A</v>
      </c>
      <c r="K1176" s="19"/>
      <c r="L1176" s="19" t="str">
        <f t="shared" si="11"/>
        <v>#N/A</v>
      </c>
      <c r="M1176" s="19" t="str">
        <f t="shared" si="12"/>
        <v>#N/A</v>
      </c>
      <c r="N1176" s="19" t="str">
        <f t="shared" si="13"/>
        <v>#N/A</v>
      </c>
    </row>
    <row r="1177" ht="24.75" customHeight="1">
      <c r="A1177" s="21" t="s">
        <v>1140</v>
      </c>
      <c r="B1177" s="13">
        <f>IFERROR(__xludf.DUMMYFUNCTION("GOOGLEFINANCE(A1177,""PRICE"")"),141.72)</f>
        <v>141.72</v>
      </c>
      <c r="C1177" s="14">
        <f>IFERROR(__xludf.DUMMYFUNCTION("GOOGLEFINANCE(A1177,""PRICEOPEN"")"),142.23)</f>
        <v>142.23</v>
      </c>
      <c r="D1177" s="14">
        <f>IFERROR(__xludf.DUMMYFUNCTION("GOOGLEFINANCE(A1177,""HIGH"")"),142.23)</f>
        <v>142.23</v>
      </c>
      <c r="E1177" s="14">
        <f>IFERROR(__xludf.DUMMYFUNCTION("GOOGLEFINANCE(A1177,""LOW"")"),139.44)</f>
        <v>139.44</v>
      </c>
      <c r="F1177" s="15" t="str">
        <f t="shared" si="8"/>
        <v>SELL</v>
      </c>
      <c r="G1177" s="16">
        <f>IFERROR(__xludf.DUMMYFUNCTION("GOOGLEFINANCE(A1177,""CLOSEYEST"")"),140.84)</f>
        <v>140.84</v>
      </c>
      <c r="H1177" s="17" t="str">
        <f t="shared" si="14"/>
        <v/>
      </c>
      <c r="I1177" s="18">
        <f t="shared" si="9"/>
        <v>140.8366667</v>
      </c>
      <c r="J1177" s="19">
        <f t="shared" si="10"/>
        <v>142.2333333</v>
      </c>
      <c r="K1177" s="19"/>
      <c r="L1177" s="19">
        <f t="shared" si="11"/>
        <v>139.4433333</v>
      </c>
      <c r="M1177" s="19">
        <f t="shared" si="12"/>
        <v>143.6266667</v>
      </c>
      <c r="N1177" s="19">
        <f t="shared" si="13"/>
        <v>138.0466667</v>
      </c>
    </row>
    <row r="1178" ht="24.75" customHeight="1">
      <c r="A1178" s="21" t="s">
        <v>1141</v>
      </c>
      <c r="B1178" s="13">
        <f>IFERROR(__xludf.DUMMYFUNCTION("GOOGLEFINANCE(A1178,""PRICE"")"),1.91)</f>
        <v>1.91</v>
      </c>
      <c r="C1178" s="14">
        <f>IFERROR(__xludf.DUMMYFUNCTION("GOOGLEFINANCE(A1178,""PRICEOPEN"")"),1.91)</f>
        <v>1.91</v>
      </c>
      <c r="D1178" s="14">
        <f>IFERROR(__xludf.DUMMYFUNCTION("GOOGLEFINANCE(A1178,""HIGH"")"),1.91)</f>
        <v>1.91</v>
      </c>
      <c r="E1178" s="14">
        <f>IFERROR(__xludf.DUMMYFUNCTION("GOOGLEFINANCE(A1178,""LOW"")"),1.91)</f>
        <v>1.91</v>
      </c>
      <c r="F1178" s="15" t="str">
        <f t="shared" si="8"/>
        <v>SELL</v>
      </c>
      <c r="G1178" s="16">
        <f>IFERROR(__xludf.DUMMYFUNCTION("GOOGLEFINANCE(A1178,""CLOSEYEST"")"),1.88)</f>
        <v>1.88</v>
      </c>
      <c r="H1178" s="17" t="str">
        <f t="shared" si="14"/>
        <v>GAP UP</v>
      </c>
      <c r="I1178" s="18">
        <f t="shared" si="9"/>
        <v>1.9</v>
      </c>
      <c r="J1178" s="19">
        <f t="shared" si="10"/>
        <v>1.89</v>
      </c>
      <c r="K1178" s="19"/>
      <c r="L1178" s="19">
        <f t="shared" si="11"/>
        <v>1.89</v>
      </c>
      <c r="M1178" s="19">
        <f t="shared" si="12"/>
        <v>1.9</v>
      </c>
      <c r="N1178" s="19">
        <f t="shared" si="13"/>
        <v>1.9</v>
      </c>
    </row>
    <row r="1179" ht="24.75" customHeight="1">
      <c r="A1179" s="21" t="s">
        <v>1142</v>
      </c>
      <c r="B1179" s="13">
        <f>IFERROR(__xludf.DUMMYFUNCTION("GOOGLEFINANCE(A1179,""PRICE"")"),76.0)</f>
        <v>76</v>
      </c>
      <c r="C1179" s="14">
        <f>IFERROR(__xludf.DUMMYFUNCTION("GOOGLEFINANCE(A1179,""PRICEOPEN"")"),73.11)</f>
        <v>73.11</v>
      </c>
      <c r="D1179" s="14">
        <f>IFERROR(__xludf.DUMMYFUNCTION("GOOGLEFINANCE(A1179,""HIGH"")"),76.65)</f>
        <v>76.65</v>
      </c>
      <c r="E1179" s="14">
        <f>IFERROR(__xludf.DUMMYFUNCTION("GOOGLEFINANCE(A1179,""LOW"")"),73.11)</f>
        <v>73.11</v>
      </c>
      <c r="F1179" s="15" t="str">
        <f t="shared" si="8"/>
        <v>BUY</v>
      </c>
      <c r="G1179" s="16">
        <f>IFERROR(__xludf.DUMMYFUNCTION("GOOGLEFINANCE(A1179,""CLOSEYEST"")"),73.5)</f>
        <v>73.5</v>
      </c>
      <c r="H1179" s="17" t="str">
        <f t="shared" si="14"/>
        <v/>
      </c>
      <c r="I1179" s="18">
        <f t="shared" si="9"/>
        <v>74.42</v>
      </c>
      <c r="J1179" s="19">
        <f t="shared" si="10"/>
        <v>75.73</v>
      </c>
      <c r="K1179" s="19"/>
      <c r="L1179" s="19">
        <f t="shared" si="11"/>
        <v>72.19</v>
      </c>
      <c r="M1179" s="19">
        <f t="shared" si="12"/>
        <v>77.96</v>
      </c>
      <c r="N1179" s="19">
        <f t="shared" si="13"/>
        <v>70.88</v>
      </c>
    </row>
    <row r="1180" ht="24.75" customHeight="1">
      <c r="A1180" s="21" t="s">
        <v>1143</v>
      </c>
      <c r="B1180" s="13">
        <f>IFERROR(__xludf.DUMMYFUNCTION("GOOGLEFINANCE(A1180,""PRICE"")"),67.8)</f>
        <v>67.8</v>
      </c>
      <c r="C1180" s="14">
        <f>IFERROR(__xludf.DUMMYFUNCTION("GOOGLEFINANCE(A1180,""PRICEOPEN"")"),67.71)</f>
        <v>67.71</v>
      </c>
      <c r="D1180" s="14">
        <f>IFERROR(__xludf.DUMMYFUNCTION("GOOGLEFINANCE(A1180,""HIGH"")"),69.0)</f>
        <v>69</v>
      </c>
      <c r="E1180" s="14">
        <f>IFERROR(__xludf.DUMMYFUNCTION("GOOGLEFINANCE(A1180,""LOW"")"),67.11)</f>
        <v>67.11</v>
      </c>
      <c r="F1180" s="15" t="str">
        <f t="shared" si="8"/>
        <v/>
      </c>
      <c r="G1180" s="16">
        <f>IFERROR(__xludf.DUMMYFUNCTION("GOOGLEFINANCE(A1180,""CLOSEYEST"")"),67.71)</f>
        <v>67.71</v>
      </c>
      <c r="H1180" s="17" t="str">
        <f t="shared" si="14"/>
        <v/>
      </c>
      <c r="I1180" s="18">
        <f t="shared" si="9"/>
        <v>67.94</v>
      </c>
      <c r="J1180" s="19">
        <f t="shared" si="10"/>
        <v>68.77</v>
      </c>
      <c r="K1180" s="19"/>
      <c r="L1180" s="19">
        <f t="shared" si="11"/>
        <v>66.88</v>
      </c>
      <c r="M1180" s="19">
        <f t="shared" si="12"/>
        <v>69.83</v>
      </c>
      <c r="N1180" s="19">
        <f t="shared" si="13"/>
        <v>66.05</v>
      </c>
    </row>
    <row r="1181" ht="24.75" customHeight="1">
      <c r="A1181" s="21" t="s">
        <v>1144</v>
      </c>
      <c r="B1181" s="13" t="str">
        <f>IFERROR(__xludf.DUMMYFUNCTION("GOOGLEFINANCE(A1181,""PRICE"")"),"#N/A")</f>
        <v>#N/A</v>
      </c>
      <c r="C1181" s="14" t="str">
        <f>IFERROR(__xludf.DUMMYFUNCTION("GOOGLEFINANCE(A1181,""PRICEOPEN"")"),"#N/A")</f>
        <v>#N/A</v>
      </c>
      <c r="D1181" s="14" t="str">
        <f>IFERROR(__xludf.DUMMYFUNCTION("GOOGLEFINANCE(A1181,""HIGH"")"),"#N/A")</f>
        <v>#N/A</v>
      </c>
      <c r="E1181" s="14" t="str">
        <f>IFERROR(__xludf.DUMMYFUNCTION("GOOGLEFINANCE(A1181,""LOW"")"),"#N/A")</f>
        <v>#N/A</v>
      </c>
      <c r="F1181" s="15" t="str">
        <f t="shared" si="8"/>
        <v>#N/A</v>
      </c>
      <c r="G1181" s="16" t="str">
        <f>IFERROR(__xludf.DUMMYFUNCTION("GOOGLEFINANCE(A1181,""CLOSEYEST"")"),"#N/A")</f>
        <v>#N/A</v>
      </c>
      <c r="H1181" s="17" t="str">
        <f t="shared" si="14"/>
        <v>#N/A</v>
      </c>
      <c r="I1181" s="18" t="str">
        <f t="shared" si="9"/>
        <v>#N/A</v>
      </c>
      <c r="J1181" s="19" t="str">
        <f t="shared" si="10"/>
        <v>#N/A</v>
      </c>
      <c r="K1181" s="19"/>
      <c r="L1181" s="19" t="str">
        <f t="shared" si="11"/>
        <v>#N/A</v>
      </c>
      <c r="M1181" s="19" t="str">
        <f t="shared" si="12"/>
        <v>#N/A</v>
      </c>
      <c r="N1181" s="19" t="str">
        <f t="shared" si="13"/>
        <v>#N/A</v>
      </c>
    </row>
    <row r="1182" ht="24.75" customHeight="1">
      <c r="A1182" s="21" t="s">
        <v>1145</v>
      </c>
      <c r="B1182" s="13">
        <f>IFERROR(__xludf.DUMMYFUNCTION("GOOGLEFINANCE(A1182,""PRICE"")"),0.54)</f>
        <v>0.54</v>
      </c>
      <c r="C1182" s="14">
        <f>IFERROR(__xludf.DUMMYFUNCTION("GOOGLEFINANCE(A1182,""PRICEOPEN"")"),0.56)</f>
        <v>0.56</v>
      </c>
      <c r="D1182" s="14">
        <f>IFERROR(__xludf.DUMMYFUNCTION("GOOGLEFINANCE(A1182,""HIGH"")"),0.56)</f>
        <v>0.56</v>
      </c>
      <c r="E1182" s="14">
        <f>IFERROR(__xludf.DUMMYFUNCTION("GOOGLEFINANCE(A1182,""LOW"")"),0.54)</f>
        <v>0.54</v>
      </c>
      <c r="F1182" s="15" t="str">
        <f t="shared" si="8"/>
        <v>SELL</v>
      </c>
      <c r="G1182" s="16">
        <f>IFERROR(__xludf.DUMMYFUNCTION("GOOGLEFINANCE(A1182,""CLOSEYEST"")"),0.55)</f>
        <v>0.55</v>
      </c>
      <c r="H1182" s="17" t="str">
        <f t="shared" si="14"/>
        <v>GAP UP</v>
      </c>
      <c r="I1182" s="18">
        <f t="shared" si="9"/>
        <v>0.55</v>
      </c>
      <c r="J1182" s="19">
        <f t="shared" si="10"/>
        <v>0.56</v>
      </c>
      <c r="K1182" s="19"/>
      <c r="L1182" s="19">
        <f t="shared" si="11"/>
        <v>0.54</v>
      </c>
      <c r="M1182" s="19">
        <f t="shared" si="12"/>
        <v>0.57</v>
      </c>
      <c r="N1182" s="19">
        <f t="shared" si="13"/>
        <v>0.53</v>
      </c>
    </row>
    <row r="1183" ht="24.75" customHeight="1">
      <c r="A1183" s="21" t="s">
        <v>1146</v>
      </c>
      <c r="B1183" s="13">
        <f>IFERROR(__xludf.DUMMYFUNCTION("GOOGLEFINANCE(A1183,""PRICE"")"),295.95)</f>
        <v>295.95</v>
      </c>
      <c r="C1183" s="14">
        <f>IFERROR(__xludf.DUMMYFUNCTION("GOOGLEFINANCE(A1183,""PRICEOPEN"")"),292.5)</f>
        <v>292.5</v>
      </c>
      <c r="D1183" s="14">
        <f>IFERROR(__xludf.DUMMYFUNCTION("GOOGLEFINANCE(A1183,""HIGH"")"),298.45)</f>
        <v>298.45</v>
      </c>
      <c r="E1183" s="14">
        <f>IFERROR(__xludf.DUMMYFUNCTION("GOOGLEFINANCE(A1183,""LOW"")"),290.25)</f>
        <v>290.25</v>
      </c>
      <c r="F1183" s="15" t="str">
        <f t="shared" si="8"/>
        <v/>
      </c>
      <c r="G1183" s="16">
        <f>IFERROR(__xludf.DUMMYFUNCTION("GOOGLEFINANCE(A1183,""CLOSEYEST"")"),291.25)</f>
        <v>291.25</v>
      </c>
      <c r="H1183" s="17" t="str">
        <f t="shared" si="14"/>
        <v/>
      </c>
      <c r="I1183" s="18">
        <f t="shared" si="9"/>
        <v>293.3166667</v>
      </c>
      <c r="J1183" s="19">
        <f t="shared" si="10"/>
        <v>296.3833333</v>
      </c>
      <c r="K1183" s="19"/>
      <c r="L1183" s="19">
        <f t="shared" si="11"/>
        <v>288.1833333</v>
      </c>
      <c r="M1183" s="19">
        <f t="shared" si="12"/>
        <v>301.5166667</v>
      </c>
      <c r="N1183" s="19">
        <f t="shared" si="13"/>
        <v>285.1166667</v>
      </c>
    </row>
    <row r="1184" ht="24.75" customHeight="1">
      <c r="A1184" s="21" t="s">
        <v>1147</v>
      </c>
      <c r="B1184" s="13">
        <f>IFERROR(__xludf.DUMMYFUNCTION("GOOGLEFINANCE(A1184,""PRICE"")"),1214.0)</f>
        <v>1214</v>
      </c>
      <c r="C1184" s="14">
        <f>IFERROR(__xludf.DUMMYFUNCTION("GOOGLEFINANCE(A1184,""PRICEOPEN"")"),1242.0)</f>
        <v>1242</v>
      </c>
      <c r="D1184" s="14">
        <f>IFERROR(__xludf.DUMMYFUNCTION("GOOGLEFINANCE(A1184,""HIGH"")"),1245.0)</f>
        <v>1245</v>
      </c>
      <c r="E1184" s="14">
        <f>IFERROR(__xludf.DUMMYFUNCTION("GOOGLEFINANCE(A1184,""LOW"")"),1194.0)</f>
        <v>1194</v>
      </c>
      <c r="F1184" s="15" t="str">
        <f t="shared" si="8"/>
        <v/>
      </c>
      <c r="G1184" s="16">
        <f>IFERROR(__xludf.DUMMYFUNCTION("GOOGLEFINANCE(A1184,""CLOSEYEST"")"),1221.3)</f>
        <v>1221.3</v>
      </c>
      <c r="H1184" s="17" t="str">
        <f t="shared" si="14"/>
        <v>GAP UP</v>
      </c>
      <c r="I1184" s="18">
        <f t="shared" si="9"/>
        <v>1220.1</v>
      </c>
      <c r="J1184" s="19">
        <f t="shared" si="10"/>
        <v>1246.2</v>
      </c>
      <c r="K1184" s="19"/>
      <c r="L1184" s="19">
        <f t="shared" si="11"/>
        <v>1195.2</v>
      </c>
      <c r="M1184" s="19">
        <f t="shared" si="12"/>
        <v>1271.1</v>
      </c>
      <c r="N1184" s="19">
        <f t="shared" si="13"/>
        <v>1169.1</v>
      </c>
    </row>
    <row r="1185" ht="24.75" customHeight="1">
      <c r="A1185" s="21" t="s">
        <v>1148</v>
      </c>
      <c r="B1185" s="13" t="str">
        <f>IFERROR(__xludf.DUMMYFUNCTION("GOOGLEFINANCE(A1185,""PRICE"")"),"#N/A")</f>
        <v>#N/A</v>
      </c>
      <c r="C1185" s="14" t="str">
        <f>IFERROR(__xludf.DUMMYFUNCTION("GOOGLEFINANCE(A1185,""PRICEOPEN"")"),"#N/A")</f>
        <v>#N/A</v>
      </c>
      <c r="D1185" s="14" t="str">
        <f>IFERROR(__xludf.DUMMYFUNCTION("GOOGLEFINANCE(A1185,""HIGH"")"),"#N/A")</f>
        <v>#N/A</v>
      </c>
      <c r="E1185" s="14" t="str">
        <f>IFERROR(__xludf.DUMMYFUNCTION("GOOGLEFINANCE(A1185,""LOW"")"),"#N/A")</f>
        <v>#N/A</v>
      </c>
      <c r="F1185" s="15" t="str">
        <f t="shared" si="8"/>
        <v>#N/A</v>
      </c>
      <c r="G1185" s="16" t="str">
        <f>IFERROR(__xludf.DUMMYFUNCTION("GOOGLEFINANCE(A1185,""CLOSEYEST"")"),"#N/A")</f>
        <v>#N/A</v>
      </c>
      <c r="H1185" s="17" t="str">
        <f t="shared" si="14"/>
        <v>#N/A</v>
      </c>
      <c r="I1185" s="18" t="str">
        <f t="shared" si="9"/>
        <v>#N/A</v>
      </c>
      <c r="J1185" s="19" t="str">
        <f t="shared" si="10"/>
        <v>#N/A</v>
      </c>
      <c r="K1185" s="19"/>
      <c r="L1185" s="19" t="str">
        <f t="shared" si="11"/>
        <v>#N/A</v>
      </c>
      <c r="M1185" s="19" t="str">
        <f t="shared" si="12"/>
        <v>#N/A</v>
      </c>
      <c r="N1185" s="19" t="str">
        <f t="shared" si="13"/>
        <v>#N/A</v>
      </c>
    </row>
    <row r="1186" ht="24.75" customHeight="1">
      <c r="A1186" s="21" t="s">
        <v>1149</v>
      </c>
      <c r="B1186" s="13">
        <f>IFERROR(__xludf.DUMMYFUNCTION("GOOGLEFINANCE(A1186,""PRICE"")"),167.0)</f>
        <v>167</v>
      </c>
      <c r="C1186" s="14">
        <f>IFERROR(__xludf.DUMMYFUNCTION("GOOGLEFINANCE(A1186,""PRICEOPEN"")"),163.0)</f>
        <v>163</v>
      </c>
      <c r="D1186" s="14">
        <f>IFERROR(__xludf.DUMMYFUNCTION("GOOGLEFINANCE(A1186,""HIGH"")"),168.79)</f>
        <v>168.79</v>
      </c>
      <c r="E1186" s="14">
        <f>IFERROR(__xludf.DUMMYFUNCTION("GOOGLEFINANCE(A1186,""LOW"")"),161.55)</f>
        <v>161.55</v>
      </c>
      <c r="F1186" s="15" t="str">
        <f t="shared" si="8"/>
        <v/>
      </c>
      <c r="G1186" s="16">
        <f>IFERROR(__xludf.DUMMYFUNCTION("GOOGLEFINANCE(A1186,""CLOSEYEST"")"),164.76)</f>
        <v>164.76</v>
      </c>
      <c r="H1186" s="17" t="str">
        <f t="shared" si="14"/>
        <v>GAP DOWN</v>
      </c>
      <c r="I1186" s="18">
        <f t="shared" si="9"/>
        <v>165.0333333</v>
      </c>
      <c r="J1186" s="19">
        <f t="shared" si="10"/>
        <v>168.5166667</v>
      </c>
      <c r="K1186" s="19"/>
      <c r="L1186" s="19">
        <f t="shared" si="11"/>
        <v>161.2766667</v>
      </c>
      <c r="M1186" s="19">
        <f t="shared" si="12"/>
        <v>172.2733333</v>
      </c>
      <c r="N1186" s="19">
        <f t="shared" si="13"/>
        <v>157.7933333</v>
      </c>
    </row>
    <row r="1187" ht="24.75" customHeight="1">
      <c r="A1187" s="21" t="s">
        <v>1150</v>
      </c>
      <c r="B1187" s="13">
        <f>IFERROR(__xludf.DUMMYFUNCTION("GOOGLEFINANCE(A1187,""PRICE"")"),129.95)</f>
        <v>129.95</v>
      </c>
      <c r="C1187" s="14">
        <f>IFERROR(__xludf.DUMMYFUNCTION("GOOGLEFINANCE(A1187,""PRICEOPEN"")"),128.3)</f>
        <v>128.3</v>
      </c>
      <c r="D1187" s="14">
        <f>IFERROR(__xludf.DUMMYFUNCTION("GOOGLEFINANCE(A1187,""HIGH"")"),131.46)</f>
        <v>131.46</v>
      </c>
      <c r="E1187" s="14">
        <f>IFERROR(__xludf.DUMMYFUNCTION("GOOGLEFINANCE(A1187,""LOW"")"),128.3)</f>
        <v>128.3</v>
      </c>
      <c r="F1187" s="15" t="str">
        <f t="shared" si="8"/>
        <v>BUY</v>
      </c>
      <c r="G1187" s="16">
        <f>IFERROR(__xludf.DUMMYFUNCTION("GOOGLEFINANCE(A1187,""CLOSEYEST"")"),128.91)</f>
        <v>128.91</v>
      </c>
      <c r="H1187" s="17" t="str">
        <f t="shared" si="14"/>
        <v/>
      </c>
      <c r="I1187" s="18">
        <f t="shared" si="9"/>
        <v>129.5566667</v>
      </c>
      <c r="J1187" s="19">
        <f t="shared" si="10"/>
        <v>130.8133333</v>
      </c>
      <c r="K1187" s="19"/>
      <c r="L1187" s="19">
        <f t="shared" si="11"/>
        <v>127.6533333</v>
      </c>
      <c r="M1187" s="19">
        <f t="shared" si="12"/>
        <v>132.7166667</v>
      </c>
      <c r="N1187" s="19">
        <f t="shared" si="13"/>
        <v>126.3966667</v>
      </c>
    </row>
    <row r="1188" ht="24.75" customHeight="1">
      <c r="A1188" s="21" t="s">
        <v>1151</v>
      </c>
      <c r="B1188" s="13">
        <f>IFERROR(__xludf.DUMMYFUNCTION("GOOGLEFINANCE(A1188,""PRICE"")"),169.0)</f>
        <v>169</v>
      </c>
      <c r="C1188" s="14">
        <f>IFERROR(__xludf.DUMMYFUNCTION("GOOGLEFINANCE(A1188,""PRICEOPEN"")"),171.9)</f>
        <v>171.9</v>
      </c>
      <c r="D1188" s="14">
        <f>IFERROR(__xludf.DUMMYFUNCTION("GOOGLEFINANCE(A1188,""HIGH"")"),176.84)</f>
        <v>176.84</v>
      </c>
      <c r="E1188" s="14">
        <f>IFERROR(__xludf.DUMMYFUNCTION("GOOGLEFINANCE(A1188,""LOW"")"),168.05)</f>
        <v>168.05</v>
      </c>
      <c r="F1188" s="15" t="str">
        <f t="shared" si="8"/>
        <v/>
      </c>
      <c r="G1188" s="16">
        <f>IFERROR(__xludf.DUMMYFUNCTION("GOOGLEFINANCE(A1188,""CLOSEYEST"")"),169.13)</f>
        <v>169.13</v>
      </c>
      <c r="H1188" s="17" t="str">
        <f t="shared" si="14"/>
        <v>GAP UP</v>
      </c>
      <c r="I1188" s="18">
        <f t="shared" si="9"/>
        <v>171.34</v>
      </c>
      <c r="J1188" s="19">
        <f t="shared" si="10"/>
        <v>174.63</v>
      </c>
      <c r="K1188" s="19"/>
      <c r="L1188" s="19">
        <f t="shared" si="11"/>
        <v>165.84</v>
      </c>
      <c r="M1188" s="19">
        <f t="shared" si="12"/>
        <v>180.13</v>
      </c>
      <c r="N1188" s="19">
        <f t="shared" si="13"/>
        <v>162.55</v>
      </c>
    </row>
    <row r="1189" ht="24.75" customHeight="1">
      <c r="A1189" s="21" t="s">
        <v>1152</v>
      </c>
      <c r="B1189" s="13">
        <f>IFERROR(__xludf.DUMMYFUNCTION("GOOGLEFINANCE(A1189,""PRICE"")"),251.36)</f>
        <v>251.36</v>
      </c>
      <c r="C1189" s="14">
        <f>IFERROR(__xludf.DUMMYFUNCTION("GOOGLEFINANCE(A1189,""PRICEOPEN"")"),252.27)</f>
        <v>252.27</v>
      </c>
      <c r="D1189" s="14">
        <f>IFERROR(__xludf.DUMMYFUNCTION("GOOGLEFINANCE(A1189,""HIGH"")"),252.27)</f>
        <v>252.27</v>
      </c>
      <c r="E1189" s="14">
        <f>IFERROR(__xludf.DUMMYFUNCTION("GOOGLEFINANCE(A1189,""LOW"")"),251.77)</f>
        <v>251.77</v>
      </c>
      <c r="F1189" s="15" t="str">
        <f t="shared" si="8"/>
        <v>SELL</v>
      </c>
      <c r="G1189" s="16">
        <f>IFERROR(__xludf.DUMMYFUNCTION("GOOGLEFINANCE(A1189,""CLOSEYEST"")"),251.53)</f>
        <v>251.53</v>
      </c>
      <c r="H1189" s="17" t="str">
        <f t="shared" si="14"/>
        <v/>
      </c>
      <c r="I1189" s="18">
        <f t="shared" si="9"/>
        <v>251.8566667</v>
      </c>
      <c r="J1189" s="19">
        <f t="shared" si="10"/>
        <v>251.9433333</v>
      </c>
      <c r="K1189" s="19"/>
      <c r="L1189" s="19">
        <f t="shared" si="11"/>
        <v>251.4433333</v>
      </c>
      <c r="M1189" s="19">
        <f t="shared" si="12"/>
        <v>252.3566667</v>
      </c>
      <c r="N1189" s="19">
        <f t="shared" si="13"/>
        <v>251.3566667</v>
      </c>
    </row>
    <row r="1190" ht="24.75" customHeight="1">
      <c r="A1190" s="21" t="s">
        <v>1153</v>
      </c>
      <c r="B1190" s="13">
        <f>IFERROR(__xludf.DUMMYFUNCTION("GOOGLEFINANCE(A1190,""PRICE"")"),44.83)</f>
        <v>44.83</v>
      </c>
      <c r="C1190" s="14">
        <f>IFERROR(__xludf.DUMMYFUNCTION("GOOGLEFINANCE(A1190,""PRICEOPEN"")"),44.6)</f>
        <v>44.6</v>
      </c>
      <c r="D1190" s="14">
        <f>IFERROR(__xludf.DUMMYFUNCTION("GOOGLEFINANCE(A1190,""HIGH"")"),45.34)</f>
        <v>45.34</v>
      </c>
      <c r="E1190" s="14">
        <f>IFERROR(__xludf.DUMMYFUNCTION("GOOGLEFINANCE(A1190,""LOW"")"),44.53)</f>
        <v>44.53</v>
      </c>
      <c r="F1190" s="15" t="str">
        <f t="shared" si="8"/>
        <v/>
      </c>
      <c r="G1190" s="16">
        <f>IFERROR(__xludf.DUMMYFUNCTION("GOOGLEFINANCE(A1190,""CLOSEYEST"")"),44.53)</f>
        <v>44.53</v>
      </c>
      <c r="H1190" s="17" t="str">
        <f t="shared" si="14"/>
        <v/>
      </c>
      <c r="I1190" s="18">
        <f t="shared" si="9"/>
        <v>44.8</v>
      </c>
      <c r="J1190" s="19">
        <f t="shared" si="10"/>
        <v>45.07</v>
      </c>
      <c r="K1190" s="19"/>
      <c r="L1190" s="19">
        <f t="shared" si="11"/>
        <v>44.26</v>
      </c>
      <c r="M1190" s="19">
        <f t="shared" si="12"/>
        <v>45.61</v>
      </c>
      <c r="N1190" s="19">
        <f t="shared" si="13"/>
        <v>43.99</v>
      </c>
    </row>
    <row r="1191" ht="24.75" customHeight="1">
      <c r="A1191" s="21" t="s">
        <v>1154</v>
      </c>
      <c r="B1191" s="13">
        <f>IFERROR(__xludf.DUMMYFUNCTION("GOOGLEFINANCE(A1191,""PRICE"")"),8.09)</f>
        <v>8.09</v>
      </c>
      <c r="C1191" s="14">
        <f>IFERROR(__xludf.DUMMYFUNCTION("GOOGLEFINANCE(A1191,""PRICEOPEN"")"),8.14)</f>
        <v>8.14</v>
      </c>
      <c r="D1191" s="14">
        <f>IFERROR(__xludf.DUMMYFUNCTION("GOOGLEFINANCE(A1191,""HIGH"")"),8.14)</f>
        <v>8.14</v>
      </c>
      <c r="E1191" s="14">
        <f>IFERROR(__xludf.DUMMYFUNCTION("GOOGLEFINANCE(A1191,""LOW"")"),8.0)</f>
        <v>8</v>
      </c>
      <c r="F1191" s="15" t="str">
        <f t="shared" si="8"/>
        <v>SELL</v>
      </c>
      <c r="G1191" s="16">
        <f>IFERROR(__xludf.DUMMYFUNCTION("GOOGLEFINANCE(A1191,""CLOSEYEST"")"),8.07)</f>
        <v>8.07</v>
      </c>
      <c r="H1191" s="17" t="str">
        <f t="shared" si="14"/>
        <v/>
      </c>
      <c r="I1191" s="18">
        <f t="shared" si="9"/>
        <v>8.07</v>
      </c>
      <c r="J1191" s="19">
        <f t="shared" si="10"/>
        <v>8.14</v>
      </c>
      <c r="K1191" s="19"/>
      <c r="L1191" s="19">
        <f t="shared" si="11"/>
        <v>8</v>
      </c>
      <c r="M1191" s="19">
        <f t="shared" si="12"/>
        <v>8.21</v>
      </c>
      <c r="N1191" s="19">
        <f t="shared" si="13"/>
        <v>7.93</v>
      </c>
    </row>
    <row r="1192" ht="24.75" customHeight="1">
      <c r="A1192" s="21" t="s">
        <v>1155</v>
      </c>
      <c r="B1192" s="13" t="str">
        <f>IFERROR(__xludf.DUMMYFUNCTION("GOOGLEFINANCE(A1192,""PRICE"")"),"#N/A")</f>
        <v>#N/A</v>
      </c>
      <c r="C1192" s="14" t="str">
        <f>IFERROR(__xludf.DUMMYFUNCTION("GOOGLEFINANCE(A1192,""PRICEOPEN"")"),"#N/A")</f>
        <v>#N/A</v>
      </c>
      <c r="D1192" s="14" t="str">
        <f>IFERROR(__xludf.DUMMYFUNCTION("GOOGLEFINANCE(A1192,""HIGH"")"),"#N/A")</f>
        <v>#N/A</v>
      </c>
      <c r="E1192" s="14" t="str">
        <f>IFERROR(__xludf.DUMMYFUNCTION("GOOGLEFINANCE(A1192,""LOW"")"),"#N/A")</f>
        <v>#N/A</v>
      </c>
      <c r="F1192" s="15" t="str">
        <f t="shared" si="8"/>
        <v>#N/A</v>
      </c>
      <c r="G1192" s="16" t="str">
        <f>IFERROR(__xludf.DUMMYFUNCTION("GOOGLEFINANCE(A1192,""CLOSEYEST"")"),"#N/A")</f>
        <v>#N/A</v>
      </c>
      <c r="H1192" s="17" t="str">
        <f t="shared" si="14"/>
        <v>#N/A</v>
      </c>
      <c r="I1192" s="18" t="str">
        <f t="shared" si="9"/>
        <v>#N/A</v>
      </c>
      <c r="J1192" s="19" t="str">
        <f t="shared" si="10"/>
        <v>#N/A</v>
      </c>
      <c r="K1192" s="19"/>
      <c r="L1192" s="19" t="str">
        <f t="shared" si="11"/>
        <v>#N/A</v>
      </c>
      <c r="M1192" s="19" t="str">
        <f t="shared" si="12"/>
        <v>#N/A</v>
      </c>
      <c r="N1192" s="19" t="str">
        <f t="shared" si="13"/>
        <v>#N/A</v>
      </c>
    </row>
    <row r="1193" ht="24.75" customHeight="1">
      <c r="A1193" s="21" t="s">
        <v>1156</v>
      </c>
      <c r="B1193" s="13">
        <f>IFERROR(__xludf.DUMMYFUNCTION("GOOGLEFINANCE(A1193,""PRICE"")"),762.8)</f>
        <v>762.8</v>
      </c>
      <c r="C1193" s="14">
        <f>IFERROR(__xludf.DUMMYFUNCTION("GOOGLEFINANCE(A1193,""PRICEOPEN"")"),750.0)</f>
        <v>750</v>
      </c>
      <c r="D1193" s="14">
        <f>IFERROR(__xludf.DUMMYFUNCTION("GOOGLEFINANCE(A1193,""HIGH"")"),762.8)</f>
        <v>762.8</v>
      </c>
      <c r="E1193" s="14">
        <f>IFERROR(__xludf.DUMMYFUNCTION("GOOGLEFINANCE(A1193,""LOW"")"),740.0)</f>
        <v>740</v>
      </c>
      <c r="F1193" s="15" t="str">
        <f t="shared" si="8"/>
        <v/>
      </c>
      <c r="G1193" s="16">
        <f>IFERROR(__xludf.DUMMYFUNCTION("GOOGLEFINANCE(A1193,""CLOSEYEST"")"),749.35)</f>
        <v>749.35</v>
      </c>
      <c r="H1193" s="17" t="str">
        <f t="shared" si="14"/>
        <v/>
      </c>
      <c r="I1193" s="18">
        <f t="shared" si="9"/>
        <v>750.7166667</v>
      </c>
      <c r="J1193" s="19">
        <f t="shared" si="10"/>
        <v>761.4333333</v>
      </c>
      <c r="K1193" s="19"/>
      <c r="L1193" s="19">
        <f t="shared" si="11"/>
        <v>738.6333333</v>
      </c>
      <c r="M1193" s="19">
        <f t="shared" si="12"/>
        <v>773.5166667</v>
      </c>
      <c r="N1193" s="19">
        <f t="shared" si="13"/>
        <v>727.9166667</v>
      </c>
    </row>
    <row r="1194" ht="24.75" customHeight="1">
      <c r="A1194" s="21" t="s">
        <v>1157</v>
      </c>
      <c r="B1194" s="13">
        <f>IFERROR(__xludf.DUMMYFUNCTION("GOOGLEFINANCE(A1194,""PRICE"")"),600.0)</f>
        <v>600</v>
      </c>
      <c r="C1194" s="14">
        <f>IFERROR(__xludf.DUMMYFUNCTION("GOOGLEFINANCE(A1194,""PRICEOPEN"")"),595.5)</f>
        <v>595.5</v>
      </c>
      <c r="D1194" s="14">
        <f>IFERROR(__xludf.DUMMYFUNCTION("GOOGLEFINANCE(A1194,""HIGH"")"),603.9)</f>
        <v>603.9</v>
      </c>
      <c r="E1194" s="14">
        <f>IFERROR(__xludf.DUMMYFUNCTION("GOOGLEFINANCE(A1194,""LOW"")"),585.55)</f>
        <v>585.55</v>
      </c>
      <c r="F1194" s="15" t="str">
        <f t="shared" si="8"/>
        <v/>
      </c>
      <c r="G1194" s="16">
        <f>IFERROR(__xludf.DUMMYFUNCTION("GOOGLEFINANCE(A1194,""CLOSEYEST"")"),595.5)</f>
        <v>595.5</v>
      </c>
      <c r="H1194" s="17" t="str">
        <f t="shared" si="14"/>
        <v/>
      </c>
      <c r="I1194" s="18">
        <f t="shared" si="9"/>
        <v>594.9833333</v>
      </c>
      <c r="J1194" s="19">
        <f t="shared" si="10"/>
        <v>604.4166667</v>
      </c>
      <c r="K1194" s="19"/>
      <c r="L1194" s="19">
        <f t="shared" si="11"/>
        <v>586.0666667</v>
      </c>
      <c r="M1194" s="19">
        <f t="shared" si="12"/>
        <v>613.3333333</v>
      </c>
      <c r="N1194" s="19">
        <f t="shared" si="13"/>
        <v>576.6333333</v>
      </c>
    </row>
    <row r="1195" ht="24.75" customHeight="1">
      <c r="A1195" s="21" t="s">
        <v>1158</v>
      </c>
      <c r="B1195" s="13">
        <f>IFERROR(__xludf.DUMMYFUNCTION("GOOGLEFINANCE(A1195,""PRICE"")"),127.53)</f>
        <v>127.53</v>
      </c>
      <c r="C1195" s="14">
        <f>IFERROR(__xludf.DUMMYFUNCTION("GOOGLEFINANCE(A1195,""PRICEOPEN"")"),126.99)</f>
        <v>126.99</v>
      </c>
      <c r="D1195" s="14">
        <f>IFERROR(__xludf.DUMMYFUNCTION("GOOGLEFINANCE(A1195,""HIGH"")"),130.41)</f>
        <v>130.41</v>
      </c>
      <c r="E1195" s="14">
        <f>IFERROR(__xludf.DUMMYFUNCTION("GOOGLEFINANCE(A1195,""LOW"")"),125.49)</f>
        <v>125.49</v>
      </c>
      <c r="F1195" s="15" t="str">
        <f t="shared" si="8"/>
        <v/>
      </c>
      <c r="G1195" s="16">
        <f>IFERROR(__xludf.DUMMYFUNCTION("GOOGLEFINANCE(A1195,""CLOSEYEST"")"),124.99)</f>
        <v>124.99</v>
      </c>
      <c r="H1195" s="17" t="str">
        <f t="shared" si="14"/>
        <v>GAP UP</v>
      </c>
      <c r="I1195" s="18">
        <f t="shared" si="9"/>
        <v>126.9633333</v>
      </c>
      <c r="J1195" s="19">
        <f t="shared" si="10"/>
        <v>128.4366667</v>
      </c>
      <c r="K1195" s="19"/>
      <c r="L1195" s="19">
        <f t="shared" si="11"/>
        <v>123.5166667</v>
      </c>
      <c r="M1195" s="19">
        <f t="shared" si="12"/>
        <v>131.8833333</v>
      </c>
      <c r="N1195" s="19">
        <f t="shared" si="13"/>
        <v>122.0433333</v>
      </c>
    </row>
    <row r="1196" ht="24.75" customHeight="1">
      <c r="A1196" s="21" t="s">
        <v>1159</v>
      </c>
      <c r="B1196" s="13">
        <f>IFERROR(__xludf.DUMMYFUNCTION("GOOGLEFINANCE(A1196,""PRICE"")"),44.5)</f>
        <v>44.5</v>
      </c>
      <c r="C1196" s="14">
        <f>IFERROR(__xludf.DUMMYFUNCTION("GOOGLEFINANCE(A1196,""PRICEOPEN"")"),44.21)</f>
        <v>44.21</v>
      </c>
      <c r="D1196" s="14">
        <f>IFERROR(__xludf.DUMMYFUNCTION("GOOGLEFINANCE(A1196,""HIGH"")"),44.63)</f>
        <v>44.63</v>
      </c>
      <c r="E1196" s="14">
        <f>IFERROR(__xludf.DUMMYFUNCTION("GOOGLEFINANCE(A1196,""LOW"")"),44.1)</f>
        <v>44.1</v>
      </c>
      <c r="F1196" s="15" t="str">
        <f t="shared" si="8"/>
        <v/>
      </c>
      <c r="G1196" s="16">
        <f>IFERROR(__xludf.DUMMYFUNCTION("GOOGLEFINANCE(A1196,""CLOSEYEST"")"),44.22)</f>
        <v>44.22</v>
      </c>
      <c r="H1196" s="17" t="str">
        <f t="shared" si="14"/>
        <v/>
      </c>
      <c r="I1196" s="18">
        <f t="shared" si="9"/>
        <v>44.31666667</v>
      </c>
      <c r="J1196" s="19">
        <f t="shared" si="10"/>
        <v>44.53333333</v>
      </c>
      <c r="K1196" s="19"/>
      <c r="L1196" s="19">
        <f t="shared" si="11"/>
        <v>44.00333333</v>
      </c>
      <c r="M1196" s="19">
        <f t="shared" si="12"/>
        <v>44.84666667</v>
      </c>
      <c r="N1196" s="19">
        <f t="shared" si="13"/>
        <v>43.78666667</v>
      </c>
    </row>
    <row r="1197" ht="24.75" customHeight="1">
      <c r="A1197" s="21" t="s">
        <v>1160</v>
      </c>
      <c r="B1197" s="13">
        <f>IFERROR(__xludf.DUMMYFUNCTION("GOOGLEFINANCE(A1197,""PRICE"")"),186.1)</f>
        <v>186.1</v>
      </c>
      <c r="C1197" s="14">
        <f>IFERROR(__xludf.DUMMYFUNCTION("GOOGLEFINANCE(A1197,""PRICEOPEN"")"),185.0)</f>
        <v>185</v>
      </c>
      <c r="D1197" s="14">
        <f>IFERROR(__xludf.DUMMYFUNCTION("GOOGLEFINANCE(A1197,""HIGH"")"),189.85)</f>
        <v>189.85</v>
      </c>
      <c r="E1197" s="14">
        <f>IFERROR(__xludf.DUMMYFUNCTION("GOOGLEFINANCE(A1197,""LOW"")"),185.0)</f>
        <v>185</v>
      </c>
      <c r="F1197" s="15" t="str">
        <f t="shared" si="8"/>
        <v>BUY</v>
      </c>
      <c r="G1197" s="16">
        <f>IFERROR(__xludf.DUMMYFUNCTION("GOOGLEFINANCE(A1197,""CLOSEYEST"")"),184.61)</f>
        <v>184.61</v>
      </c>
      <c r="H1197" s="17" t="str">
        <f t="shared" si="14"/>
        <v/>
      </c>
      <c r="I1197" s="18">
        <f t="shared" si="9"/>
        <v>186.4866667</v>
      </c>
      <c r="J1197" s="19">
        <f t="shared" si="10"/>
        <v>187.9733333</v>
      </c>
      <c r="K1197" s="19"/>
      <c r="L1197" s="19">
        <f t="shared" si="11"/>
        <v>183.1233333</v>
      </c>
      <c r="M1197" s="19">
        <f t="shared" si="12"/>
        <v>191.3366667</v>
      </c>
      <c r="N1197" s="19">
        <f t="shared" si="13"/>
        <v>181.6366667</v>
      </c>
    </row>
    <row r="1198" ht="24.75" customHeight="1">
      <c r="A1198" s="21" t="s">
        <v>1161</v>
      </c>
      <c r="B1198" s="13">
        <f>IFERROR(__xludf.DUMMYFUNCTION("GOOGLEFINANCE(A1198,""PRICE"")"),265.6)</f>
        <v>265.6</v>
      </c>
      <c r="C1198" s="14">
        <f>IFERROR(__xludf.DUMMYFUNCTION("GOOGLEFINANCE(A1198,""PRICEOPEN"")"),259.0)</f>
        <v>259</v>
      </c>
      <c r="D1198" s="14">
        <f>IFERROR(__xludf.DUMMYFUNCTION("GOOGLEFINANCE(A1198,""HIGH"")"),279.55)</f>
        <v>279.55</v>
      </c>
      <c r="E1198" s="14">
        <f>IFERROR(__xludf.DUMMYFUNCTION("GOOGLEFINANCE(A1198,""LOW"")"),257.8)</f>
        <v>257.8</v>
      </c>
      <c r="F1198" s="15" t="str">
        <f t="shared" si="8"/>
        <v/>
      </c>
      <c r="G1198" s="16">
        <f>IFERROR(__xludf.DUMMYFUNCTION("GOOGLEFINANCE(A1198,""CLOSEYEST"")"),257.95)</f>
        <v>257.95</v>
      </c>
      <c r="H1198" s="17" t="str">
        <f t="shared" si="14"/>
        <v/>
      </c>
      <c r="I1198" s="18">
        <f t="shared" si="9"/>
        <v>265.1</v>
      </c>
      <c r="J1198" s="19">
        <f t="shared" si="10"/>
        <v>272.4</v>
      </c>
      <c r="K1198" s="19"/>
      <c r="L1198" s="19">
        <f t="shared" si="11"/>
        <v>250.65</v>
      </c>
      <c r="M1198" s="19">
        <f t="shared" si="12"/>
        <v>286.85</v>
      </c>
      <c r="N1198" s="19">
        <f t="shared" si="13"/>
        <v>243.35</v>
      </c>
    </row>
    <row r="1199" ht="24.75" customHeight="1">
      <c r="A1199" s="21" t="s">
        <v>1162</v>
      </c>
      <c r="B1199" s="13">
        <f>IFERROR(__xludf.DUMMYFUNCTION("GOOGLEFINANCE(A1199,""PRICE"")"),2840.0)</f>
        <v>2840</v>
      </c>
      <c r="C1199" s="14">
        <f>IFERROR(__xludf.DUMMYFUNCTION("GOOGLEFINANCE(A1199,""PRICEOPEN"")"),2840.0)</f>
        <v>2840</v>
      </c>
      <c r="D1199" s="14">
        <f>IFERROR(__xludf.DUMMYFUNCTION("GOOGLEFINANCE(A1199,""HIGH"")"),2840.0)</f>
        <v>2840</v>
      </c>
      <c r="E1199" s="14">
        <f>IFERROR(__xludf.DUMMYFUNCTION("GOOGLEFINANCE(A1199,""LOW"")"),2840.0)</f>
        <v>2840</v>
      </c>
      <c r="F1199" s="15" t="str">
        <f t="shared" si="8"/>
        <v>SELL</v>
      </c>
      <c r="G1199" s="16">
        <f>IFERROR(__xludf.DUMMYFUNCTION("GOOGLEFINANCE(A1199,""CLOSEYEST"")"),2776.0)</f>
        <v>2776</v>
      </c>
      <c r="H1199" s="17" t="str">
        <f t="shared" si="14"/>
        <v>GAP UP</v>
      </c>
      <c r="I1199" s="18">
        <f t="shared" si="9"/>
        <v>2818.666667</v>
      </c>
      <c r="J1199" s="19">
        <f t="shared" si="10"/>
        <v>2797.333333</v>
      </c>
      <c r="K1199" s="19"/>
      <c r="L1199" s="19">
        <f t="shared" si="11"/>
        <v>2797.333333</v>
      </c>
      <c r="M1199" s="19">
        <f t="shared" si="12"/>
        <v>2818.666667</v>
      </c>
      <c r="N1199" s="19">
        <f t="shared" si="13"/>
        <v>2818.666667</v>
      </c>
    </row>
    <row r="1200" ht="24.75" customHeight="1">
      <c r="A1200" s="21" t="s">
        <v>1163</v>
      </c>
      <c r="B1200" s="13">
        <f>IFERROR(__xludf.DUMMYFUNCTION("GOOGLEFINANCE(A1200,""PRICE"")"),946.0)</f>
        <v>946</v>
      </c>
      <c r="C1200" s="14">
        <f>IFERROR(__xludf.DUMMYFUNCTION("GOOGLEFINANCE(A1200,""PRICEOPEN"")"),960.75)</f>
        <v>960.75</v>
      </c>
      <c r="D1200" s="14">
        <f>IFERROR(__xludf.DUMMYFUNCTION("GOOGLEFINANCE(A1200,""HIGH"")"),984.95)</f>
        <v>984.95</v>
      </c>
      <c r="E1200" s="14">
        <f>IFERROR(__xludf.DUMMYFUNCTION("GOOGLEFINANCE(A1200,""LOW"")"),937.0)</f>
        <v>937</v>
      </c>
      <c r="F1200" s="15" t="str">
        <f t="shared" si="8"/>
        <v/>
      </c>
      <c r="G1200" s="16">
        <f>IFERROR(__xludf.DUMMYFUNCTION("GOOGLEFINANCE(A1200,""CLOSEYEST"")"),960.65)</f>
        <v>960.65</v>
      </c>
      <c r="H1200" s="17" t="str">
        <f t="shared" si="14"/>
        <v/>
      </c>
      <c r="I1200" s="18">
        <f t="shared" si="9"/>
        <v>960.8666667</v>
      </c>
      <c r="J1200" s="19">
        <f t="shared" si="10"/>
        <v>984.7333333</v>
      </c>
      <c r="K1200" s="19"/>
      <c r="L1200" s="19">
        <f t="shared" si="11"/>
        <v>936.7833333</v>
      </c>
      <c r="M1200" s="19">
        <f t="shared" si="12"/>
        <v>1008.816667</v>
      </c>
      <c r="N1200" s="19">
        <f t="shared" si="13"/>
        <v>912.9166667</v>
      </c>
    </row>
    <row r="1201" ht="24.75" customHeight="1">
      <c r="A1201" s="21" t="s">
        <v>1164</v>
      </c>
      <c r="B1201" s="13">
        <f>IFERROR(__xludf.DUMMYFUNCTION("GOOGLEFINANCE(A1201,""PRICE"")"),0.08)</f>
        <v>0.08</v>
      </c>
      <c r="C1201" s="14">
        <f>IFERROR(__xludf.DUMMYFUNCTION("GOOGLEFINANCE(A1201,""PRICEOPEN"")"),0.08)</f>
        <v>0.08</v>
      </c>
      <c r="D1201" s="14">
        <f>IFERROR(__xludf.DUMMYFUNCTION("GOOGLEFINANCE(A1201,""HIGH"")"),0.08)</f>
        <v>0.08</v>
      </c>
      <c r="E1201" s="14">
        <f>IFERROR(__xludf.DUMMYFUNCTION("GOOGLEFINANCE(A1201,""LOW"")"),0.08)</f>
        <v>0.08</v>
      </c>
      <c r="F1201" s="15" t="str">
        <f t="shared" si="8"/>
        <v>SELL</v>
      </c>
      <c r="G1201" s="16">
        <f>IFERROR(__xludf.DUMMYFUNCTION("GOOGLEFINANCE(A1201,""CLOSEYEST"")"),0.08)</f>
        <v>0.08</v>
      </c>
      <c r="H1201" s="17" t="str">
        <f t="shared" si="14"/>
        <v/>
      </c>
      <c r="I1201" s="18">
        <f t="shared" si="9"/>
        <v>0.08</v>
      </c>
      <c r="J1201" s="19">
        <f t="shared" si="10"/>
        <v>0.08</v>
      </c>
      <c r="K1201" s="19"/>
      <c r="L1201" s="19">
        <f t="shared" si="11"/>
        <v>0.08</v>
      </c>
      <c r="M1201" s="19">
        <f t="shared" si="12"/>
        <v>0.08</v>
      </c>
      <c r="N1201" s="19">
        <f t="shared" si="13"/>
        <v>0.08</v>
      </c>
    </row>
    <row r="1202" ht="24.75" customHeight="1">
      <c r="A1202" s="21" t="s">
        <v>1165</v>
      </c>
      <c r="B1202" s="13">
        <f>IFERROR(__xludf.DUMMYFUNCTION("GOOGLEFINANCE(A1202,""PRICE"")"),3410.0)</f>
        <v>3410</v>
      </c>
      <c r="C1202" s="14">
        <f>IFERROR(__xludf.DUMMYFUNCTION("GOOGLEFINANCE(A1202,""PRICEOPEN"")"),3406.9)</f>
        <v>3406.9</v>
      </c>
      <c r="D1202" s="14">
        <f>IFERROR(__xludf.DUMMYFUNCTION("GOOGLEFINANCE(A1202,""HIGH"")"),3410.0)</f>
        <v>3410</v>
      </c>
      <c r="E1202" s="14">
        <f>IFERROR(__xludf.DUMMYFUNCTION("GOOGLEFINANCE(A1202,""LOW"")"),3381.0)</f>
        <v>3381</v>
      </c>
      <c r="F1202" s="15" t="str">
        <f t="shared" si="8"/>
        <v/>
      </c>
      <c r="G1202" s="16">
        <f>IFERROR(__xludf.DUMMYFUNCTION("GOOGLEFINANCE(A1202,""CLOSEYEST"")"),3407.1)</f>
        <v>3407.1</v>
      </c>
      <c r="H1202" s="17" t="str">
        <f t="shared" si="14"/>
        <v/>
      </c>
      <c r="I1202" s="18">
        <f t="shared" si="9"/>
        <v>3399.366667</v>
      </c>
      <c r="J1202" s="19">
        <f t="shared" si="10"/>
        <v>3417.733333</v>
      </c>
      <c r="K1202" s="19"/>
      <c r="L1202" s="19">
        <f t="shared" si="11"/>
        <v>3388.733333</v>
      </c>
      <c r="M1202" s="19">
        <f t="shared" si="12"/>
        <v>3428.366667</v>
      </c>
      <c r="N1202" s="19">
        <f t="shared" si="13"/>
        <v>3370.366667</v>
      </c>
    </row>
    <row r="1203" ht="24.75" customHeight="1">
      <c r="A1203" s="21" t="s">
        <v>1166</v>
      </c>
      <c r="B1203" s="13">
        <f>IFERROR(__xludf.DUMMYFUNCTION("GOOGLEFINANCE(A1203,""PRICE"")"),0.47)</f>
        <v>0.47</v>
      </c>
      <c r="C1203" s="14">
        <f>IFERROR(__xludf.DUMMYFUNCTION("GOOGLEFINANCE(A1203,""PRICEOPEN"")"),0.46)</f>
        <v>0.46</v>
      </c>
      <c r="D1203" s="14">
        <f>IFERROR(__xludf.DUMMYFUNCTION("GOOGLEFINANCE(A1203,""HIGH"")"),0.48)</f>
        <v>0.48</v>
      </c>
      <c r="E1203" s="14">
        <f>IFERROR(__xludf.DUMMYFUNCTION("GOOGLEFINANCE(A1203,""LOW"")"),0.46)</f>
        <v>0.46</v>
      </c>
      <c r="F1203" s="15" t="str">
        <f t="shared" si="8"/>
        <v>BUY</v>
      </c>
      <c r="G1203" s="16">
        <f>IFERROR(__xludf.DUMMYFUNCTION("GOOGLEFINANCE(A1203,""CLOSEYEST"")"),0.47)</f>
        <v>0.47</v>
      </c>
      <c r="H1203" s="17" t="str">
        <f t="shared" si="14"/>
        <v>GAP DOWN</v>
      </c>
      <c r="I1203" s="18">
        <f t="shared" si="9"/>
        <v>0.47</v>
      </c>
      <c r="J1203" s="19">
        <f t="shared" si="10"/>
        <v>0.48</v>
      </c>
      <c r="K1203" s="19"/>
      <c r="L1203" s="19">
        <f t="shared" si="11"/>
        <v>0.46</v>
      </c>
      <c r="M1203" s="19">
        <f t="shared" si="12"/>
        <v>0.49</v>
      </c>
      <c r="N1203" s="19">
        <f t="shared" si="13"/>
        <v>0.45</v>
      </c>
    </row>
    <row r="1204" ht="24.75" customHeight="1">
      <c r="A1204" s="21" t="s">
        <v>1167</v>
      </c>
      <c r="B1204" s="13">
        <f>IFERROR(__xludf.DUMMYFUNCTION("GOOGLEFINANCE(A1204,""PRICE"")"),154.22)</f>
        <v>154.22</v>
      </c>
      <c r="C1204" s="14">
        <f>IFERROR(__xludf.DUMMYFUNCTION("GOOGLEFINANCE(A1204,""PRICEOPEN"")"),156.65)</f>
        <v>156.65</v>
      </c>
      <c r="D1204" s="14">
        <f>IFERROR(__xludf.DUMMYFUNCTION("GOOGLEFINANCE(A1204,""HIGH"")"),157.85)</f>
        <v>157.85</v>
      </c>
      <c r="E1204" s="14">
        <f>IFERROR(__xludf.DUMMYFUNCTION("GOOGLEFINANCE(A1204,""LOW"")"),152.09)</f>
        <v>152.09</v>
      </c>
      <c r="F1204" s="15" t="str">
        <f t="shared" si="8"/>
        <v/>
      </c>
      <c r="G1204" s="16">
        <f>IFERROR(__xludf.DUMMYFUNCTION("GOOGLEFINANCE(A1204,""CLOSEYEST"")"),156.73)</f>
        <v>156.73</v>
      </c>
      <c r="H1204" s="17" t="str">
        <f t="shared" si="14"/>
        <v/>
      </c>
      <c r="I1204" s="18">
        <f t="shared" si="9"/>
        <v>155.5566667</v>
      </c>
      <c r="J1204" s="19">
        <f t="shared" si="10"/>
        <v>159.0233333</v>
      </c>
      <c r="K1204" s="19"/>
      <c r="L1204" s="19">
        <f t="shared" si="11"/>
        <v>153.2633333</v>
      </c>
      <c r="M1204" s="19">
        <f t="shared" si="12"/>
        <v>161.3166667</v>
      </c>
      <c r="N1204" s="19">
        <f t="shared" si="13"/>
        <v>149.7966667</v>
      </c>
    </row>
    <row r="1205" ht="24.75" customHeight="1">
      <c r="A1205" s="21" t="s">
        <v>1168</v>
      </c>
      <c r="B1205" s="13">
        <f>IFERROR(__xludf.DUMMYFUNCTION("GOOGLEFINANCE(A1205,""PRICE"")"),308.85)</f>
        <v>308.85</v>
      </c>
      <c r="C1205" s="14">
        <f>IFERROR(__xludf.DUMMYFUNCTION("GOOGLEFINANCE(A1205,""PRICEOPEN"")"),282.35)</f>
        <v>282.35</v>
      </c>
      <c r="D1205" s="14">
        <f>IFERROR(__xludf.DUMMYFUNCTION("GOOGLEFINANCE(A1205,""HIGH"")"),312.55)</f>
        <v>312.55</v>
      </c>
      <c r="E1205" s="14">
        <f>IFERROR(__xludf.DUMMYFUNCTION("GOOGLEFINANCE(A1205,""LOW"")"),277.95)</f>
        <v>277.95</v>
      </c>
      <c r="F1205" s="15" t="str">
        <f t="shared" si="8"/>
        <v/>
      </c>
      <c r="G1205" s="16">
        <f>IFERROR(__xludf.DUMMYFUNCTION("GOOGLEFINANCE(A1205,""CLOSEYEST"")"),281.5)</f>
        <v>281.5</v>
      </c>
      <c r="H1205" s="17" t="str">
        <f t="shared" si="14"/>
        <v/>
      </c>
      <c r="I1205" s="18">
        <f t="shared" si="9"/>
        <v>290.6666667</v>
      </c>
      <c r="J1205" s="19">
        <f t="shared" si="10"/>
        <v>303.3833333</v>
      </c>
      <c r="K1205" s="19"/>
      <c r="L1205" s="19">
        <f t="shared" si="11"/>
        <v>268.7833333</v>
      </c>
      <c r="M1205" s="19">
        <f t="shared" si="12"/>
        <v>325.2666667</v>
      </c>
      <c r="N1205" s="19">
        <f t="shared" si="13"/>
        <v>256.0666667</v>
      </c>
    </row>
    <row r="1206" ht="24.75" customHeight="1">
      <c r="A1206" s="21" t="s">
        <v>1169</v>
      </c>
      <c r="B1206" s="13">
        <f>IFERROR(__xludf.DUMMYFUNCTION("GOOGLEFINANCE(A1206,""PRICE"")"),227.43)</f>
        <v>227.43</v>
      </c>
      <c r="C1206" s="14">
        <f>IFERROR(__xludf.DUMMYFUNCTION("GOOGLEFINANCE(A1206,""PRICEOPEN"")"),229.8)</f>
        <v>229.8</v>
      </c>
      <c r="D1206" s="14">
        <f>IFERROR(__xludf.DUMMYFUNCTION("GOOGLEFINANCE(A1206,""HIGH"")"),229.8)</f>
        <v>229.8</v>
      </c>
      <c r="E1206" s="14">
        <f>IFERROR(__xludf.DUMMYFUNCTION("GOOGLEFINANCE(A1206,""LOW"")"),224.71)</f>
        <v>224.71</v>
      </c>
      <c r="F1206" s="15" t="str">
        <f t="shared" si="8"/>
        <v>SELL</v>
      </c>
      <c r="G1206" s="16">
        <f>IFERROR(__xludf.DUMMYFUNCTION("GOOGLEFINANCE(A1206,""CLOSEYEST"")"),228.01)</f>
        <v>228.01</v>
      </c>
      <c r="H1206" s="17" t="str">
        <f t="shared" si="14"/>
        <v/>
      </c>
      <c r="I1206" s="18">
        <f t="shared" si="9"/>
        <v>227.5066667</v>
      </c>
      <c r="J1206" s="19">
        <f t="shared" si="10"/>
        <v>230.3033333</v>
      </c>
      <c r="K1206" s="19"/>
      <c r="L1206" s="19">
        <f t="shared" si="11"/>
        <v>225.2133333</v>
      </c>
      <c r="M1206" s="19">
        <f t="shared" si="12"/>
        <v>232.5966667</v>
      </c>
      <c r="N1206" s="19">
        <f t="shared" si="13"/>
        <v>222.4166667</v>
      </c>
    </row>
    <row r="1207" ht="24.75" customHeight="1">
      <c r="A1207" s="21" t="s">
        <v>1170</v>
      </c>
      <c r="B1207" s="13">
        <f>IFERROR(__xludf.DUMMYFUNCTION("GOOGLEFINANCE(A1207,""PRICE"")"),223.8)</f>
        <v>223.8</v>
      </c>
      <c r="C1207" s="14">
        <f>IFERROR(__xludf.DUMMYFUNCTION("GOOGLEFINANCE(A1207,""PRICEOPEN"")"),223.9)</f>
        <v>223.9</v>
      </c>
      <c r="D1207" s="14">
        <f>IFERROR(__xludf.DUMMYFUNCTION("GOOGLEFINANCE(A1207,""HIGH"")"),226.0)</f>
        <v>226</v>
      </c>
      <c r="E1207" s="14">
        <f>IFERROR(__xludf.DUMMYFUNCTION("GOOGLEFINANCE(A1207,""LOW"")"),216.03)</f>
        <v>216.03</v>
      </c>
      <c r="F1207" s="15" t="str">
        <f t="shared" si="8"/>
        <v/>
      </c>
      <c r="G1207" s="16">
        <f>IFERROR(__xludf.DUMMYFUNCTION("GOOGLEFINANCE(A1207,""CLOSEYEST"")"),221.25)</f>
        <v>221.25</v>
      </c>
      <c r="H1207" s="17" t="str">
        <f t="shared" si="14"/>
        <v>GAP UP</v>
      </c>
      <c r="I1207" s="18">
        <f t="shared" si="9"/>
        <v>221.0933333</v>
      </c>
      <c r="J1207" s="19">
        <f t="shared" si="10"/>
        <v>226.1566667</v>
      </c>
      <c r="K1207" s="19"/>
      <c r="L1207" s="19">
        <f t="shared" si="11"/>
        <v>216.1866667</v>
      </c>
      <c r="M1207" s="19">
        <f t="shared" si="12"/>
        <v>231.0633333</v>
      </c>
      <c r="N1207" s="19">
        <f t="shared" si="13"/>
        <v>211.1233333</v>
      </c>
    </row>
    <row r="1208" ht="24.75" customHeight="1">
      <c r="A1208" s="21" t="s">
        <v>1171</v>
      </c>
      <c r="B1208" s="13">
        <f>IFERROR(__xludf.DUMMYFUNCTION("GOOGLEFINANCE(A1208,""PRICE"")"),1416.1)</f>
        <v>1416.1</v>
      </c>
      <c r="C1208" s="14">
        <f>IFERROR(__xludf.DUMMYFUNCTION("GOOGLEFINANCE(A1208,""PRICEOPEN"")"),1426.5)</f>
        <v>1426.5</v>
      </c>
      <c r="D1208" s="14">
        <f>IFERROR(__xludf.DUMMYFUNCTION("GOOGLEFINANCE(A1208,""HIGH"")"),1459.8)</f>
        <v>1459.8</v>
      </c>
      <c r="E1208" s="14">
        <f>IFERROR(__xludf.DUMMYFUNCTION("GOOGLEFINANCE(A1208,""LOW"")"),1415.1)</f>
        <v>1415.1</v>
      </c>
      <c r="F1208" s="15" t="str">
        <f t="shared" si="8"/>
        <v/>
      </c>
      <c r="G1208" s="16">
        <f>IFERROR(__xludf.DUMMYFUNCTION("GOOGLEFINANCE(A1208,""CLOSEYEST"")"),1433.6)</f>
        <v>1433.6</v>
      </c>
      <c r="H1208" s="17" t="str">
        <f t="shared" si="14"/>
        <v/>
      </c>
      <c r="I1208" s="18">
        <f t="shared" si="9"/>
        <v>1436.166667</v>
      </c>
      <c r="J1208" s="19">
        <f t="shared" si="10"/>
        <v>1457.233333</v>
      </c>
      <c r="K1208" s="19"/>
      <c r="L1208" s="19">
        <f t="shared" si="11"/>
        <v>1412.533333</v>
      </c>
      <c r="M1208" s="19">
        <f t="shared" si="12"/>
        <v>1480.866667</v>
      </c>
      <c r="N1208" s="19">
        <f t="shared" si="13"/>
        <v>1391.466667</v>
      </c>
    </row>
    <row r="1209" ht="24.75" customHeight="1">
      <c r="A1209" s="21" t="s">
        <v>1172</v>
      </c>
      <c r="B1209" s="13">
        <f>IFERROR(__xludf.DUMMYFUNCTION("GOOGLEFINANCE(A1209,""PRICE"")"),594.1)</f>
        <v>594.1</v>
      </c>
      <c r="C1209" s="14">
        <f>IFERROR(__xludf.DUMMYFUNCTION("GOOGLEFINANCE(A1209,""PRICEOPEN"")"),591.05)</f>
        <v>591.05</v>
      </c>
      <c r="D1209" s="14">
        <f>IFERROR(__xludf.DUMMYFUNCTION("GOOGLEFINANCE(A1209,""HIGH"")"),601.45)</f>
        <v>601.45</v>
      </c>
      <c r="E1209" s="14">
        <f>IFERROR(__xludf.DUMMYFUNCTION("GOOGLEFINANCE(A1209,""LOW"")"),590.3)</f>
        <v>590.3</v>
      </c>
      <c r="F1209" s="15" t="str">
        <f t="shared" si="8"/>
        <v/>
      </c>
      <c r="G1209" s="16">
        <f>IFERROR(__xludf.DUMMYFUNCTION("GOOGLEFINANCE(A1209,""CLOSEYEST"")"),593.35)</f>
        <v>593.35</v>
      </c>
      <c r="H1209" s="17" t="str">
        <f t="shared" si="14"/>
        <v/>
      </c>
      <c r="I1209" s="18">
        <f t="shared" si="9"/>
        <v>595.0333333</v>
      </c>
      <c r="J1209" s="19">
        <f t="shared" si="10"/>
        <v>599.7666667</v>
      </c>
      <c r="K1209" s="19"/>
      <c r="L1209" s="19">
        <f t="shared" si="11"/>
        <v>588.6166667</v>
      </c>
      <c r="M1209" s="19">
        <f t="shared" si="12"/>
        <v>606.1833333</v>
      </c>
      <c r="N1209" s="19">
        <f t="shared" si="13"/>
        <v>583.8833333</v>
      </c>
    </row>
    <row r="1210" ht="24.75" customHeight="1">
      <c r="A1210" s="21" t="s">
        <v>1173</v>
      </c>
      <c r="B1210" s="13">
        <f>IFERROR(__xludf.DUMMYFUNCTION("GOOGLEFINANCE(A1210,""PRICE"")"),97.0)</f>
        <v>97</v>
      </c>
      <c r="C1210" s="14">
        <f>IFERROR(__xludf.DUMMYFUNCTION("GOOGLEFINANCE(A1210,""PRICEOPEN"")"),96.1)</f>
        <v>96.1</v>
      </c>
      <c r="D1210" s="14">
        <f>IFERROR(__xludf.DUMMYFUNCTION("GOOGLEFINANCE(A1210,""HIGH"")"),99.9)</f>
        <v>99.9</v>
      </c>
      <c r="E1210" s="14">
        <f>IFERROR(__xludf.DUMMYFUNCTION("GOOGLEFINANCE(A1210,""LOW"")"),95.0)</f>
        <v>95</v>
      </c>
      <c r="F1210" s="15" t="str">
        <f t="shared" si="8"/>
        <v/>
      </c>
      <c r="G1210" s="16">
        <f>IFERROR(__xludf.DUMMYFUNCTION("GOOGLEFINANCE(A1210,""CLOSEYEST"")"),97.37)</f>
        <v>97.37</v>
      </c>
      <c r="H1210" s="17" t="str">
        <f t="shared" si="14"/>
        <v>GAP DOWN</v>
      </c>
      <c r="I1210" s="18">
        <f t="shared" si="9"/>
        <v>97.42333333</v>
      </c>
      <c r="J1210" s="19">
        <f t="shared" si="10"/>
        <v>99.84666667</v>
      </c>
      <c r="K1210" s="19"/>
      <c r="L1210" s="19">
        <f t="shared" si="11"/>
        <v>94.94666667</v>
      </c>
      <c r="M1210" s="19">
        <f t="shared" si="12"/>
        <v>102.3233333</v>
      </c>
      <c r="N1210" s="19">
        <f t="shared" si="13"/>
        <v>92.52333333</v>
      </c>
    </row>
    <row r="1211" ht="24.75" customHeight="1">
      <c r="A1211" s="21" t="s">
        <v>1174</v>
      </c>
      <c r="B1211" s="13" t="str">
        <f>IFERROR(__xludf.DUMMYFUNCTION("GOOGLEFINANCE(A1211,""PRICE"")"),"#N/A")</f>
        <v>#N/A</v>
      </c>
      <c r="C1211" s="14" t="str">
        <f>IFERROR(__xludf.DUMMYFUNCTION("GOOGLEFINANCE(A1211,""PRICEOPEN"")"),"#N/A")</f>
        <v>#N/A</v>
      </c>
      <c r="D1211" s="14" t="str">
        <f>IFERROR(__xludf.DUMMYFUNCTION("GOOGLEFINANCE(A1211,""HIGH"")"),"#N/A")</f>
        <v>#N/A</v>
      </c>
      <c r="E1211" s="14" t="str">
        <f>IFERROR(__xludf.DUMMYFUNCTION("GOOGLEFINANCE(A1211,""LOW"")"),"#N/A")</f>
        <v>#N/A</v>
      </c>
      <c r="F1211" s="15" t="str">
        <f t="shared" si="8"/>
        <v>#N/A</v>
      </c>
      <c r="G1211" s="16" t="str">
        <f>IFERROR(__xludf.DUMMYFUNCTION("GOOGLEFINANCE(A1211,""CLOSEYEST"")"),"#N/A")</f>
        <v>#N/A</v>
      </c>
      <c r="H1211" s="17" t="str">
        <f t="shared" si="14"/>
        <v>#N/A</v>
      </c>
      <c r="I1211" s="18" t="str">
        <f t="shared" si="9"/>
        <v>#N/A</v>
      </c>
      <c r="J1211" s="19" t="str">
        <f t="shared" si="10"/>
        <v>#N/A</v>
      </c>
      <c r="K1211" s="19"/>
      <c r="L1211" s="19" t="str">
        <f t="shared" si="11"/>
        <v>#N/A</v>
      </c>
      <c r="M1211" s="19" t="str">
        <f t="shared" si="12"/>
        <v>#N/A</v>
      </c>
      <c r="N1211" s="19" t="str">
        <f t="shared" si="13"/>
        <v>#N/A</v>
      </c>
    </row>
    <row r="1212" ht="24.75" customHeight="1">
      <c r="A1212" s="21" t="s">
        <v>1175</v>
      </c>
      <c r="B1212" s="13">
        <f>IFERROR(__xludf.DUMMYFUNCTION("GOOGLEFINANCE(A1212,""PRICE"")"),126.12)</f>
        <v>126.12</v>
      </c>
      <c r="C1212" s="14">
        <f>IFERROR(__xludf.DUMMYFUNCTION("GOOGLEFINANCE(A1212,""PRICEOPEN"")"),125.4)</f>
        <v>125.4</v>
      </c>
      <c r="D1212" s="14">
        <f>IFERROR(__xludf.DUMMYFUNCTION("GOOGLEFINANCE(A1212,""HIGH"")"),126.75)</f>
        <v>126.75</v>
      </c>
      <c r="E1212" s="14">
        <f>IFERROR(__xludf.DUMMYFUNCTION("GOOGLEFINANCE(A1212,""LOW"")"),124.91)</f>
        <v>124.91</v>
      </c>
      <c r="F1212" s="15" t="str">
        <f t="shared" si="8"/>
        <v/>
      </c>
      <c r="G1212" s="16">
        <f>IFERROR(__xludf.DUMMYFUNCTION("GOOGLEFINANCE(A1212,""CLOSEYEST"")"),125.21)</f>
        <v>125.21</v>
      </c>
      <c r="H1212" s="17" t="str">
        <f t="shared" si="14"/>
        <v/>
      </c>
      <c r="I1212" s="18">
        <f t="shared" si="9"/>
        <v>125.6233333</v>
      </c>
      <c r="J1212" s="19">
        <f t="shared" si="10"/>
        <v>126.3366667</v>
      </c>
      <c r="K1212" s="19"/>
      <c r="L1212" s="19">
        <f t="shared" si="11"/>
        <v>124.4966667</v>
      </c>
      <c r="M1212" s="19">
        <f t="shared" si="12"/>
        <v>127.4633333</v>
      </c>
      <c r="N1212" s="19">
        <f t="shared" si="13"/>
        <v>123.7833333</v>
      </c>
    </row>
    <row r="1213" ht="24.75" customHeight="1">
      <c r="A1213" s="21" t="s">
        <v>1176</v>
      </c>
      <c r="B1213" s="13" t="str">
        <f>IFERROR(__xludf.DUMMYFUNCTION("GOOGLEFINANCE(A1213,""PRICE"")"),"#N/A")</f>
        <v>#N/A</v>
      </c>
      <c r="C1213" s="14" t="str">
        <f>IFERROR(__xludf.DUMMYFUNCTION("GOOGLEFINANCE(A1213,""PRICEOPEN"")"),"#N/A")</f>
        <v>#N/A</v>
      </c>
      <c r="D1213" s="14" t="str">
        <f>IFERROR(__xludf.DUMMYFUNCTION("GOOGLEFINANCE(A1213,""HIGH"")"),"#N/A")</f>
        <v>#N/A</v>
      </c>
      <c r="E1213" s="14" t="str">
        <f>IFERROR(__xludf.DUMMYFUNCTION("GOOGLEFINANCE(A1213,""LOW"")"),"#N/A")</f>
        <v>#N/A</v>
      </c>
      <c r="F1213" s="15" t="str">
        <f t="shared" si="8"/>
        <v>#N/A</v>
      </c>
      <c r="G1213" s="16" t="str">
        <f>IFERROR(__xludf.DUMMYFUNCTION("GOOGLEFINANCE(A1213,""CLOSEYEST"")"),"#N/A")</f>
        <v>#N/A</v>
      </c>
      <c r="H1213" s="17" t="str">
        <f t="shared" si="14"/>
        <v>#N/A</v>
      </c>
      <c r="I1213" s="18" t="str">
        <f t="shared" si="9"/>
        <v>#N/A</v>
      </c>
      <c r="J1213" s="19" t="str">
        <f t="shared" si="10"/>
        <v>#N/A</v>
      </c>
      <c r="K1213" s="19"/>
      <c r="L1213" s="19" t="str">
        <f t="shared" si="11"/>
        <v>#N/A</v>
      </c>
      <c r="M1213" s="19" t="str">
        <f t="shared" si="12"/>
        <v>#N/A</v>
      </c>
      <c r="N1213" s="19" t="str">
        <f t="shared" si="13"/>
        <v>#N/A</v>
      </c>
    </row>
    <row r="1214" ht="24.75" customHeight="1">
      <c r="A1214" s="21" t="s">
        <v>1177</v>
      </c>
      <c r="B1214" s="13">
        <f>IFERROR(__xludf.DUMMYFUNCTION("GOOGLEFINANCE(A1214,""PRICE"")"),20.14)</f>
        <v>20.14</v>
      </c>
      <c r="C1214" s="14">
        <f>IFERROR(__xludf.DUMMYFUNCTION("GOOGLEFINANCE(A1214,""PRICEOPEN"")"),20.43)</f>
        <v>20.43</v>
      </c>
      <c r="D1214" s="14">
        <f>IFERROR(__xludf.DUMMYFUNCTION("GOOGLEFINANCE(A1214,""HIGH"")"),20.43)</f>
        <v>20.43</v>
      </c>
      <c r="E1214" s="14">
        <f>IFERROR(__xludf.DUMMYFUNCTION("GOOGLEFINANCE(A1214,""LOW"")"),20.12)</f>
        <v>20.12</v>
      </c>
      <c r="F1214" s="15" t="str">
        <f t="shared" si="8"/>
        <v>SELL</v>
      </c>
      <c r="G1214" s="16">
        <f>IFERROR(__xludf.DUMMYFUNCTION("GOOGLEFINANCE(A1214,""CLOSEYEST"")"),20.19)</f>
        <v>20.19</v>
      </c>
      <c r="H1214" s="17" t="str">
        <f t="shared" si="14"/>
        <v>GAP UP</v>
      </c>
      <c r="I1214" s="18">
        <f t="shared" si="9"/>
        <v>20.24666667</v>
      </c>
      <c r="J1214" s="19">
        <f t="shared" si="10"/>
        <v>20.37333333</v>
      </c>
      <c r="K1214" s="19"/>
      <c r="L1214" s="19">
        <f t="shared" si="11"/>
        <v>20.06333333</v>
      </c>
      <c r="M1214" s="19">
        <f t="shared" si="12"/>
        <v>20.55666667</v>
      </c>
      <c r="N1214" s="19">
        <f t="shared" si="13"/>
        <v>19.93666667</v>
      </c>
    </row>
    <row r="1215" ht="24.75" customHeight="1">
      <c r="A1215" s="21" t="s">
        <v>1178</v>
      </c>
      <c r="B1215" s="13">
        <f>IFERROR(__xludf.DUMMYFUNCTION("GOOGLEFINANCE(A1215,""PRICE"")"),910.1)</f>
        <v>910.1</v>
      </c>
      <c r="C1215" s="14">
        <f>IFERROR(__xludf.DUMMYFUNCTION("GOOGLEFINANCE(A1215,""PRICEOPEN"")"),899.55)</f>
        <v>899.55</v>
      </c>
      <c r="D1215" s="14">
        <f>IFERROR(__xludf.DUMMYFUNCTION("GOOGLEFINANCE(A1215,""HIGH"")"),914.0)</f>
        <v>914</v>
      </c>
      <c r="E1215" s="14">
        <f>IFERROR(__xludf.DUMMYFUNCTION("GOOGLEFINANCE(A1215,""LOW"")"),899.0)</f>
        <v>899</v>
      </c>
      <c r="F1215" s="15" t="str">
        <f t="shared" si="8"/>
        <v/>
      </c>
      <c r="G1215" s="16">
        <f>IFERROR(__xludf.DUMMYFUNCTION("GOOGLEFINANCE(A1215,""CLOSEYEST"")"),895.15)</f>
        <v>895.15</v>
      </c>
      <c r="H1215" s="17" t="str">
        <f t="shared" si="14"/>
        <v/>
      </c>
      <c r="I1215" s="18">
        <f t="shared" si="9"/>
        <v>902.7166667</v>
      </c>
      <c r="J1215" s="19">
        <f t="shared" si="10"/>
        <v>906.4333333</v>
      </c>
      <c r="K1215" s="19"/>
      <c r="L1215" s="19">
        <f t="shared" si="11"/>
        <v>891.4333333</v>
      </c>
      <c r="M1215" s="19">
        <f t="shared" si="12"/>
        <v>917.7166667</v>
      </c>
      <c r="N1215" s="19">
        <f t="shared" si="13"/>
        <v>887.7166667</v>
      </c>
    </row>
    <row r="1216" ht="24.75" customHeight="1">
      <c r="A1216" s="21" t="s">
        <v>1179</v>
      </c>
      <c r="B1216" s="13">
        <f>IFERROR(__xludf.DUMMYFUNCTION("GOOGLEFINANCE(A1216,""PRICE"")"),454.25)</f>
        <v>454.25</v>
      </c>
      <c r="C1216" s="14">
        <f>IFERROR(__xludf.DUMMYFUNCTION("GOOGLEFINANCE(A1216,""PRICEOPEN"")"),452.0)</f>
        <v>452</v>
      </c>
      <c r="D1216" s="14">
        <f>IFERROR(__xludf.DUMMYFUNCTION("GOOGLEFINANCE(A1216,""HIGH"")"),457.4)</f>
        <v>457.4</v>
      </c>
      <c r="E1216" s="14">
        <f>IFERROR(__xludf.DUMMYFUNCTION("GOOGLEFINANCE(A1216,""LOW"")"),451.95)</f>
        <v>451.95</v>
      </c>
      <c r="F1216" s="15" t="str">
        <f t="shared" si="8"/>
        <v/>
      </c>
      <c r="G1216" s="16">
        <f>IFERROR(__xludf.DUMMYFUNCTION("GOOGLEFINANCE(A1216,""CLOSEYEST"")"),451.6)</f>
        <v>451.6</v>
      </c>
      <c r="H1216" s="17" t="str">
        <f t="shared" si="14"/>
        <v/>
      </c>
      <c r="I1216" s="18">
        <f t="shared" si="9"/>
        <v>453.65</v>
      </c>
      <c r="J1216" s="19">
        <f t="shared" si="10"/>
        <v>455.35</v>
      </c>
      <c r="K1216" s="19"/>
      <c r="L1216" s="19">
        <f t="shared" si="11"/>
        <v>449.9</v>
      </c>
      <c r="M1216" s="19">
        <f t="shared" si="12"/>
        <v>459.1</v>
      </c>
      <c r="N1216" s="19">
        <f t="shared" si="13"/>
        <v>448.2</v>
      </c>
    </row>
    <row r="1217" ht="24.75" customHeight="1">
      <c r="A1217" s="21" t="s">
        <v>1180</v>
      </c>
      <c r="B1217" s="13">
        <f>IFERROR(__xludf.DUMMYFUNCTION("GOOGLEFINANCE(A1217,""PRICE"")"),291.0)</f>
        <v>291</v>
      </c>
      <c r="C1217" s="14">
        <f>IFERROR(__xludf.DUMMYFUNCTION("GOOGLEFINANCE(A1217,""PRICEOPEN"")"),283.9)</f>
        <v>283.9</v>
      </c>
      <c r="D1217" s="14">
        <f>IFERROR(__xludf.DUMMYFUNCTION("GOOGLEFINANCE(A1217,""HIGH"")"),309.0)</f>
        <v>309</v>
      </c>
      <c r="E1217" s="14">
        <f>IFERROR(__xludf.DUMMYFUNCTION("GOOGLEFINANCE(A1217,""LOW"")"),282.6)</f>
        <v>282.6</v>
      </c>
      <c r="F1217" s="15" t="str">
        <f t="shared" si="8"/>
        <v/>
      </c>
      <c r="G1217" s="16">
        <f>IFERROR(__xludf.DUMMYFUNCTION("GOOGLEFINANCE(A1217,""CLOSEYEST"")"),283.9)</f>
        <v>283.9</v>
      </c>
      <c r="H1217" s="17" t="str">
        <f t="shared" si="14"/>
        <v/>
      </c>
      <c r="I1217" s="18">
        <f t="shared" si="9"/>
        <v>291.8333333</v>
      </c>
      <c r="J1217" s="19">
        <f t="shared" si="10"/>
        <v>301.0666667</v>
      </c>
      <c r="K1217" s="19"/>
      <c r="L1217" s="19">
        <f t="shared" si="11"/>
        <v>274.6666667</v>
      </c>
      <c r="M1217" s="19">
        <f t="shared" si="12"/>
        <v>318.2333333</v>
      </c>
      <c r="N1217" s="19">
        <f t="shared" si="13"/>
        <v>265.4333333</v>
      </c>
    </row>
    <row r="1218" ht="24.75" customHeight="1">
      <c r="A1218" s="21" t="s">
        <v>1181</v>
      </c>
      <c r="B1218" s="13">
        <f>IFERROR(__xludf.DUMMYFUNCTION("GOOGLEFINANCE(A1218,""PRICE"")"),4.73)</f>
        <v>4.73</v>
      </c>
      <c r="C1218" s="14">
        <f>IFERROR(__xludf.DUMMYFUNCTION("GOOGLEFINANCE(A1218,""PRICEOPEN"")"),4.63)</f>
        <v>4.63</v>
      </c>
      <c r="D1218" s="14">
        <f>IFERROR(__xludf.DUMMYFUNCTION("GOOGLEFINANCE(A1218,""HIGH"")"),4.77)</f>
        <v>4.77</v>
      </c>
      <c r="E1218" s="14">
        <f>IFERROR(__xludf.DUMMYFUNCTION("GOOGLEFINANCE(A1218,""LOW"")"),4.6)</f>
        <v>4.6</v>
      </c>
      <c r="F1218" s="15" t="str">
        <f t="shared" si="8"/>
        <v/>
      </c>
      <c r="G1218" s="16">
        <f>IFERROR(__xludf.DUMMYFUNCTION("GOOGLEFINANCE(A1218,""CLOSEYEST"")"),4.65)</f>
        <v>4.65</v>
      </c>
      <c r="H1218" s="17" t="str">
        <f t="shared" si="14"/>
        <v/>
      </c>
      <c r="I1218" s="18">
        <f t="shared" si="9"/>
        <v>4.673333333</v>
      </c>
      <c r="J1218" s="19">
        <f t="shared" si="10"/>
        <v>4.746666667</v>
      </c>
      <c r="K1218" s="19"/>
      <c r="L1218" s="19">
        <f t="shared" si="11"/>
        <v>4.576666667</v>
      </c>
      <c r="M1218" s="19">
        <f t="shared" si="12"/>
        <v>4.843333333</v>
      </c>
      <c r="N1218" s="19">
        <f t="shared" si="13"/>
        <v>4.503333333</v>
      </c>
    </row>
    <row r="1219" ht="24.75" customHeight="1">
      <c r="A1219" s="21" t="s">
        <v>1182</v>
      </c>
      <c r="B1219" s="13">
        <f>IFERROR(__xludf.DUMMYFUNCTION("GOOGLEFINANCE(A1219,""PRICE"")"),221.2)</f>
        <v>221.2</v>
      </c>
      <c r="C1219" s="14">
        <f>IFERROR(__xludf.DUMMYFUNCTION("GOOGLEFINANCE(A1219,""PRICEOPEN"")"),225.49)</f>
        <v>225.49</v>
      </c>
      <c r="D1219" s="14">
        <f>IFERROR(__xludf.DUMMYFUNCTION("GOOGLEFINANCE(A1219,""HIGH"")"),225.49)</f>
        <v>225.49</v>
      </c>
      <c r="E1219" s="14">
        <f>IFERROR(__xludf.DUMMYFUNCTION("GOOGLEFINANCE(A1219,""LOW"")"),220.55)</f>
        <v>220.55</v>
      </c>
      <c r="F1219" s="15" t="str">
        <f t="shared" si="8"/>
        <v>SELL</v>
      </c>
      <c r="G1219" s="16">
        <f>IFERROR(__xludf.DUMMYFUNCTION("GOOGLEFINANCE(A1219,""CLOSEYEST"")"),222.38)</f>
        <v>222.38</v>
      </c>
      <c r="H1219" s="17" t="str">
        <f t="shared" si="14"/>
        <v>GAP UP</v>
      </c>
      <c r="I1219" s="18">
        <f t="shared" si="9"/>
        <v>222.8066667</v>
      </c>
      <c r="J1219" s="19">
        <f t="shared" si="10"/>
        <v>225.0633333</v>
      </c>
      <c r="K1219" s="19"/>
      <c r="L1219" s="19">
        <f t="shared" si="11"/>
        <v>220.1233333</v>
      </c>
      <c r="M1219" s="19">
        <f t="shared" si="12"/>
        <v>227.7466667</v>
      </c>
      <c r="N1219" s="19">
        <f t="shared" si="13"/>
        <v>217.8666667</v>
      </c>
    </row>
    <row r="1220" ht="24.75" customHeight="1">
      <c r="A1220" s="21" t="s">
        <v>1183</v>
      </c>
      <c r="B1220" s="13">
        <f>IFERROR(__xludf.DUMMYFUNCTION("GOOGLEFINANCE(A1220,""PRICE"")"),14.52)</f>
        <v>14.52</v>
      </c>
      <c r="C1220" s="14">
        <f>IFERROR(__xludf.DUMMYFUNCTION("GOOGLEFINANCE(A1220,""PRICEOPEN"")"),14.7)</f>
        <v>14.7</v>
      </c>
      <c r="D1220" s="14">
        <f>IFERROR(__xludf.DUMMYFUNCTION("GOOGLEFINANCE(A1220,""HIGH"")"),14.7)</f>
        <v>14.7</v>
      </c>
      <c r="E1220" s="14">
        <f>IFERROR(__xludf.DUMMYFUNCTION("GOOGLEFINANCE(A1220,""LOW"")"),14.23)</f>
        <v>14.23</v>
      </c>
      <c r="F1220" s="15" t="str">
        <f t="shared" si="8"/>
        <v>SELL</v>
      </c>
      <c r="G1220" s="16">
        <f>IFERROR(__xludf.DUMMYFUNCTION("GOOGLEFINANCE(A1220,""CLOSEYEST"")"),14.22)</f>
        <v>14.22</v>
      </c>
      <c r="H1220" s="17" t="str">
        <f t="shared" si="14"/>
        <v>GAP UP</v>
      </c>
      <c r="I1220" s="18">
        <f t="shared" si="9"/>
        <v>14.38333333</v>
      </c>
      <c r="J1220" s="19">
        <f t="shared" si="10"/>
        <v>14.53666667</v>
      </c>
      <c r="K1220" s="19"/>
      <c r="L1220" s="19">
        <f t="shared" si="11"/>
        <v>14.06666667</v>
      </c>
      <c r="M1220" s="19">
        <f t="shared" si="12"/>
        <v>14.85333333</v>
      </c>
      <c r="N1220" s="19">
        <f t="shared" si="13"/>
        <v>13.91333333</v>
      </c>
    </row>
    <row r="1221" ht="24.75" customHeight="1">
      <c r="A1221" s="21" t="s">
        <v>1184</v>
      </c>
      <c r="B1221" s="13">
        <f>IFERROR(__xludf.DUMMYFUNCTION("GOOGLEFINANCE(A1221,""PRICE"")"),130.0)</f>
        <v>130</v>
      </c>
      <c r="C1221" s="14">
        <f>IFERROR(__xludf.DUMMYFUNCTION("GOOGLEFINANCE(A1221,""PRICEOPEN"")"),133.89)</f>
        <v>133.89</v>
      </c>
      <c r="D1221" s="14">
        <f>IFERROR(__xludf.DUMMYFUNCTION("GOOGLEFINANCE(A1221,""HIGH"")"),133.89)</f>
        <v>133.89</v>
      </c>
      <c r="E1221" s="14">
        <f>IFERROR(__xludf.DUMMYFUNCTION("GOOGLEFINANCE(A1221,""LOW"")"),129.02)</f>
        <v>129.02</v>
      </c>
      <c r="F1221" s="15" t="str">
        <f t="shared" si="8"/>
        <v>SELL</v>
      </c>
      <c r="G1221" s="16">
        <f>IFERROR(__xludf.DUMMYFUNCTION("GOOGLEFINANCE(A1221,""CLOSEYEST"")"),131.89)</f>
        <v>131.89</v>
      </c>
      <c r="H1221" s="17" t="str">
        <f t="shared" si="14"/>
        <v>GAP UP</v>
      </c>
      <c r="I1221" s="18">
        <f t="shared" si="9"/>
        <v>131.6</v>
      </c>
      <c r="J1221" s="19">
        <f t="shared" si="10"/>
        <v>134.18</v>
      </c>
      <c r="K1221" s="19"/>
      <c r="L1221" s="19">
        <f t="shared" si="11"/>
        <v>129.31</v>
      </c>
      <c r="M1221" s="19">
        <f t="shared" si="12"/>
        <v>136.47</v>
      </c>
      <c r="N1221" s="19">
        <f t="shared" si="13"/>
        <v>126.73</v>
      </c>
    </row>
    <row r="1222" ht="24.75" customHeight="1">
      <c r="A1222" s="21" t="s">
        <v>1185</v>
      </c>
      <c r="B1222" s="13">
        <f>IFERROR(__xludf.DUMMYFUNCTION("GOOGLEFINANCE(A1222,""PRICE"")"),462.7)</f>
        <v>462.7</v>
      </c>
      <c r="C1222" s="14">
        <f>IFERROR(__xludf.DUMMYFUNCTION("GOOGLEFINANCE(A1222,""PRICEOPEN"")"),437.0)</f>
        <v>437</v>
      </c>
      <c r="D1222" s="14">
        <f>IFERROR(__xludf.DUMMYFUNCTION("GOOGLEFINANCE(A1222,""HIGH"")"),466.0)</f>
        <v>466</v>
      </c>
      <c r="E1222" s="14">
        <f>IFERROR(__xludf.DUMMYFUNCTION("GOOGLEFINANCE(A1222,""LOW"")"),437.0)</f>
        <v>437</v>
      </c>
      <c r="F1222" s="15" t="str">
        <f t="shared" si="8"/>
        <v>BUY</v>
      </c>
      <c r="G1222" s="16">
        <f>IFERROR(__xludf.DUMMYFUNCTION("GOOGLEFINANCE(A1222,""CLOSEYEST"")"),442.85)</f>
        <v>442.85</v>
      </c>
      <c r="H1222" s="17" t="str">
        <f t="shared" si="14"/>
        <v>GAP DOWN</v>
      </c>
      <c r="I1222" s="18">
        <f t="shared" si="9"/>
        <v>448.6166667</v>
      </c>
      <c r="J1222" s="19">
        <f t="shared" si="10"/>
        <v>460.2333333</v>
      </c>
      <c r="K1222" s="19"/>
      <c r="L1222" s="19">
        <f t="shared" si="11"/>
        <v>431.2333333</v>
      </c>
      <c r="M1222" s="19">
        <f t="shared" si="12"/>
        <v>477.6166667</v>
      </c>
      <c r="N1222" s="19">
        <f t="shared" si="13"/>
        <v>419.6166667</v>
      </c>
    </row>
    <row r="1223" ht="24.75" customHeight="1">
      <c r="A1223" s="21" t="s">
        <v>1186</v>
      </c>
      <c r="B1223" s="13">
        <f>IFERROR(__xludf.DUMMYFUNCTION("GOOGLEFINANCE(A1223,""PRICE"")"),147.9)</f>
        <v>147.9</v>
      </c>
      <c r="C1223" s="14">
        <f>IFERROR(__xludf.DUMMYFUNCTION("GOOGLEFINANCE(A1223,""PRICEOPEN"")"),142.4)</f>
        <v>142.4</v>
      </c>
      <c r="D1223" s="14">
        <f>IFERROR(__xludf.DUMMYFUNCTION("GOOGLEFINANCE(A1223,""HIGH"")"),149.95)</f>
        <v>149.95</v>
      </c>
      <c r="E1223" s="14">
        <f>IFERROR(__xludf.DUMMYFUNCTION("GOOGLEFINANCE(A1223,""LOW"")"),140.48)</f>
        <v>140.48</v>
      </c>
      <c r="F1223" s="15" t="str">
        <f t="shared" si="8"/>
        <v/>
      </c>
      <c r="G1223" s="16">
        <f>IFERROR(__xludf.DUMMYFUNCTION("GOOGLEFINANCE(A1223,""CLOSEYEST"")"),141.15)</f>
        <v>141.15</v>
      </c>
      <c r="H1223" s="17" t="str">
        <f t="shared" si="14"/>
        <v/>
      </c>
      <c r="I1223" s="18">
        <f t="shared" si="9"/>
        <v>143.86</v>
      </c>
      <c r="J1223" s="19">
        <f t="shared" si="10"/>
        <v>147.24</v>
      </c>
      <c r="K1223" s="19"/>
      <c r="L1223" s="19">
        <f t="shared" si="11"/>
        <v>137.77</v>
      </c>
      <c r="M1223" s="19">
        <f t="shared" si="12"/>
        <v>153.33</v>
      </c>
      <c r="N1223" s="19">
        <f t="shared" si="13"/>
        <v>134.39</v>
      </c>
    </row>
    <row r="1224" ht="24.75" customHeight="1">
      <c r="A1224" s="21" t="s">
        <v>1187</v>
      </c>
      <c r="B1224" s="13">
        <f>IFERROR(__xludf.DUMMYFUNCTION("GOOGLEFINANCE(A1224,""PRICE"")"),306.5)</f>
        <v>306.5</v>
      </c>
      <c r="C1224" s="14">
        <f>IFERROR(__xludf.DUMMYFUNCTION("GOOGLEFINANCE(A1224,""PRICEOPEN"")"),298.75)</f>
        <v>298.75</v>
      </c>
      <c r="D1224" s="14">
        <f>IFERROR(__xludf.DUMMYFUNCTION("GOOGLEFINANCE(A1224,""HIGH"")"),306.5)</f>
        <v>306.5</v>
      </c>
      <c r="E1224" s="14">
        <f>IFERROR(__xludf.DUMMYFUNCTION("GOOGLEFINANCE(A1224,""LOW"")"),298.0)</f>
        <v>298</v>
      </c>
      <c r="F1224" s="15" t="str">
        <f t="shared" si="8"/>
        <v/>
      </c>
      <c r="G1224" s="16">
        <f>IFERROR(__xludf.DUMMYFUNCTION("GOOGLEFINANCE(A1224,""CLOSEYEST"")"),293.25)</f>
        <v>293.25</v>
      </c>
      <c r="H1224" s="17" t="str">
        <f t="shared" si="14"/>
        <v>GAP UP</v>
      </c>
      <c r="I1224" s="18">
        <f t="shared" si="9"/>
        <v>299.25</v>
      </c>
      <c r="J1224" s="19">
        <f t="shared" si="10"/>
        <v>300.5</v>
      </c>
      <c r="K1224" s="19"/>
      <c r="L1224" s="19">
        <f t="shared" si="11"/>
        <v>292</v>
      </c>
      <c r="M1224" s="19">
        <f t="shared" si="12"/>
        <v>307.75</v>
      </c>
      <c r="N1224" s="19">
        <f t="shared" si="13"/>
        <v>290.75</v>
      </c>
    </row>
    <row r="1225" ht="24.75" customHeight="1">
      <c r="A1225" s="21" t="s">
        <v>1188</v>
      </c>
      <c r="B1225" s="13">
        <f>IFERROR(__xludf.DUMMYFUNCTION("GOOGLEFINANCE(A1225,""PRICE"")"),23.08)</f>
        <v>23.08</v>
      </c>
      <c r="C1225" s="14">
        <f>IFERROR(__xludf.DUMMYFUNCTION("GOOGLEFINANCE(A1225,""PRICEOPEN"")"),23.3)</f>
        <v>23.3</v>
      </c>
      <c r="D1225" s="14">
        <f>IFERROR(__xludf.DUMMYFUNCTION("GOOGLEFINANCE(A1225,""HIGH"")"),23.7)</f>
        <v>23.7</v>
      </c>
      <c r="E1225" s="14">
        <f>IFERROR(__xludf.DUMMYFUNCTION("GOOGLEFINANCE(A1225,""LOW"")"),22.8)</f>
        <v>22.8</v>
      </c>
      <c r="F1225" s="15" t="str">
        <f t="shared" si="8"/>
        <v/>
      </c>
      <c r="G1225" s="16">
        <f>IFERROR(__xludf.DUMMYFUNCTION("GOOGLEFINANCE(A1225,""CLOSEYEST"")"),23.05)</f>
        <v>23.05</v>
      </c>
      <c r="H1225" s="17" t="str">
        <f t="shared" si="14"/>
        <v>GAP UP</v>
      </c>
      <c r="I1225" s="18">
        <f t="shared" si="9"/>
        <v>23.18333333</v>
      </c>
      <c r="J1225" s="19">
        <f t="shared" si="10"/>
        <v>23.56666667</v>
      </c>
      <c r="K1225" s="19"/>
      <c r="L1225" s="19">
        <f t="shared" si="11"/>
        <v>22.66666667</v>
      </c>
      <c r="M1225" s="19">
        <f t="shared" si="12"/>
        <v>24.08333333</v>
      </c>
      <c r="N1225" s="19">
        <f t="shared" si="13"/>
        <v>22.28333333</v>
      </c>
    </row>
    <row r="1226" ht="24.75" customHeight="1">
      <c r="A1226" s="21" t="s">
        <v>1189</v>
      </c>
      <c r="B1226" s="13" t="str">
        <f>IFERROR(__xludf.DUMMYFUNCTION("GOOGLEFINANCE(A1226,""PRICE"")"),"#N/A")</f>
        <v>#N/A</v>
      </c>
      <c r="C1226" s="14" t="str">
        <f>IFERROR(__xludf.DUMMYFUNCTION("GOOGLEFINANCE(A1226,""PRICEOPEN"")"),"#N/A")</f>
        <v>#N/A</v>
      </c>
      <c r="D1226" s="14" t="str">
        <f>IFERROR(__xludf.DUMMYFUNCTION("GOOGLEFINANCE(A1226,""HIGH"")"),"#N/A")</f>
        <v>#N/A</v>
      </c>
      <c r="E1226" s="14" t="str">
        <f>IFERROR(__xludf.DUMMYFUNCTION("GOOGLEFINANCE(A1226,""LOW"")"),"#N/A")</f>
        <v>#N/A</v>
      </c>
      <c r="F1226" s="15" t="str">
        <f t="shared" si="8"/>
        <v>#N/A</v>
      </c>
      <c r="G1226" s="16" t="str">
        <f>IFERROR(__xludf.DUMMYFUNCTION("GOOGLEFINANCE(A1226,""CLOSEYEST"")"),"#N/A")</f>
        <v>#N/A</v>
      </c>
      <c r="H1226" s="17" t="str">
        <f t="shared" si="14"/>
        <v>#N/A</v>
      </c>
      <c r="I1226" s="18" t="str">
        <f t="shared" si="9"/>
        <v>#N/A</v>
      </c>
      <c r="J1226" s="19" t="str">
        <f t="shared" si="10"/>
        <v>#N/A</v>
      </c>
      <c r="K1226" s="19"/>
      <c r="L1226" s="19" t="str">
        <f t="shared" si="11"/>
        <v>#N/A</v>
      </c>
      <c r="M1226" s="19" t="str">
        <f t="shared" si="12"/>
        <v>#N/A</v>
      </c>
      <c r="N1226" s="19" t="str">
        <f t="shared" si="13"/>
        <v>#N/A</v>
      </c>
    </row>
    <row r="1227" ht="24.75" customHeight="1">
      <c r="A1227" s="21" t="s">
        <v>1190</v>
      </c>
      <c r="B1227" s="13" t="str">
        <f>IFERROR(__xludf.DUMMYFUNCTION("GOOGLEFINANCE(A1227,""PRICE"")"),"#N/A")</f>
        <v>#N/A</v>
      </c>
      <c r="C1227" s="14" t="str">
        <f>IFERROR(__xludf.DUMMYFUNCTION("GOOGLEFINANCE(A1227,""PRICEOPEN"")"),"#N/A")</f>
        <v>#N/A</v>
      </c>
      <c r="D1227" s="14" t="str">
        <f>IFERROR(__xludf.DUMMYFUNCTION("GOOGLEFINANCE(A1227,""HIGH"")"),"#N/A")</f>
        <v>#N/A</v>
      </c>
      <c r="E1227" s="14" t="str">
        <f>IFERROR(__xludf.DUMMYFUNCTION("GOOGLEFINANCE(A1227,""LOW"")"),"#N/A")</f>
        <v>#N/A</v>
      </c>
      <c r="F1227" s="15" t="str">
        <f t="shared" si="8"/>
        <v>#N/A</v>
      </c>
      <c r="G1227" s="16" t="str">
        <f>IFERROR(__xludf.DUMMYFUNCTION("GOOGLEFINANCE(A1227,""CLOSEYEST"")"),"#N/A")</f>
        <v>#N/A</v>
      </c>
      <c r="H1227" s="17" t="str">
        <f t="shared" si="14"/>
        <v>#N/A</v>
      </c>
      <c r="I1227" s="18" t="str">
        <f t="shared" si="9"/>
        <v>#N/A</v>
      </c>
      <c r="J1227" s="19" t="str">
        <f t="shared" si="10"/>
        <v>#N/A</v>
      </c>
      <c r="K1227" s="19"/>
      <c r="L1227" s="19" t="str">
        <f t="shared" si="11"/>
        <v>#N/A</v>
      </c>
      <c r="M1227" s="19" t="str">
        <f t="shared" si="12"/>
        <v>#N/A</v>
      </c>
      <c r="N1227" s="19" t="str">
        <f t="shared" si="13"/>
        <v>#N/A</v>
      </c>
    </row>
    <row r="1228" ht="24.75" customHeight="1">
      <c r="A1228" s="21" t="s">
        <v>1191</v>
      </c>
      <c r="B1228" s="13">
        <f>IFERROR(__xludf.DUMMYFUNCTION("GOOGLEFINANCE(A1228,""PRICE"")"),424.1)</f>
        <v>424.1</v>
      </c>
      <c r="C1228" s="14">
        <f>IFERROR(__xludf.DUMMYFUNCTION("GOOGLEFINANCE(A1228,""PRICEOPEN"")"),428.0)</f>
        <v>428</v>
      </c>
      <c r="D1228" s="14">
        <f>IFERROR(__xludf.DUMMYFUNCTION("GOOGLEFINANCE(A1228,""HIGH"")"),449.75)</f>
        <v>449.75</v>
      </c>
      <c r="E1228" s="14">
        <f>IFERROR(__xludf.DUMMYFUNCTION("GOOGLEFINANCE(A1228,""LOW"")"),422.55)</f>
        <v>422.55</v>
      </c>
      <c r="F1228" s="15" t="str">
        <f t="shared" si="8"/>
        <v/>
      </c>
      <c r="G1228" s="16">
        <f>IFERROR(__xludf.DUMMYFUNCTION("GOOGLEFINANCE(A1228,""CLOSEYEST"")"),427.55)</f>
        <v>427.55</v>
      </c>
      <c r="H1228" s="17" t="str">
        <f t="shared" si="14"/>
        <v/>
      </c>
      <c r="I1228" s="18">
        <f t="shared" si="9"/>
        <v>433.2833333</v>
      </c>
      <c r="J1228" s="19">
        <f t="shared" si="10"/>
        <v>444.0166667</v>
      </c>
      <c r="K1228" s="19"/>
      <c r="L1228" s="19">
        <f t="shared" si="11"/>
        <v>416.8166667</v>
      </c>
      <c r="M1228" s="19">
        <f t="shared" si="12"/>
        <v>460.4833333</v>
      </c>
      <c r="N1228" s="19">
        <f t="shared" si="13"/>
        <v>406.0833333</v>
      </c>
    </row>
    <row r="1229" ht="24.75" customHeight="1">
      <c r="A1229" s="21" t="s">
        <v>1192</v>
      </c>
      <c r="B1229" s="13">
        <f>IFERROR(__xludf.DUMMYFUNCTION("GOOGLEFINANCE(A1229,""PRICE"")"),165.83)</f>
        <v>165.83</v>
      </c>
      <c r="C1229" s="14">
        <f>IFERROR(__xludf.DUMMYFUNCTION("GOOGLEFINANCE(A1229,""PRICEOPEN"")"),164.7)</f>
        <v>164.7</v>
      </c>
      <c r="D1229" s="14">
        <f>IFERROR(__xludf.DUMMYFUNCTION("GOOGLEFINANCE(A1229,""HIGH"")"),169.68)</f>
        <v>169.68</v>
      </c>
      <c r="E1229" s="14">
        <f>IFERROR(__xludf.DUMMYFUNCTION("GOOGLEFINANCE(A1229,""LOW"")"),163.98)</f>
        <v>163.98</v>
      </c>
      <c r="F1229" s="15" t="str">
        <f t="shared" si="8"/>
        <v/>
      </c>
      <c r="G1229" s="16">
        <f>IFERROR(__xludf.DUMMYFUNCTION("GOOGLEFINANCE(A1229,""CLOSEYEST"")"),164.01)</f>
        <v>164.01</v>
      </c>
      <c r="H1229" s="17" t="str">
        <f t="shared" si="14"/>
        <v/>
      </c>
      <c r="I1229" s="18">
        <f t="shared" si="9"/>
        <v>165.89</v>
      </c>
      <c r="J1229" s="19">
        <f t="shared" si="10"/>
        <v>167.8</v>
      </c>
      <c r="K1229" s="19"/>
      <c r="L1229" s="19">
        <f t="shared" si="11"/>
        <v>162.1</v>
      </c>
      <c r="M1229" s="19">
        <f t="shared" si="12"/>
        <v>171.59</v>
      </c>
      <c r="N1229" s="19">
        <f t="shared" si="13"/>
        <v>160.19</v>
      </c>
    </row>
    <row r="1230" ht="24.75" customHeight="1">
      <c r="A1230" s="21" t="s">
        <v>1193</v>
      </c>
      <c r="B1230" s="13">
        <f>IFERROR(__xludf.DUMMYFUNCTION("GOOGLEFINANCE(A1230,""PRICE"")"),35.07)</f>
        <v>35.07</v>
      </c>
      <c r="C1230" s="14">
        <f>IFERROR(__xludf.DUMMYFUNCTION("GOOGLEFINANCE(A1230,""PRICEOPEN"")"),34.99)</f>
        <v>34.99</v>
      </c>
      <c r="D1230" s="14">
        <f>IFERROR(__xludf.DUMMYFUNCTION("GOOGLEFINANCE(A1230,""HIGH"")"),36.12)</f>
        <v>36.12</v>
      </c>
      <c r="E1230" s="14">
        <f>IFERROR(__xludf.DUMMYFUNCTION("GOOGLEFINANCE(A1230,""LOW"")"),34.44)</f>
        <v>34.44</v>
      </c>
      <c r="F1230" s="15" t="str">
        <f t="shared" si="8"/>
        <v/>
      </c>
      <c r="G1230" s="16">
        <f>IFERROR(__xludf.DUMMYFUNCTION("GOOGLEFINANCE(A1230,""CLOSEYEST"")"),35.3)</f>
        <v>35.3</v>
      </c>
      <c r="H1230" s="17" t="str">
        <f t="shared" si="14"/>
        <v/>
      </c>
      <c r="I1230" s="18">
        <f t="shared" si="9"/>
        <v>35.28666667</v>
      </c>
      <c r="J1230" s="19">
        <f t="shared" si="10"/>
        <v>36.13333333</v>
      </c>
      <c r="K1230" s="19"/>
      <c r="L1230" s="19">
        <f t="shared" si="11"/>
        <v>34.45333333</v>
      </c>
      <c r="M1230" s="19">
        <f t="shared" si="12"/>
        <v>36.96666667</v>
      </c>
      <c r="N1230" s="19">
        <f t="shared" si="13"/>
        <v>33.60666667</v>
      </c>
    </row>
    <row r="1231" ht="24.75" customHeight="1">
      <c r="A1231" s="21" t="s">
        <v>1194</v>
      </c>
      <c r="B1231" s="13">
        <f>IFERROR(__xludf.DUMMYFUNCTION("GOOGLEFINANCE(A1231,""PRICE"")"),141.06)</f>
        <v>141.06</v>
      </c>
      <c r="C1231" s="14">
        <f>IFERROR(__xludf.DUMMYFUNCTION("GOOGLEFINANCE(A1231,""PRICEOPEN"")"),140.45)</f>
        <v>140.45</v>
      </c>
      <c r="D1231" s="14">
        <f>IFERROR(__xludf.DUMMYFUNCTION("GOOGLEFINANCE(A1231,""HIGH"")"),143.0)</f>
        <v>143</v>
      </c>
      <c r="E1231" s="14">
        <f>IFERROR(__xludf.DUMMYFUNCTION("GOOGLEFINANCE(A1231,""LOW"")"),139.61)</f>
        <v>139.61</v>
      </c>
      <c r="F1231" s="15" t="str">
        <f t="shared" si="8"/>
        <v/>
      </c>
      <c r="G1231" s="16">
        <f>IFERROR(__xludf.DUMMYFUNCTION("GOOGLEFINANCE(A1231,""CLOSEYEST"")"),139.4)</f>
        <v>139.4</v>
      </c>
      <c r="H1231" s="17" t="str">
        <f t="shared" si="14"/>
        <v/>
      </c>
      <c r="I1231" s="18">
        <f t="shared" si="9"/>
        <v>140.67</v>
      </c>
      <c r="J1231" s="19">
        <f t="shared" si="10"/>
        <v>141.73</v>
      </c>
      <c r="K1231" s="19"/>
      <c r="L1231" s="19">
        <f t="shared" si="11"/>
        <v>138.34</v>
      </c>
      <c r="M1231" s="19">
        <f t="shared" si="12"/>
        <v>144.06</v>
      </c>
      <c r="N1231" s="19">
        <f t="shared" si="13"/>
        <v>137.28</v>
      </c>
    </row>
    <row r="1232" ht="24.75" customHeight="1">
      <c r="A1232" s="21" t="s">
        <v>1195</v>
      </c>
      <c r="B1232" s="13">
        <f>IFERROR(__xludf.DUMMYFUNCTION("GOOGLEFINANCE(A1232,""PRICE"")"),490.9)</f>
        <v>490.9</v>
      </c>
      <c r="C1232" s="14">
        <f>IFERROR(__xludf.DUMMYFUNCTION("GOOGLEFINANCE(A1232,""PRICEOPEN"")"),492.8)</f>
        <v>492.8</v>
      </c>
      <c r="D1232" s="14">
        <f>IFERROR(__xludf.DUMMYFUNCTION("GOOGLEFINANCE(A1232,""HIGH"")"),492.8)</f>
        <v>492.8</v>
      </c>
      <c r="E1232" s="14">
        <f>IFERROR(__xludf.DUMMYFUNCTION("GOOGLEFINANCE(A1232,""LOW"")"),485.55)</f>
        <v>485.55</v>
      </c>
      <c r="F1232" s="15" t="str">
        <f t="shared" si="8"/>
        <v>SELL</v>
      </c>
      <c r="G1232" s="16">
        <f>IFERROR(__xludf.DUMMYFUNCTION("GOOGLEFINANCE(A1232,""CLOSEYEST"")"),490.2)</f>
        <v>490.2</v>
      </c>
      <c r="H1232" s="17" t="str">
        <f t="shared" si="14"/>
        <v/>
      </c>
      <c r="I1232" s="18">
        <f t="shared" si="9"/>
        <v>489.5166667</v>
      </c>
      <c r="J1232" s="19">
        <f t="shared" si="10"/>
        <v>493.4833333</v>
      </c>
      <c r="K1232" s="19"/>
      <c r="L1232" s="19">
        <f t="shared" si="11"/>
        <v>486.2333333</v>
      </c>
      <c r="M1232" s="19">
        <f t="shared" si="12"/>
        <v>496.7666667</v>
      </c>
      <c r="N1232" s="19">
        <f t="shared" si="13"/>
        <v>482.2666667</v>
      </c>
    </row>
    <row r="1233" ht="24.75" customHeight="1">
      <c r="A1233" s="21" t="s">
        <v>1196</v>
      </c>
      <c r="B1233" s="13">
        <f>IFERROR(__xludf.DUMMYFUNCTION("GOOGLEFINANCE(A1233,""PRICE"")"),3.59)</f>
        <v>3.59</v>
      </c>
      <c r="C1233" s="14">
        <f>IFERROR(__xludf.DUMMYFUNCTION("GOOGLEFINANCE(A1233,""PRICEOPEN"")"),3.56)</f>
        <v>3.56</v>
      </c>
      <c r="D1233" s="14">
        <f>IFERROR(__xludf.DUMMYFUNCTION("GOOGLEFINANCE(A1233,""HIGH"")"),3.59)</f>
        <v>3.59</v>
      </c>
      <c r="E1233" s="14">
        <f>IFERROR(__xludf.DUMMYFUNCTION("GOOGLEFINANCE(A1233,""LOW"")"),3.46)</f>
        <v>3.46</v>
      </c>
      <c r="F1233" s="15" t="str">
        <f t="shared" si="8"/>
        <v/>
      </c>
      <c r="G1233" s="16">
        <f>IFERROR(__xludf.DUMMYFUNCTION("GOOGLEFINANCE(A1233,""CLOSEYEST"")"),3.52)</f>
        <v>3.52</v>
      </c>
      <c r="H1233" s="17" t="str">
        <f t="shared" si="14"/>
        <v>GAP UP</v>
      </c>
      <c r="I1233" s="18">
        <f t="shared" si="9"/>
        <v>3.523333333</v>
      </c>
      <c r="J1233" s="19">
        <f t="shared" si="10"/>
        <v>3.586666667</v>
      </c>
      <c r="K1233" s="19"/>
      <c r="L1233" s="19">
        <f t="shared" si="11"/>
        <v>3.456666667</v>
      </c>
      <c r="M1233" s="19">
        <f t="shared" si="12"/>
        <v>3.653333333</v>
      </c>
      <c r="N1233" s="19">
        <f t="shared" si="13"/>
        <v>3.393333333</v>
      </c>
    </row>
    <row r="1234" ht="24.75" customHeight="1">
      <c r="A1234" s="21" t="s">
        <v>1197</v>
      </c>
      <c r="B1234" s="13">
        <f>IFERROR(__xludf.DUMMYFUNCTION("GOOGLEFINANCE(A1234,""PRICE"")"),384.95)</f>
        <v>384.95</v>
      </c>
      <c r="C1234" s="14">
        <f>IFERROR(__xludf.DUMMYFUNCTION("GOOGLEFINANCE(A1234,""PRICEOPEN"")"),392.0)</f>
        <v>392</v>
      </c>
      <c r="D1234" s="14">
        <f>IFERROR(__xludf.DUMMYFUNCTION("GOOGLEFINANCE(A1234,""HIGH"")"),392.0)</f>
        <v>392</v>
      </c>
      <c r="E1234" s="14">
        <f>IFERROR(__xludf.DUMMYFUNCTION("GOOGLEFINANCE(A1234,""LOW"")"),382.3)</f>
        <v>382.3</v>
      </c>
      <c r="F1234" s="15" t="str">
        <f t="shared" si="8"/>
        <v>SELL</v>
      </c>
      <c r="G1234" s="16">
        <f>IFERROR(__xludf.DUMMYFUNCTION("GOOGLEFINANCE(A1234,""CLOSEYEST"")"),396.35)</f>
        <v>396.35</v>
      </c>
      <c r="H1234" s="17" t="str">
        <f t="shared" si="14"/>
        <v>GAP DOWN</v>
      </c>
      <c r="I1234" s="18">
        <f t="shared" si="9"/>
        <v>390.2166667</v>
      </c>
      <c r="J1234" s="19">
        <f t="shared" si="10"/>
        <v>398.1333333</v>
      </c>
      <c r="K1234" s="19"/>
      <c r="L1234" s="19">
        <f t="shared" si="11"/>
        <v>388.4333333</v>
      </c>
      <c r="M1234" s="19">
        <f t="shared" si="12"/>
        <v>399.9166667</v>
      </c>
      <c r="N1234" s="19">
        <f t="shared" si="13"/>
        <v>380.5166667</v>
      </c>
    </row>
    <row r="1235" ht="24.75" customHeight="1">
      <c r="A1235" s="21" t="s">
        <v>1198</v>
      </c>
      <c r="B1235" s="13">
        <f>IFERROR(__xludf.DUMMYFUNCTION("GOOGLEFINANCE(A1235,""PRICE"")"),43.59)</f>
        <v>43.59</v>
      </c>
      <c r="C1235" s="14">
        <f>IFERROR(__xludf.DUMMYFUNCTION("GOOGLEFINANCE(A1235,""PRICEOPEN"")"),44.0)</f>
        <v>44</v>
      </c>
      <c r="D1235" s="14">
        <f>IFERROR(__xludf.DUMMYFUNCTION("GOOGLEFINANCE(A1235,""HIGH"")"),44.0)</f>
        <v>44</v>
      </c>
      <c r="E1235" s="14">
        <f>IFERROR(__xludf.DUMMYFUNCTION("GOOGLEFINANCE(A1235,""LOW"")"),42.41)</f>
        <v>42.41</v>
      </c>
      <c r="F1235" s="15" t="str">
        <f t="shared" si="8"/>
        <v>SELL</v>
      </c>
      <c r="G1235" s="16">
        <f>IFERROR(__xludf.DUMMYFUNCTION("GOOGLEFINANCE(A1235,""CLOSEYEST"")"),42.82)</f>
        <v>42.82</v>
      </c>
      <c r="H1235" s="17" t="str">
        <f t="shared" si="14"/>
        <v>GAP UP</v>
      </c>
      <c r="I1235" s="18">
        <f t="shared" si="9"/>
        <v>43.07666667</v>
      </c>
      <c r="J1235" s="19">
        <f t="shared" si="10"/>
        <v>43.74333333</v>
      </c>
      <c r="K1235" s="19"/>
      <c r="L1235" s="19">
        <f t="shared" si="11"/>
        <v>42.15333333</v>
      </c>
      <c r="M1235" s="19">
        <f t="shared" si="12"/>
        <v>44.66666667</v>
      </c>
      <c r="N1235" s="19">
        <f t="shared" si="13"/>
        <v>41.48666667</v>
      </c>
    </row>
    <row r="1236" ht="24.75" customHeight="1">
      <c r="A1236" s="21" t="s">
        <v>1199</v>
      </c>
      <c r="B1236" s="13">
        <f>IFERROR(__xludf.DUMMYFUNCTION("GOOGLEFINANCE(A1236,""PRICE"")"),23.1)</f>
        <v>23.1</v>
      </c>
      <c r="C1236" s="14">
        <f>IFERROR(__xludf.DUMMYFUNCTION("GOOGLEFINANCE(A1236,""PRICEOPEN"")"),22.55)</f>
        <v>22.55</v>
      </c>
      <c r="D1236" s="14">
        <f>IFERROR(__xludf.DUMMYFUNCTION("GOOGLEFINANCE(A1236,""HIGH"")"),23.34)</f>
        <v>23.34</v>
      </c>
      <c r="E1236" s="14">
        <f>IFERROR(__xludf.DUMMYFUNCTION("GOOGLEFINANCE(A1236,""LOW"")"),22.35)</f>
        <v>22.35</v>
      </c>
      <c r="F1236" s="15" t="str">
        <f t="shared" si="8"/>
        <v/>
      </c>
      <c r="G1236" s="16">
        <f>IFERROR(__xludf.DUMMYFUNCTION("GOOGLEFINANCE(A1236,""CLOSEYEST"")"),22.61)</f>
        <v>22.61</v>
      </c>
      <c r="H1236" s="17" t="str">
        <f t="shared" si="14"/>
        <v/>
      </c>
      <c r="I1236" s="18">
        <f t="shared" si="9"/>
        <v>22.76666667</v>
      </c>
      <c r="J1236" s="19">
        <f t="shared" si="10"/>
        <v>23.18333333</v>
      </c>
      <c r="K1236" s="19"/>
      <c r="L1236" s="19">
        <f t="shared" si="11"/>
        <v>22.19333333</v>
      </c>
      <c r="M1236" s="19">
        <f t="shared" si="12"/>
        <v>23.75666667</v>
      </c>
      <c r="N1236" s="19">
        <f t="shared" si="13"/>
        <v>21.77666667</v>
      </c>
    </row>
    <row r="1237" ht="24.75" customHeight="1">
      <c r="A1237" s="21" t="s">
        <v>1200</v>
      </c>
      <c r="B1237" s="13">
        <f>IFERROR(__xludf.DUMMYFUNCTION("GOOGLEFINANCE(A1237,""PRICE"")"),124.98)</f>
        <v>124.98</v>
      </c>
      <c r="C1237" s="14">
        <f>IFERROR(__xludf.DUMMYFUNCTION("GOOGLEFINANCE(A1237,""PRICEOPEN"")"),122.0)</f>
        <v>122</v>
      </c>
      <c r="D1237" s="14">
        <f>IFERROR(__xludf.DUMMYFUNCTION("GOOGLEFINANCE(A1237,""HIGH"")"),127.18)</f>
        <v>127.18</v>
      </c>
      <c r="E1237" s="14">
        <f>IFERROR(__xludf.DUMMYFUNCTION("GOOGLEFINANCE(A1237,""LOW"")"),121.92)</f>
        <v>121.92</v>
      </c>
      <c r="F1237" s="15" t="str">
        <f t="shared" si="8"/>
        <v/>
      </c>
      <c r="G1237" s="16">
        <f>IFERROR(__xludf.DUMMYFUNCTION("GOOGLEFINANCE(A1237,""CLOSEYEST"")"),122.69)</f>
        <v>122.69</v>
      </c>
      <c r="H1237" s="17" t="str">
        <f t="shared" si="14"/>
        <v/>
      </c>
      <c r="I1237" s="18">
        <f t="shared" si="9"/>
        <v>123.93</v>
      </c>
      <c r="J1237" s="19">
        <f t="shared" si="10"/>
        <v>125.94</v>
      </c>
      <c r="K1237" s="19"/>
      <c r="L1237" s="19">
        <f t="shared" si="11"/>
        <v>120.68</v>
      </c>
      <c r="M1237" s="19">
        <f t="shared" si="12"/>
        <v>129.19</v>
      </c>
      <c r="N1237" s="19">
        <f t="shared" si="13"/>
        <v>118.67</v>
      </c>
    </row>
    <row r="1238" ht="24.75" customHeight="1">
      <c r="A1238" s="21" t="s">
        <v>1201</v>
      </c>
      <c r="B1238" s="13">
        <f>IFERROR(__xludf.DUMMYFUNCTION("GOOGLEFINANCE(A1238,""PRICE"")"),228.75)</f>
        <v>228.75</v>
      </c>
      <c r="C1238" s="14">
        <f>IFERROR(__xludf.DUMMYFUNCTION("GOOGLEFINANCE(A1238,""PRICEOPEN"")"),232.9)</f>
        <v>232.9</v>
      </c>
      <c r="D1238" s="14">
        <f>IFERROR(__xludf.DUMMYFUNCTION("GOOGLEFINANCE(A1238,""HIGH"")"),232.9)</f>
        <v>232.9</v>
      </c>
      <c r="E1238" s="14">
        <f>IFERROR(__xludf.DUMMYFUNCTION("GOOGLEFINANCE(A1238,""LOW"")"),226.51)</f>
        <v>226.51</v>
      </c>
      <c r="F1238" s="15" t="str">
        <f t="shared" si="8"/>
        <v>SELL</v>
      </c>
      <c r="G1238" s="16">
        <f>IFERROR(__xludf.DUMMYFUNCTION("GOOGLEFINANCE(A1238,""CLOSEYEST"")"),228.35)</f>
        <v>228.35</v>
      </c>
      <c r="H1238" s="17" t="str">
        <f t="shared" si="14"/>
        <v>GAP UP</v>
      </c>
      <c r="I1238" s="18">
        <f t="shared" si="9"/>
        <v>229.2533333</v>
      </c>
      <c r="J1238" s="19">
        <f t="shared" si="10"/>
        <v>231.9966667</v>
      </c>
      <c r="K1238" s="19"/>
      <c r="L1238" s="19">
        <f t="shared" si="11"/>
        <v>225.6066667</v>
      </c>
      <c r="M1238" s="19">
        <f t="shared" si="12"/>
        <v>235.6433333</v>
      </c>
      <c r="N1238" s="19">
        <f t="shared" si="13"/>
        <v>222.8633333</v>
      </c>
    </row>
    <row r="1239" ht="24.75" customHeight="1">
      <c r="A1239" s="21" t="s">
        <v>1202</v>
      </c>
      <c r="B1239" s="13" t="str">
        <f>IFERROR(__xludf.DUMMYFUNCTION("GOOGLEFINANCE(A1239,""PRICE"")"),"#N/A")</f>
        <v>#N/A</v>
      </c>
      <c r="C1239" s="14" t="str">
        <f>IFERROR(__xludf.DUMMYFUNCTION("GOOGLEFINANCE(A1239,""PRICEOPEN"")"),"#N/A")</f>
        <v>#N/A</v>
      </c>
      <c r="D1239" s="14" t="str">
        <f>IFERROR(__xludf.DUMMYFUNCTION("GOOGLEFINANCE(A1239,""HIGH"")"),"#N/A")</f>
        <v>#N/A</v>
      </c>
      <c r="E1239" s="14" t="str">
        <f>IFERROR(__xludf.DUMMYFUNCTION("GOOGLEFINANCE(A1239,""LOW"")"),"#N/A")</f>
        <v>#N/A</v>
      </c>
      <c r="F1239" s="15" t="str">
        <f t="shared" si="8"/>
        <v>#N/A</v>
      </c>
      <c r="G1239" s="16" t="str">
        <f>IFERROR(__xludf.DUMMYFUNCTION("GOOGLEFINANCE(A1239,""CLOSEYEST"")"),"#N/A")</f>
        <v>#N/A</v>
      </c>
      <c r="H1239" s="17" t="str">
        <f t="shared" si="14"/>
        <v>#N/A</v>
      </c>
      <c r="I1239" s="18" t="str">
        <f t="shared" si="9"/>
        <v>#N/A</v>
      </c>
      <c r="J1239" s="19" t="str">
        <f t="shared" si="10"/>
        <v>#N/A</v>
      </c>
      <c r="K1239" s="19"/>
      <c r="L1239" s="19" t="str">
        <f t="shared" si="11"/>
        <v>#N/A</v>
      </c>
      <c r="M1239" s="19" t="str">
        <f t="shared" si="12"/>
        <v>#N/A</v>
      </c>
      <c r="N1239" s="19" t="str">
        <f t="shared" si="13"/>
        <v>#N/A</v>
      </c>
    </row>
    <row r="1240" ht="24.75" customHeight="1">
      <c r="A1240" s="21" t="s">
        <v>1203</v>
      </c>
      <c r="B1240" s="13">
        <f>IFERROR(__xludf.DUMMYFUNCTION("GOOGLEFINANCE(A1240,""PRICE"")"),45.0)</f>
        <v>45</v>
      </c>
      <c r="C1240" s="14">
        <f>IFERROR(__xludf.DUMMYFUNCTION("GOOGLEFINANCE(A1240,""PRICEOPEN"")"),44.05)</f>
        <v>44.05</v>
      </c>
      <c r="D1240" s="14">
        <f>IFERROR(__xludf.DUMMYFUNCTION("GOOGLEFINANCE(A1240,""HIGH"")"),46.0)</f>
        <v>46</v>
      </c>
      <c r="E1240" s="14">
        <f>IFERROR(__xludf.DUMMYFUNCTION("GOOGLEFINANCE(A1240,""LOW"")"),44.0)</f>
        <v>44</v>
      </c>
      <c r="F1240" s="15" t="str">
        <f t="shared" si="8"/>
        <v/>
      </c>
      <c r="G1240" s="16">
        <f>IFERROR(__xludf.DUMMYFUNCTION("GOOGLEFINANCE(A1240,""CLOSEYEST"")"),45.04)</f>
        <v>45.04</v>
      </c>
      <c r="H1240" s="17" t="str">
        <f t="shared" si="14"/>
        <v>GAP DOWN</v>
      </c>
      <c r="I1240" s="18">
        <f t="shared" si="9"/>
        <v>45.01333333</v>
      </c>
      <c r="J1240" s="19">
        <f t="shared" si="10"/>
        <v>46.02666667</v>
      </c>
      <c r="K1240" s="19"/>
      <c r="L1240" s="19">
        <f t="shared" si="11"/>
        <v>44.02666667</v>
      </c>
      <c r="M1240" s="19">
        <f t="shared" si="12"/>
        <v>47.01333333</v>
      </c>
      <c r="N1240" s="19">
        <f t="shared" si="13"/>
        <v>43.01333333</v>
      </c>
    </row>
    <row r="1241" ht="24.75" customHeight="1">
      <c r="A1241" s="21" t="s">
        <v>1204</v>
      </c>
      <c r="B1241" s="13">
        <f>IFERROR(__xludf.DUMMYFUNCTION("GOOGLEFINANCE(A1241,""PRICE"")"),71.21)</f>
        <v>71.21</v>
      </c>
      <c r="C1241" s="14">
        <f>IFERROR(__xludf.DUMMYFUNCTION("GOOGLEFINANCE(A1241,""PRICEOPEN"")"),70.06)</f>
        <v>70.06</v>
      </c>
      <c r="D1241" s="14">
        <f>IFERROR(__xludf.DUMMYFUNCTION("GOOGLEFINANCE(A1241,""HIGH"")"),72.95)</f>
        <v>72.95</v>
      </c>
      <c r="E1241" s="14">
        <f>IFERROR(__xludf.DUMMYFUNCTION("GOOGLEFINANCE(A1241,""LOW"")"),70.06)</f>
        <v>70.06</v>
      </c>
      <c r="F1241" s="15" t="str">
        <f t="shared" si="8"/>
        <v>BUY</v>
      </c>
      <c r="G1241" s="16">
        <f>IFERROR(__xludf.DUMMYFUNCTION("GOOGLEFINANCE(A1241,""CLOSEYEST"")"),71.3)</f>
        <v>71.3</v>
      </c>
      <c r="H1241" s="17" t="str">
        <f t="shared" si="14"/>
        <v>GAP DOWN</v>
      </c>
      <c r="I1241" s="18">
        <f t="shared" si="9"/>
        <v>71.43666667</v>
      </c>
      <c r="J1241" s="19">
        <f t="shared" si="10"/>
        <v>72.81333333</v>
      </c>
      <c r="K1241" s="19"/>
      <c r="L1241" s="19">
        <f t="shared" si="11"/>
        <v>69.92333333</v>
      </c>
      <c r="M1241" s="19">
        <f t="shared" si="12"/>
        <v>74.32666667</v>
      </c>
      <c r="N1241" s="19">
        <f t="shared" si="13"/>
        <v>68.54666667</v>
      </c>
    </row>
    <row r="1242" ht="24.75" customHeight="1">
      <c r="A1242" s="21" t="s">
        <v>1205</v>
      </c>
      <c r="B1242" s="13">
        <f>IFERROR(__xludf.DUMMYFUNCTION("GOOGLEFINANCE(A1242,""PRICE"")"),565.0)</f>
        <v>565</v>
      </c>
      <c r="C1242" s="14">
        <f>IFERROR(__xludf.DUMMYFUNCTION("GOOGLEFINANCE(A1242,""PRICEOPEN"")"),545.6)</f>
        <v>545.6</v>
      </c>
      <c r="D1242" s="14">
        <f>IFERROR(__xludf.DUMMYFUNCTION("GOOGLEFINANCE(A1242,""HIGH"")"),569.1)</f>
        <v>569.1</v>
      </c>
      <c r="E1242" s="14">
        <f>IFERROR(__xludf.DUMMYFUNCTION("GOOGLEFINANCE(A1242,""LOW"")"),545.6)</f>
        <v>545.6</v>
      </c>
      <c r="F1242" s="15" t="str">
        <f t="shared" si="8"/>
        <v>BUY</v>
      </c>
      <c r="G1242" s="16">
        <f>IFERROR(__xludf.DUMMYFUNCTION("GOOGLEFINANCE(A1242,""CLOSEYEST"")"),545.8)</f>
        <v>545.8</v>
      </c>
      <c r="H1242" s="17" t="str">
        <f t="shared" si="14"/>
        <v/>
      </c>
      <c r="I1242" s="18">
        <f t="shared" si="9"/>
        <v>553.5</v>
      </c>
      <c r="J1242" s="19">
        <f t="shared" si="10"/>
        <v>561.4</v>
      </c>
      <c r="K1242" s="19"/>
      <c r="L1242" s="19">
        <f t="shared" si="11"/>
        <v>537.9</v>
      </c>
      <c r="M1242" s="19">
        <f t="shared" si="12"/>
        <v>577</v>
      </c>
      <c r="N1242" s="19">
        <f t="shared" si="13"/>
        <v>530</v>
      </c>
    </row>
    <row r="1243" ht="24.75" customHeight="1">
      <c r="A1243" s="21" t="s">
        <v>1206</v>
      </c>
      <c r="B1243" s="13" t="str">
        <f>IFERROR(__xludf.DUMMYFUNCTION("GOOGLEFINANCE(A1243,""PRICE"")"),"#N/A")</f>
        <v>#N/A</v>
      </c>
      <c r="C1243" s="14" t="str">
        <f>IFERROR(__xludf.DUMMYFUNCTION("GOOGLEFINANCE(A1243,""PRICEOPEN"")"),"#N/A")</f>
        <v>#N/A</v>
      </c>
      <c r="D1243" s="14" t="str">
        <f>IFERROR(__xludf.DUMMYFUNCTION("GOOGLEFINANCE(A1243,""HIGH"")"),"#N/A")</f>
        <v>#N/A</v>
      </c>
      <c r="E1243" s="14" t="str">
        <f>IFERROR(__xludf.DUMMYFUNCTION("GOOGLEFINANCE(A1243,""LOW"")"),"#N/A")</f>
        <v>#N/A</v>
      </c>
      <c r="F1243" s="15" t="str">
        <f t="shared" si="8"/>
        <v>#N/A</v>
      </c>
      <c r="G1243" s="16" t="str">
        <f>IFERROR(__xludf.DUMMYFUNCTION("GOOGLEFINANCE(A1243,""CLOSEYEST"")"),"#N/A")</f>
        <v>#N/A</v>
      </c>
      <c r="H1243" s="17" t="str">
        <f t="shared" si="14"/>
        <v>#N/A</v>
      </c>
      <c r="I1243" s="18" t="str">
        <f t="shared" si="9"/>
        <v>#N/A</v>
      </c>
      <c r="J1243" s="19" t="str">
        <f t="shared" si="10"/>
        <v>#N/A</v>
      </c>
      <c r="K1243" s="19"/>
      <c r="L1243" s="19" t="str">
        <f t="shared" si="11"/>
        <v>#N/A</v>
      </c>
      <c r="M1243" s="19" t="str">
        <f t="shared" si="12"/>
        <v>#N/A</v>
      </c>
      <c r="N1243" s="19" t="str">
        <f t="shared" si="13"/>
        <v>#N/A</v>
      </c>
    </row>
    <row r="1244" ht="24.75" customHeight="1">
      <c r="A1244" s="21" t="s">
        <v>1207</v>
      </c>
      <c r="B1244" s="13">
        <f>IFERROR(__xludf.DUMMYFUNCTION("GOOGLEFINANCE(A1244,""PRICE"")"),31.7)</f>
        <v>31.7</v>
      </c>
      <c r="C1244" s="14">
        <f>IFERROR(__xludf.DUMMYFUNCTION("GOOGLEFINANCE(A1244,""PRICEOPEN"")"),31.6)</f>
        <v>31.6</v>
      </c>
      <c r="D1244" s="14">
        <f>IFERROR(__xludf.DUMMYFUNCTION("GOOGLEFINANCE(A1244,""HIGH"")"),32.0)</f>
        <v>32</v>
      </c>
      <c r="E1244" s="14">
        <f>IFERROR(__xludf.DUMMYFUNCTION("GOOGLEFINANCE(A1244,""LOW"")"),31.31)</f>
        <v>31.31</v>
      </c>
      <c r="F1244" s="15" t="str">
        <f t="shared" si="8"/>
        <v/>
      </c>
      <c r="G1244" s="16">
        <f>IFERROR(__xludf.DUMMYFUNCTION("GOOGLEFINANCE(A1244,""CLOSEYEST"")"),31.69)</f>
        <v>31.69</v>
      </c>
      <c r="H1244" s="17" t="str">
        <f t="shared" si="14"/>
        <v/>
      </c>
      <c r="I1244" s="18">
        <f t="shared" si="9"/>
        <v>31.66666667</v>
      </c>
      <c r="J1244" s="19">
        <f t="shared" si="10"/>
        <v>32.02333333</v>
      </c>
      <c r="K1244" s="19"/>
      <c r="L1244" s="19">
        <f t="shared" si="11"/>
        <v>31.33333333</v>
      </c>
      <c r="M1244" s="19">
        <f t="shared" si="12"/>
        <v>32.35666667</v>
      </c>
      <c r="N1244" s="19">
        <f t="shared" si="13"/>
        <v>30.97666667</v>
      </c>
    </row>
    <row r="1245" ht="24.75" customHeight="1">
      <c r="A1245" s="21" t="s">
        <v>1208</v>
      </c>
      <c r="B1245" s="13">
        <f>IFERROR(__xludf.DUMMYFUNCTION("GOOGLEFINANCE(A1245,""PRICE"")"),1706.2)</f>
        <v>1706.2</v>
      </c>
      <c r="C1245" s="14">
        <f>IFERROR(__xludf.DUMMYFUNCTION("GOOGLEFINANCE(A1245,""PRICEOPEN"")"),1630.0)</f>
        <v>1630</v>
      </c>
      <c r="D1245" s="14">
        <f>IFERROR(__xludf.DUMMYFUNCTION("GOOGLEFINANCE(A1245,""HIGH"")"),1706.2)</f>
        <v>1706.2</v>
      </c>
      <c r="E1245" s="14">
        <f>IFERROR(__xludf.DUMMYFUNCTION("GOOGLEFINANCE(A1245,""LOW"")"),1600.9)</f>
        <v>1600.9</v>
      </c>
      <c r="F1245" s="15" t="str">
        <f t="shared" si="8"/>
        <v/>
      </c>
      <c r="G1245" s="16">
        <f>IFERROR(__xludf.DUMMYFUNCTION("GOOGLEFINANCE(A1245,""CLOSEYEST"")"),1625.0)</f>
        <v>1625</v>
      </c>
      <c r="H1245" s="17" t="str">
        <f t="shared" si="14"/>
        <v/>
      </c>
      <c r="I1245" s="18">
        <f t="shared" si="9"/>
        <v>1644.033333</v>
      </c>
      <c r="J1245" s="19">
        <f t="shared" si="10"/>
        <v>1687.166667</v>
      </c>
      <c r="K1245" s="19"/>
      <c r="L1245" s="19">
        <f t="shared" si="11"/>
        <v>1581.866667</v>
      </c>
      <c r="M1245" s="19">
        <f t="shared" si="12"/>
        <v>1749.333333</v>
      </c>
      <c r="N1245" s="19">
        <f t="shared" si="13"/>
        <v>1538.733333</v>
      </c>
    </row>
    <row r="1246" ht="24.75" customHeight="1">
      <c r="A1246" s="21" t="s">
        <v>1209</v>
      </c>
      <c r="B1246" s="13">
        <f>IFERROR(__xludf.DUMMYFUNCTION("GOOGLEFINANCE(A1246,""PRICE"")"),140.5)</f>
        <v>140.5</v>
      </c>
      <c r="C1246" s="14">
        <f>IFERROR(__xludf.DUMMYFUNCTION("GOOGLEFINANCE(A1246,""PRICEOPEN"")"),133.91)</f>
        <v>133.91</v>
      </c>
      <c r="D1246" s="14">
        <f>IFERROR(__xludf.DUMMYFUNCTION("GOOGLEFINANCE(A1246,""HIGH"")"),141.66)</f>
        <v>141.66</v>
      </c>
      <c r="E1246" s="14">
        <f>IFERROR(__xludf.DUMMYFUNCTION("GOOGLEFINANCE(A1246,""LOW"")"),133.91)</f>
        <v>133.91</v>
      </c>
      <c r="F1246" s="15" t="str">
        <f t="shared" si="8"/>
        <v>BUY</v>
      </c>
      <c r="G1246" s="16">
        <f>IFERROR(__xludf.DUMMYFUNCTION("GOOGLEFINANCE(A1246,""CLOSEYEST"")"),135.26)</f>
        <v>135.26</v>
      </c>
      <c r="H1246" s="17" t="str">
        <f t="shared" si="14"/>
        <v/>
      </c>
      <c r="I1246" s="18">
        <f t="shared" si="9"/>
        <v>136.9433333</v>
      </c>
      <c r="J1246" s="19">
        <f t="shared" si="10"/>
        <v>139.9766667</v>
      </c>
      <c r="K1246" s="19"/>
      <c r="L1246" s="19">
        <f t="shared" si="11"/>
        <v>132.2266667</v>
      </c>
      <c r="M1246" s="19">
        <f t="shared" si="12"/>
        <v>144.6933333</v>
      </c>
      <c r="N1246" s="19">
        <f t="shared" si="13"/>
        <v>129.1933333</v>
      </c>
    </row>
    <row r="1247" ht="24.75" customHeight="1">
      <c r="A1247" s="21" t="s">
        <v>1210</v>
      </c>
      <c r="B1247" s="13">
        <f>IFERROR(__xludf.DUMMYFUNCTION("GOOGLEFINANCE(A1247,""PRICE"")"),176.65)</f>
        <v>176.65</v>
      </c>
      <c r="C1247" s="14">
        <f>IFERROR(__xludf.DUMMYFUNCTION("GOOGLEFINANCE(A1247,""PRICEOPEN"")"),173.83)</f>
        <v>173.83</v>
      </c>
      <c r="D1247" s="14">
        <f>IFERROR(__xludf.DUMMYFUNCTION("GOOGLEFINANCE(A1247,""HIGH"")"),176.89)</f>
        <v>176.89</v>
      </c>
      <c r="E1247" s="14">
        <f>IFERROR(__xludf.DUMMYFUNCTION("GOOGLEFINANCE(A1247,""LOW"")"),172.79)</f>
        <v>172.79</v>
      </c>
      <c r="F1247" s="15" t="str">
        <f t="shared" si="8"/>
        <v/>
      </c>
      <c r="G1247" s="16">
        <f>IFERROR(__xludf.DUMMYFUNCTION("GOOGLEFINANCE(A1247,""CLOSEYEST"")"),173.83)</f>
        <v>173.83</v>
      </c>
      <c r="H1247" s="17" t="str">
        <f t="shared" si="14"/>
        <v/>
      </c>
      <c r="I1247" s="18">
        <f t="shared" si="9"/>
        <v>174.5033333</v>
      </c>
      <c r="J1247" s="19">
        <f t="shared" si="10"/>
        <v>176.2166667</v>
      </c>
      <c r="K1247" s="19"/>
      <c r="L1247" s="19">
        <f t="shared" si="11"/>
        <v>172.1166667</v>
      </c>
      <c r="M1247" s="19">
        <f t="shared" si="12"/>
        <v>178.6033333</v>
      </c>
      <c r="N1247" s="19">
        <f t="shared" si="13"/>
        <v>170.4033333</v>
      </c>
    </row>
    <row r="1248" ht="24.75" customHeight="1">
      <c r="A1248" s="21" t="s">
        <v>1211</v>
      </c>
      <c r="B1248" s="13">
        <f>IFERROR(__xludf.DUMMYFUNCTION("GOOGLEFINANCE(A1248,""PRICE"")"),1684.6)</f>
        <v>1684.6</v>
      </c>
      <c r="C1248" s="14">
        <f>IFERROR(__xludf.DUMMYFUNCTION("GOOGLEFINANCE(A1248,""PRICEOPEN"")"),1675.0)</f>
        <v>1675</v>
      </c>
      <c r="D1248" s="14">
        <f>IFERROR(__xludf.DUMMYFUNCTION("GOOGLEFINANCE(A1248,""HIGH"")"),1709.9)</f>
        <v>1709.9</v>
      </c>
      <c r="E1248" s="14">
        <f>IFERROR(__xludf.DUMMYFUNCTION("GOOGLEFINANCE(A1248,""LOW"")"),1666.2)</f>
        <v>1666.2</v>
      </c>
      <c r="F1248" s="15" t="str">
        <f t="shared" si="8"/>
        <v/>
      </c>
      <c r="G1248" s="16">
        <f>IFERROR(__xludf.DUMMYFUNCTION("GOOGLEFINANCE(A1248,""CLOSEYEST"")"),1673.7)</f>
        <v>1673.7</v>
      </c>
      <c r="H1248" s="17" t="str">
        <f t="shared" si="14"/>
        <v/>
      </c>
      <c r="I1248" s="18">
        <f t="shared" si="9"/>
        <v>1683.266667</v>
      </c>
      <c r="J1248" s="19">
        <f t="shared" si="10"/>
        <v>1700.333333</v>
      </c>
      <c r="K1248" s="19"/>
      <c r="L1248" s="19">
        <f t="shared" si="11"/>
        <v>1656.633333</v>
      </c>
      <c r="M1248" s="19">
        <f t="shared" si="12"/>
        <v>1726.966667</v>
      </c>
      <c r="N1248" s="19">
        <f t="shared" si="13"/>
        <v>1639.566667</v>
      </c>
    </row>
    <row r="1249" ht="24.75" customHeight="1">
      <c r="A1249" s="21" t="s">
        <v>1212</v>
      </c>
      <c r="B1249" s="13">
        <f>IFERROR(__xludf.DUMMYFUNCTION("GOOGLEFINANCE(A1249,""PRICE"")"),218.26)</f>
        <v>218.26</v>
      </c>
      <c r="C1249" s="14">
        <f>IFERROR(__xludf.DUMMYFUNCTION("GOOGLEFINANCE(A1249,""PRICEOPEN"")"),216.01)</f>
        <v>216.01</v>
      </c>
      <c r="D1249" s="14">
        <f>IFERROR(__xludf.DUMMYFUNCTION("GOOGLEFINANCE(A1249,""HIGH"")"),220.84)</f>
        <v>220.84</v>
      </c>
      <c r="E1249" s="14">
        <f>IFERROR(__xludf.DUMMYFUNCTION("GOOGLEFINANCE(A1249,""LOW"")"),215.65)</f>
        <v>215.65</v>
      </c>
      <c r="F1249" s="15" t="str">
        <f t="shared" si="8"/>
        <v/>
      </c>
      <c r="G1249" s="16">
        <f>IFERROR(__xludf.DUMMYFUNCTION("GOOGLEFINANCE(A1249,""CLOSEYEST"")"),218.01)</f>
        <v>218.01</v>
      </c>
      <c r="H1249" s="17" t="str">
        <f t="shared" si="14"/>
        <v/>
      </c>
      <c r="I1249" s="18">
        <f t="shared" si="9"/>
        <v>218.1666667</v>
      </c>
      <c r="J1249" s="19">
        <f t="shared" si="10"/>
        <v>220.6833333</v>
      </c>
      <c r="K1249" s="19"/>
      <c r="L1249" s="19">
        <f t="shared" si="11"/>
        <v>215.4933333</v>
      </c>
      <c r="M1249" s="19">
        <f t="shared" si="12"/>
        <v>223.3566667</v>
      </c>
      <c r="N1249" s="19">
        <f t="shared" si="13"/>
        <v>212.9766667</v>
      </c>
    </row>
    <row r="1250" ht="24.75" customHeight="1">
      <c r="A1250" s="21" t="s">
        <v>1213</v>
      </c>
      <c r="B1250" s="13">
        <f>IFERROR(__xludf.DUMMYFUNCTION("GOOGLEFINANCE(A1250,""PRICE"")"),42.55)</f>
        <v>42.55</v>
      </c>
      <c r="C1250" s="14">
        <f>IFERROR(__xludf.DUMMYFUNCTION("GOOGLEFINANCE(A1250,""PRICEOPEN"")"),41.91)</f>
        <v>41.91</v>
      </c>
      <c r="D1250" s="14">
        <f>IFERROR(__xludf.DUMMYFUNCTION("GOOGLEFINANCE(A1250,""HIGH"")"),42.95)</f>
        <v>42.95</v>
      </c>
      <c r="E1250" s="14">
        <f>IFERROR(__xludf.DUMMYFUNCTION("GOOGLEFINANCE(A1250,""LOW"")"),41.91)</f>
        <v>41.91</v>
      </c>
      <c r="F1250" s="15" t="str">
        <f t="shared" si="8"/>
        <v>BUY</v>
      </c>
      <c r="G1250" s="16">
        <f>IFERROR(__xludf.DUMMYFUNCTION("GOOGLEFINANCE(A1250,""CLOSEYEST"")"),41.91)</f>
        <v>41.91</v>
      </c>
      <c r="H1250" s="17" t="str">
        <f t="shared" si="14"/>
        <v/>
      </c>
      <c r="I1250" s="18">
        <f t="shared" si="9"/>
        <v>42.25666667</v>
      </c>
      <c r="J1250" s="19">
        <f t="shared" si="10"/>
        <v>42.60333333</v>
      </c>
      <c r="K1250" s="19"/>
      <c r="L1250" s="19">
        <f t="shared" si="11"/>
        <v>41.56333333</v>
      </c>
      <c r="M1250" s="19">
        <f t="shared" si="12"/>
        <v>43.29666667</v>
      </c>
      <c r="N1250" s="19">
        <f t="shared" si="13"/>
        <v>41.21666667</v>
      </c>
    </row>
    <row r="1251" ht="24.75" customHeight="1">
      <c r="A1251" s="21" t="s">
        <v>1214</v>
      </c>
      <c r="B1251" s="13">
        <f>IFERROR(__xludf.DUMMYFUNCTION("GOOGLEFINANCE(A1251,""PRICE"")"),11.34)</f>
        <v>11.34</v>
      </c>
      <c r="C1251" s="14">
        <f>IFERROR(__xludf.DUMMYFUNCTION("GOOGLEFINANCE(A1251,""PRICEOPEN"")"),11.34)</f>
        <v>11.34</v>
      </c>
      <c r="D1251" s="14">
        <f>IFERROR(__xludf.DUMMYFUNCTION("GOOGLEFINANCE(A1251,""HIGH"")"),11.34)</f>
        <v>11.34</v>
      </c>
      <c r="E1251" s="14">
        <f>IFERROR(__xludf.DUMMYFUNCTION("GOOGLEFINANCE(A1251,""LOW"")"),11.34)</f>
        <v>11.34</v>
      </c>
      <c r="F1251" s="15" t="str">
        <f t="shared" si="8"/>
        <v>SELL</v>
      </c>
      <c r="G1251" s="16">
        <f>IFERROR(__xludf.DUMMYFUNCTION("GOOGLEFINANCE(A1251,""CLOSEYEST"")"),11.12)</f>
        <v>11.12</v>
      </c>
      <c r="H1251" s="17" t="str">
        <f t="shared" si="14"/>
        <v>GAP UP</v>
      </c>
      <c r="I1251" s="18">
        <f t="shared" si="9"/>
        <v>11.26666667</v>
      </c>
      <c r="J1251" s="19">
        <f t="shared" si="10"/>
        <v>11.19333333</v>
      </c>
      <c r="K1251" s="19"/>
      <c r="L1251" s="19">
        <f t="shared" si="11"/>
        <v>11.19333333</v>
      </c>
      <c r="M1251" s="19">
        <f t="shared" si="12"/>
        <v>11.26666667</v>
      </c>
      <c r="N1251" s="19">
        <f t="shared" si="13"/>
        <v>11.26666667</v>
      </c>
    </row>
    <row r="1252" ht="24.75" customHeight="1">
      <c r="A1252" s="21" t="s">
        <v>1215</v>
      </c>
      <c r="B1252" s="13" t="str">
        <f>IFERROR(__xludf.DUMMYFUNCTION("GOOGLEFINANCE(A1252,""PRICE"")"),"#N/A")</f>
        <v>#N/A</v>
      </c>
      <c r="C1252" s="14" t="str">
        <f>IFERROR(__xludf.DUMMYFUNCTION("GOOGLEFINANCE(A1252,""PRICEOPEN"")"),"#N/A")</f>
        <v>#N/A</v>
      </c>
      <c r="D1252" s="14" t="str">
        <f>IFERROR(__xludf.DUMMYFUNCTION("GOOGLEFINANCE(A1252,""HIGH"")"),"#N/A")</f>
        <v>#N/A</v>
      </c>
      <c r="E1252" s="14" t="str">
        <f>IFERROR(__xludf.DUMMYFUNCTION("GOOGLEFINANCE(A1252,""LOW"")"),"#N/A")</f>
        <v>#N/A</v>
      </c>
      <c r="F1252" s="15" t="str">
        <f t="shared" si="8"/>
        <v>#N/A</v>
      </c>
      <c r="G1252" s="16" t="str">
        <f>IFERROR(__xludf.DUMMYFUNCTION("GOOGLEFINANCE(A1252,""CLOSEYEST"")"),"#N/A")</f>
        <v>#N/A</v>
      </c>
      <c r="H1252" s="17" t="str">
        <f t="shared" si="14"/>
        <v>#N/A</v>
      </c>
      <c r="I1252" s="18" t="str">
        <f t="shared" si="9"/>
        <v>#N/A</v>
      </c>
      <c r="J1252" s="19" t="str">
        <f t="shared" si="10"/>
        <v>#N/A</v>
      </c>
      <c r="K1252" s="19"/>
      <c r="L1252" s="19" t="str">
        <f t="shared" si="11"/>
        <v>#N/A</v>
      </c>
      <c r="M1252" s="19" t="str">
        <f t="shared" si="12"/>
        <v>#N/A</v>
      </c>
      <c r="N1252" s="19" t="str">
        <f t="shared" si="13"/>
        <v>#N/A</v>
      </c>
    </row>
    <row r="1253" ht="24.75" customHeight="1">
      <c r="A1253" s="21" t="s">
        <v>1216</v>
      </c>
      <c r="B1253" s="13" t="str">
        <f>IFERROR(__xludf.DUMMYFUNCTION("GOOGLEFINANCE(A1253,""PRICE"")"),"#N/A")</f>
        <v>#N/A</v>
      </c>
      <c r="C1253" s="14" t="str">
        <f>IFERROR(__xludf.DUMMYFUNCTION("GOOGLEFINANCE(A1253,""PRICEOPEN"")"),"#N/A")</f>
        <v>#N/A</v>
      </c>
      <c r="D1253" s="14" t="str">
        <f>IFERROR(__xludf.DUMMYFUNCTION("GOOGLEFINANCE(A1253,""HIGH"")"),"#N/A")</f>
        <v>#N/A</v>
      </c>
      <c r="E1253" s="14" t="str">
        <f>IFERROR(__xludf.DUMMYFUNCTION("GOOGLEFINANCE(A1253,""LOW"")"),"#N/A")</f>
        <v>#N/A</v>
      </c>
      <c r="F1253" s="15" t="str">
        <f t="shared" si="8"/>
        <v>#N/A</v>
      </c>
      <c r="G1253" s="16" t="str">
        <f>IFERROR(__xludf.DUMMYFUNCTION("GOOGLEFINANCE(A1253,""CLOSEYEST"")"),"#N/A")</f>
        <v>#N/A</v>
      </c>
      <c r="H1253" s="17" t="str">
        <f t="shared" si="14"/>
        <v>#N/A</v>
      </c>
      <c r="I1253" s="18" t="str">
        <f t="shared" si="9"/>
        <v>#N/A</v>
      </c>
      <c r="J1253" s="19" t="str">
        <f t="shared" si="10"/>
        <v>#N/A</v>
      </c>
      <c r="K1253" s="19"/>
      <c r="L1253" s="19" t="str">
        <f t="shared" si="11"/>
        <v>#N/A</v>
      </c>
      <c r="M1253" s="19" t="str">
        <f t="shared" si="12"/>
        <v>#N/A</v>
      </c>
      <c r="N1253" s="19" t="str">
        <f t="shared" si="13"/>
        <v>#N/A</v>
      </c>
    </row>
    <row r="1254" ht="24.75" customHeight="1">
      <c r="A1254" s="21" t="s">
        <v>1217</v>
      </c>
      <c r="B1254" s="13">
        <f>IFERROR(__xludf.DUMMYFUNCTION("GOOGLEFINANCE(A1254,""PRICE"")"),2.03)</f>
        <v>2.03</v>
      </c>
      <c r="C1254" s="14">
        <f>IFERROR(__xludf.DUMMYFUNCTION("GOOGLEFINANCE(A1254,""PRICEOPEN"")"),1.96)</f>
        <v>1.96</v>
      </c>
      <c r="D1254" s="14">
        <f>IFERROR(__xludf.DUMMYFUNCTION("GOOGLEFINANCE(A1254,""HIGH"")"),2.04)</f>
        <v>2.04</v>
      </c>
      <c r="E1254" s="14">
        <f>IFERROR(__xludf.DUMMYFUNCTION("GOOGLEFINANCE(A1254,""LOW"")"),1.95)</f>
        <v>1.95</v>
      </c>
      <c r="F1254" s="15" t="str">
        <f t="shared" si="8"/>
        <v/>
      </c>
      <c r="G1254" s="16">
        <f>IFERROR(__xludf.DUMMYFUNCTION("GOOGLEFINANCE(A1254,""CLOSEYEST"")"),1.96)</f>
        <v>1.96</v>
      </c>
      <c r="H1254" s="17" t="str">
        <f t="shared" si="14"/>
        <v/>
      </c>
      <c r="I1254" s="18">
        <f t="shared" si="9"/>
        <v>1.983333333</v>
      </c>
      <c r="J1254" s="19">
        <f t="shared" si="10"/>
        <v>2.016666667</v>
      </c>
      <c r="K1254" s="19"/>
      <c r="L1254" s="19">
        <f t="shared" si="11"/>
        <v>1.926666667</v>
      </c>
      <c r="M1254" s="19">
        <f t="shared" si="12"/>
        <v>2.073333333</v>
      </c>
      <c r="N1254" s="19">
        <f t="shared" si="13"/>
        <v>1.893333333</v>
      </c>
    </row>
    <row r="1255" ht="24.75" customHeight="1">
      <c r="A1255" s="21" t="s">
        <v>1218</v>
      </c>
      <c r="B1255" s="13">
        <f>IFERROR(__xludf.DUMMYFUNCTION("GOOGLEFINANCE(A1255,""PRICE"")"),94.89)</f>
        <v>94.89</v>
      </c>
      <c r="C1255" s="14">
        <f>IFERROR(__xludf.DUMMYFUNCTION("GOOGLEFINANCE(A1255,""PRICEOPEN"")"),93.02)</f>
        <v>93.02</v>
      </c>
      <c r="D1255" s="14">
        <f>IFERROR(__xludf.DUMMYFUNCTION("GOOGLEFINANCE(A1255,""HIGH"")"),95.78)</f>
        <v>95.78</v>
      </c>
      <c r="E1255" s="14">
        <f>IFERROR(__xludf.DUMMYFUNCTION("GOOGLEFINANCE(A1255,""LOW"")"),93.02)</f>
        <v>93.02</v>
      </c>
      <c r="F1255" s="15" t="str">
        <f t="shared" si="8"/>
        <v>BUY</v>
      </c>
      <c r="G1255" s="16">
        <f>IFERROR(__xludf.DUMMYFUNCTION("GOOGLEFINANCE(A1255,""CLOSEYEST"")"),94.04)</f>
        <v>94.04</v>
      </c>
      <c r="H1255" s="17" t="str">
        <f t="shared" si="14"/>
        <v>GAP DOWN</v>
      </c>
      <c r="I1255" s="18">
        <f t="shared" si="9"/>
        <v>94.28</v>
      </c>
      <c r="J1255" s="19">
        <f t="shared" si="10"/>
        <v>95.54</v>
      </c>
      <c r="K1255" s="19"/>
      <c r="L1255" s="19">
        <f t="shared" si="11"/>
        <v>92.78</v>
      </c>
      <c r="M1255" s="19">
        <f t="shared" si="12"/>
        <v>97.04</v>
      </c>
      <c r="N1255" s="19">
        <f t="shared" si="13"/>
        <v>91.52</v>
      </c>
    </row>
    <row r="1256" ht="24.75" customHeight="1">
      <c r="A1256" s="21" t="s">
        <v>1219</v>
      </c>
      <c r="B1256" s="13">
        <f>IFERROR(__xludf.DUMMYFUNCTION("GOOGLEFINANCE(A1256,""PRICE"")"),91.49)</f>
        <v>91.49</v>
      </c>
      <c r="C1256" s="14">
        <f>IFERROR(__xludf.DUMMYFUNCTION("GOOGLEFINANCE(A1256,""PRICEOPEN"")"),91.5)</f>
        <v>91.5</v>
      </c>
      <c r="D1256" s="14">
        <f>IFERROR(__xludf.DUMMYFUNCTION("GOOGLEFINANCE(A1256,""HIGH"")"),91.5)</f>
        <v>91.5</v>
      </c>
      <c r="E1256" s="14">
        <f>IFERROR(__xludf.DUMMYFUNCTION("GOOGLEFINANCE(A1256,""LOW"")"),91.49)</f>
        <v>91.49</v>
      </c>
      <c r="F1256" s="15" t="str">
        <f t="shared" si="8"/>
        <v>SELL</v>
      </c>
      <c r="G1256" s="16">
        <f>IFERROR(__xludf.DUMMYFUNCTION("GOOGLEFINANCE(A1256,""CLOSEYEST"")"),91.47)</f>
        <v>91.47</v>
      </c>
      <c r="H1256" s="17" t="str">
        <f t="shared" si="14"/>
        <v/>
      </c>
      <c r="I1256" s="18">
        <f t="shared" si="9"/>
        <v>91.48666667</v>
      </c>
      <c r="J1256" s="19">
        <f t="shared" si="10"/>
        <v>91.48333333</v>
      </c>
      <c r="K1256" s="19"/>
      <c r="L1256" s="19">
        <f t="shared" si="11"/>
        <v>91.47333333</v>
      </c>
      <c r="M1256" s="19">
        <f t="shared" si="12"/>
        <v>91.49666667</v>
      </c>
      <c r="N1256" s="19">
        <f t="shared" si="13"/>
        <v>91.47666667</v>
      </c>
    </row>
    <row r="1257" ht="24.75" customHeight="1">
      <c r="A1257" s="21" t="s">
        <v>1220</v>
      </c>
      <c r="B1257" s="13">
        <f>IFERROR(__xludf.DUMMYFUNCTION("GOOGLEFINANCE(A1257,""PRICE"")"),785.5)</f>
        <v>785.5</v>
      </c>
      <c r="C1257" s="14">
        <f>IFERROR(__xludf.DUMMYFUNCTION("GOOGLEFINANCE(A1257,""PRICEOPEN"")"),784.95)</f>
        <v>784.95</v>
      </c>
      <c r="D1257" s="14">
        <f>IFERROR(__xludf.DUMMYFUNCTION("GOOGLEFINANCE(A1257,""HIGH"")"),789.9)</f>
        <v>789.9</v>
      </c>
      <c r="E1257" s="14">
        <f>IFERROR(__xludf.DUMMYFUNCTION("GOOGLEFINANCE(A1257,""LOW"")"),777.25)</f>
        <v>777.25</v>
      </c>
      <c r="F1257" s="15" t="str">
        <f t="shared" si="8"/>
        <v/>
      </c>
      <c r="G1257" s="16">
        <f>IFERROR(__xludf.DUMMYFUNCTION("GOOGLEFINANCE(A1257,""CLOSEYEST"")"),776.55)</f>
        <v>776.55</v>
      </c>
      <c r="H1257" s="17" t="str">
        <f t="shared" si="14"/>
        <v>GAP UP</v>
      </c>
      <c r="I1257" s="18">
        <f t="shared" si="9"/>
        <v>781.2333333</v>
      </c>
      <c r="J1257" s="19">
        <f t="shared" si="10"/>
        <v>785.2166667</v>
      </c>
      <c r="K1257" s="19"/>
      <c r="L1257" s="19">
        <f t="shared" si="11"/>
        <v>772.5666667</v>
      </c>
      <c r="M1257" s="19">
        <f t="shared" si="12"/>
        <v>793.8833333</v>
      </c>
      <c r="N1257" s="19">
        <f t="shared" si="13"/>
        <v>768.5833333</v>
      </c>
    </row>
    <row r="1258" ht="24.75" customHeight="1">
      <c r="A1258" s="21" t="s">
        <v>1221</v>
      </c>
      <c r="B1258" s="13">
        <f>IFERROR(__xludf.DUMMYFUNCTION("GOOGLEFINANCE(A1258,""PRICE"")"),36.7)</f>
        <v>36.7</v>
      </c>
      <c r="C1258" s="14">
        <f>IFERROR(__xludf.DUMMYFUNCTION("GOOGLEFINANCE(A1258,""PRICEOPEN"")"),36.47)</f>
        <v>36.47</v>
      </c>
      <c r="D1258" s="14">
        <f>IFERROR(__xludf.DUMMYFUNCTION("GOOGLEFINANCE(A1258,""HIGH"")"),36.9)</f>
        <v>36.9</v>
      </c>
      <c r="E1258" s="14">
        <f>IFERROR(__xludf.DUMMYFUNCTION("GOOGLEFINANCE(A1258,""LOW"")"),36.44)</f>
        <v>36.44</v>
      </c>
      <c r="F1258" s="15" t="str">
        <f t="shared" si="8"/>
        <v/>
      </c>
      <c r="G1258" s="16">
        <f>IFERROR(__xludf.DUMMYFUNCTION("GOOGLEFINANCE(A1258,""CLOSEYEST"")"),36.41)</f>
        <v>36.41</v>
      </c>
      <c r="H1258" s="17" t="str">
        <f t="shared" si="14"/>
        <v/>
      </c>
      <c r="I1258" s="18">
        <f t="shared" si="9"/>
        <v>36.58333333</v>
      </c>
      <c r="J1258" s="19">
        <f t="shared" si="10"/>
        <v>36.72666667</v>
      </c>
      <c r="K1258" s="19"/>
      <c r="L1258" s="19">
        <f t="shared" si="11"/>
        <v>36.26666667</v>
      </c>
      <c r="M1258" s="19">
        <f t="shared" si="12"/>
        <v>37.04333333</v>
      </c>
      <c r="N1258" s="19">
        <f t="shared" si="13"/>
        <v>36.12333333</v>
      </c>
    </row>
    <row r="1259" ht="24.75" customHeight="1">
      <c r="A1259" s="21" t="s">
        <v>1222</v>
      </c>
      <c r="B1259" s="13">
        <f>IFERROR(__xludf.DUMMYFUNCTION("GOOGLEFINANCE(A1259,""PRICE"")"),777.5)</f>
        <v>777.5</v>
      </c>
      <c r="C1259" s="14">
        <f>IFERROR(__xludf.DUMMYFUNCTION("GOOGLEFINANCE(A1259,""PRICEOPEN"")"),775.0)</f>
        <v>775</v>
      </c>
      <c r="D1259" s="14">
        <f>IFERROR(__xludf.DUMMYFUNCTION("GOOGLEFINANCE(A1259,""HIGH"")"),786.9)</f>
        <v>786.9</v>
      </c>
      <c r="E1259" s="14">
        <f>IFERROR(__xludf.DUMMYFUNCTION("GOOGLEFINANCE(A1259,""LOW"")"),766.0)</f>
        <v>766</v>
      </c>
      <c r="F1259" s="15" t="str">
        <f t="shared" si="8"/>
        <v/>
      </c>
      <c r="G1259" s="16">
        <f>IFERROR(__xludf.DUMMYFUNCTION("GOOGLEFINANCE(A1259,""CLOSEYEST"")"),772.45)</f>
        <v>772.45</v>
      </c>
      <c r="H1259" s="17" t="str">
        <f t="shared" si="14"/>
        <v/>
      </c>
      <c r="I1259" s="18">
        <f t="shared" si="9"/>
        <v>775.1166667</v>
      </c>
      <c r="J1259" s="19">
        <f t="shared" si="10"/>
        <v>784.2333333</v>
      </c>
      <c r="K1259" s="19"/>
      <c r="L1259" s="19">
        <f t="shared" si="11"/>
        <v>763.3333333</v>
      </c>
      <c r="M1259" s="19">
        <f t="shared" si="12"/>
        <v>796.0166667</v>
      </c>
      <c r="N1259" s="19">
        <f t="shared" si="13"/>
        <v>754.2166667</v>
      </c>
    </row>
    <row r="1260" ht="24.75" customHeight="1">
      <c r="A1260" s="21" t="s">
        <v>1223</v>
      </c>
      <c r="B1260" s="13">
        <f>IFERROR(__xludf.DUMMYFUNCTION("GOOGLEFINANCE(A1260,""PRICE"")"),390.1)</f>
        <v>390.1</v>
      </c>
      <c r="C1260" s="14">
        <f>IFERROR(__xludf.DUMMYFUNCTION("GOOGLEFINANCE(A1260,""PRICEOPEN"")"),384.4)</f>
        <v>384.4</v>
      </c>
      <c r="D1260" s="14">
        <f>IFERROR(__xludf.DUMMYFUNCTION("GOOGLEFINANCE(A1260,""HIGH"")"),397.8)</f>
        <v>397.8</v>
      </c>
      <c r="E1260" s="14">
        <f>IFERROR(__xludf.DUMMYFUNCTION("GOOGLEFINANCE(A1260,""LOW"")"),384.4)</f>
        <v>384.4</v>
      </c>
      <c r="F1260" s="15" t="str">
        <f t="shared" si="8"/>
        <v>BUY</v>
      </c>
      <c r="G1260" s="16">
        <f>IFERROR(__xludf.DUMMYFUNCTION("GOOGLEFINANCE(A1260,""CLOSEYEST"")"),388.3)</f>
        <v>388.3</v>
      </c>
      <c r="H1260" s="17" t="str">
        <f t="shared" si="14"/>
        <v>GAP DOWN</v>
      </c>
      <c r="I1260" s="18">
        <f t="shared" si="9"/>
        <v>390.1666667</v>
      </c>
      <c r="J1260" s="19">
        <f t="shared" si="10"/>
        <v>395.9333333</v>
      </c>
      <c r="K1260" s="19"/>
      <c r="L1260" s="19">
        <f t="shared" si="11"/>
        <v>382.5333333</v>
      </c>
      <c r="M1260" s="19">
        <f t="shared" si="12"/>
        <v>403.5666667</v>
      </c>
      <c r="N1260" s="19">
        <f t="shared" si="13"/>
        <v>376.7666667</v>
      </c>
    </row>
    <row r="1261" ht="24.75" customHeight="1">
      <c r="A1261" s="21" t="s">
        <v>1224</v>
      </c>
      <c r="B1261" s="13">
        <f>IFERROR(__xludf.DUMMYFUNCTION("GOOGLEFINANCE(A1261,""PRICE"")"),457.0)</f>
        <v>457</v>
      </c>
      <c r="C1261" s="14">
        <f>IFERROR(__xludf.DUMMYFUNCTION("GOOGLEFINANCE(A1261,""PRICEOPEN"")"),454.75)</f>
        <v>454.75</v>
      </c>
      <c r="D1261" s="14">
        <f>IFERROR(__xludf.DUMMYFUNCTION("GOOGLEFINANCE(A1261,""HIGH"")"),457.15)</f>
        <v>457.15</v>
      </c>
      <c r="E1261" s="14">
        <f>IFERROR(__xludf.DUMMYFUNCTION("GOOGLEFINANCE(A1261,""LOW"")"),453.0)</f>
        <v>453</v>
      </c>
      <c r="F1261" s="15" t="str">
        <f t="shared" si="8"/>
        <v/>
      </c>
      <c r="G1261" s="16">
        <f>IFERROR(__xludf.DUMMYFUNCTION("GOOGLEFINANCE(A1261,""CLOSEYEST"")"),449.7)</f>
        <v>449.7</v>
      </c>
      <c r="H1261" s="17" t="str">
        <f t="shared" si="14"/>
        <v>GAP UP</v>
      </c>
      <c r="I1261" s="18">
        <f t="shared" si="9"/>
        <v>453.2833333</v>
      </c>
      <c r="J1261" s="19">
        <f t="shared" si="10"/>
        <v>453.5666667</v>
      </c>
      <c r="K1261" s="19"/>
      <c r="L1261" s="19">
        <f t="shared" si="11"/>
        <v>449.4166667</v>
      </c>
      <c r="M1261" s="19">
        <f t="shared" si="12"/>
        <v>457.4333333</v>
      </c>
      <c r="N1261" s="19">
        <f t="shared" si="13"/>
        <v>449.1333333</v>
      </c>
    </row>
    <row r="1262" ht="24.75" customHeight="1">
      <c r="A1262" s="21" t="s">
        <v>1225</v>
      </c>
      <c r="B1262" s="13">
        <f>IFERROR(__xludf.DUMMYFUNCTION("GOOGLEFINANCE(A1262,""PRICE"")"),344.3)</f>
        <v>344.3</v>
      </c>
      <c r="C1262" s="14">
        <f>IFERROR(__xludf.DUMMYFUNCTION("GOOGLEFINANCE(A1262,""PRICEOPEN"")"),342.45)</f>
        <v>342.45</v>
      </c>
      <c r="D1262" s="14">
        <f>IFERROR(__xludf.DUMMYFUNCTION("GOOGLEFINANCE(A1262,""HIGH"")"),351.35)</f>
        <v>351.35</v>
      </c>
      <c r="E1262" s="14">
        <f>IFERROR(__xludf.DUMMYFUNCTION("GOOGLEFINANCE(A1262,""LOW"")"),338.45)</f>
        <v>338.45</v>
      </c>
      <c r="F1262" s="15" t="str">
        <f t="shared" si="8"/>
        <v/>
      </c>
      <c r="G1262" s="16">
        <f>IFERROR(__xludf.DUMMYFUNCTION("GOOGLEFINANCE(A1262,""CLOSEYEST"")"),344.15)</f>
        <v>344.15</v>
      </c>
      <c r="H1262" s="17" t="str">
        <f t="shared" si="14"/>
        <v/>
      </c>
      <c r="I1262" s="18">
        <f t="shared" si="9"/>
        <v>344.65</v>
      </c>
      <c r="J1262" s="19">
        <f t="shared" si="10"/>
        <v>350.85</v>
      </c>
      <c r="K1262" s="19"/>
      <c r="L1262" s="19">
        <f t="shared" si="11"/>
        <v>337.95</v>
      </c>
      <c r="M1262" s="19">
        <f t="shared" si="12"/>
        <v>357.55</v>
      </c>
      <c r="N1262" s="19">
        <f t="shared" si="13"/>
        <v>331.75</v>
      </c>
    </row>
    <row r="1263" ht="24.75" customHeight="1">
      <c r="A1263" s="21" t="s">
        <v>1226</v>
      </c>
      <c r="B1263" s="13">
        <f>IFERROR(__xludf.DUMMYFUNCTION("GOOGLEFINANCE(A1263,""PRICE"")"),7.02)</f>
        <v>7.02</v>
      </c>
      <c r="C1263" s="14">
        <f>IFERROR(__xludf.DUMMYFUNCTION("GOOGLEFINANCE(A1263,""PRICEOPEN"")"),7.04)</f>
        <v>7.04</v>
      </c>
      <c r="D1263" s="14">
        <f>IFERROR(__xludf.DUMMYFUNCTION("GOOGLEFINANCE(A1263,""HIGH"")"),7.12)</f>
        <v>7.12</v>
      </c>
      <c r="E1263" s="14">
        <f>IFERROR(__xludf.DUMMYFUNCTION("GOOGLEFINANCE(A1263,""LOW"")"),6.95)</f>
        <v>6.95</v>
      </c>
      <c r="F1263" s="15" t="str">
        <f t="shared" si="8"/>
        <v/>
      </c>
      <c r="G1263" s="16">
        <f>IFERROR(__xludf.DUMMYFUNCTION("GOOGLEFINANCE(A1263,""CLOSEYEST"")"),7.0)</f>
        <v>7</v>
      </c>
      <c r="H1263" s="17" t="str">
        <f t="shared" si="14"/>
        <v/>
      </c>
      <c r="I1263" s="18">
        <f t="shared" si="9"/>
        <v>7.023333333</v>
      </c>
      <c r="J1263" s="19">
        <f t="shared" si="10"/>
        <v>7.096666667</v>
      </c>
      <c r="K1263" s="19"/>
      <c r="L1263" s="19">
        <f t="shared" si="11"/>
        <v>6.926666667</v>
      </c>
      <c r="M1263" s="19">
        <f t="shared" si="12"/>
        <v>7.193333333</v>
      </c>
      <c r="N1263" s="19">
        <f t="shared" si="13"/>
        <v>6.853333333</v>
      </c>
    </row>
    <row r="1264" ht="24.75" customHeight="1">
      <c r="A1264" s="21" t="s">
        <v>1227</v>
      </c>
      <c r="B1264" s="13">
        <f>IFERROR(__xludf.DUMMYFUNCTION("GOOGLEFINANCE(A1264,""PRICE"")"),25.32)</f>
        <v>25.32</v>
      </c>
      <c r="C1264" s="14">
        <f>IFERROR(__xludf.DUMMYFUNCTION("GOOGLEFINANCE(A1264,""PRICEOPEN"")"),25.2)</f>
        <v>25.2</v>
      </c>
      <c r="D1264" s="14">
        <f>IFERROR(__xludf.DUMMYFUNCTION("GOOGLEFINANCE(A1264,""HIGH"")"),25.66)</f>
        <v>25.66</v>
      </c>
      <c r="E1264" s="14">
        <f>IFERROR(__xludf.DUMMYFUNCTION("GOOGLEFINANCE(A1264,""LOW"")"),25.02)</f>
        <v>25.02</v>
      </c>
      <c r="F1264" s="15" t="str">
        <f t="shared" si="8"/>
        <v/>
      </c>
      <c r="G1264" s="16">
        <f>IFERROR(__xludf.DUMMYFUNCTION("GOOGLEFINANCE(A1264,""CLOSEYEST"")"),25.15)</f>
        <v>25.15</v>
      </c>
      <c r="H1264" s="17" t="str">
        <f t="shared" si="14"/>
        <v/>
      </c>
      <c r="I1264" s="18">
        <f t="shared" si="9"/>
        <v>25.27666667</v>
      </c>
      <c r="J1264" s="19">
        <f t="shared" si="10"/>
        <v>25.53333333</v>
      </c>
      <c r="K1264" s="19"/>
      <c r="L1264" s="19">
        <f t="shared" si="11"/>
        <v>24.89333333</v>
      </c>
      <c r="M1264" s="19">
        <f t="shared" si="12"/>
        <v>25.91666667</v>
      </c>
      <c r="N1264" s="19">
        <f t="shared" si="13"/>
        <v>24.63666667</v>
      </c>
    </row>
    <row r="1265" ht="24.75" customHeight="1">
      <c r="A1265" s="21" t="s">
        <v>1228</v>
      </c>
      <c r="B1265" s="13">
        <f>IFERROR(__xludf.DUMMYFUNCTION("GOOGLEFINANCE(A1265,""PRICE"")"),268.3)</f>
        <v>268.3</v>
      </c>
      <c r="C1265" s="14">
        <f>IFERROR(__xludf.DUMMYFUNCTION("GOOGLEFINANCE(A1265,""PRICEOPEN"")"),267.15)</f>
        <v>267.15</v>
      </c>
      <c r="D1265" s="14">
        <f>IFERROR(__xludf.DUMMYFUNCTION("GOOGLEFINANCE(A1265,""HIGH"")"),272.4)</f>
        <v>272.4</v>
      </c>
      <c r="E1265" s="14">
        <f>IFERROR(__xludf.DUMMYFUNCTION("GOOGLEFINANCE(A1265,""LOW"")"),267.15)</f>
        <v>267.15</v>
      </c>
      <c r="F1265" s="15" t="str">
        <f t="shared" si="8"/>
        <v>BUY</v>
      </c>
      <c r="G1265" s="16">
        <f>IFERROR(__xludf.DUMMYFUNCTION("GOOGLEFINANCE(A1265,""CLOSEYEST"")"),267.15)</f>
        <v>267.15</v>
      </c>
      <c r="H1265" s="17" t="str">
        <f t="shared" si="14"/>
        <v/>
      </c>
      <c r="I1265" s="18">
        <f t="shared" si="9"/>
        <v>268.9</v>
      </c>
      <c r="J1265" s="19">
        <f t="shared" si="10"/>
        <v>270.65</v>
      </c>
      <c r="K1265" s="19"/>
      <c r="L1265" s="19">
        <f t="shared" si="11"/>
        <v>265.4</v>
      </c>
      <c r="M1265" s="19">
        <f t="shared" si="12"/>
        <v>274.15</v>
      </c>
      <c r="N1265" s="19">
        <f t="shared" si="13"/>
        <v>263.65</v>
      </c>
    </row>
    <row r="1266" ht="24.75" customHeight="1">
      <c r="A1266" s="21" t="s">
        <v>1229</v>
      </c>
      <c r="B1266" s="13">
        <f>IFERROR(__xludf.DUMMYFUNCTION("GOOGLEFINANCE(A1266,""PRICE"")"),536.0)</f>
        <v>536</v>
      </c>
      <c r="C1266" s="14">
        <f>IFERROR(__xludf.DUMMYFUNCTION("GOOGLEFINANCE(A1266,""PRICEOPEN"")"),503.55)</f>
        <v>503.55</v>
      </c>
      <c r="D1266" s="14">
        <f>IFERROR(__xludf.DUMMYFUNCTION("GOOGLEFINANCE(A1266,""HIGH"")"),584.0)</f>
        <v>584</v>
      </c>
      <c r="E1266" s="14">
        <f>IFERROR(__xludf.DUMMYFUNCTION("GOOGLEFINANCE(A1266,""LOW"")"),503.55)</f>
        <v>503.55</v>
      </c>
      <c r="F1266" s="15" t="str">
        <f t="shared" si="8"/>
        <v>BUY</v>
      </c>
      <c r="G1266" s="16">
        <f>IFERROR(__xludf.DUMMYFUNCTION("GOOGLEFINANCE(A1266,""CLOSEYEST"")"),513.15)</f>
        <v>513.15</v>
      </c>
      <c r="H1266" s="17" t="str">
        <f t="shared" si="14"/>
        <v>GAP DOWN</v>
      </c>
      <c r="I1266" s="18">
        <f t="shared" si="9"/>
        <v>533.5666667</v>
      </c>
      <c r="J1266" s="19">
        <f t="shared" si="10"/>
        <v>563.5833333</v>
      </c>
      <c r="K1266" s="19"/>
      <c r="L1266" s="19">
        <f t="shared" si="11"/>
        <v>483.1333333</v>
      </c>
      <c r="M1266" s="19">
        <f t="shared" si="12"/>
        <v>614.0166667</v>
      </c>
      <c r="N1266" s="19">
        <f t="shared" si="13"/>
        <v>453.1166667</v>
      </c>
    </row>
    <row r="1267" ht="24.75" customHeight="1">
      <c r="A1267" s="21" t="s">
        <v>1230</v>
      </c>
      <c r="B1267" s="13">
        <f>IFERROR(__xludf.DUMMYFUNCTION("GOOGLEFINANCE(A1267,""PRICE"")"),43.29)</f>
        <v>43.29</v>
      </c>
      <c r="C1267" s="14">
        <f>IFERROR(__xludf.DUMMYFUNCTION("GOOGLEFINANCE(A1267,""PRICEOPEN"")"),42.58)</f>
        <v>42.58</v>
      </c>
      <c r="D1267" s="14">
        <f>IFERROR(__xludf.DUMMYFUNCTION("GOOGLEFINANCE(A1267,""HIGH"")"),43.4)</f>
        <v>43.4</v>
      </c>
      <c r="E1267" s="14">
        <f>IFERROR(__xludf.DUMMYFUNCTION("GOOGLEFINANCE(A1267,""LOW"")"),42.32)</f>
        <v>42.32</v>
      </c>
      <c r="F1267" s="15" t="str">
        <f t="shared" si="8"/>
        <v/>
      </c>
      <c r="G1267" s="16">
        <f>IFERROR(__xludf.DUMMYFUNCTION("GOOGLEFINANCE(A1267,""CLOSEYEST"")"),42.58)</f>
        <v>42.58</v>
      </c>
      <c r="H1267" s="17" t="str">
        <f t="shared" si="14"/>
        <v/>
      </c>
      <c r="I1267" s="18">
        <f t="shared" si="9"/>
        <v>42.76666667</v>
      </c>
      <c r="J1267" s="19">
        <f t="shared" si="10"/>
        <v>43.21333333</v>
      </c>
      <c r="K1267" s="19"/>
      <c r="L1267" s="19">
        <f t="shared" si="11"/>
        <v>42.13333333</v>
      </c>
      <c r="M1267" s="19">
        <f t="shared" si="12"/>
        <v>43.84666667</v>
      </c>
      <c r="N1267" s="19">
        <f t="shared" si="13"/>
        <v>41.68666667</v>
      </c>
    </row>
    <row r="1268" ht="24.75" customHeight="1">
      <c r="A1268" s="21" t="s">
        <v>1231</v>
      </c>
      <c r="B1268" s="13">
        <f>IFERROR(__xludf.DUMMYFUNCTION("GOOGLEFINANCE(A1268,""PRICE"")"),191.0)</f>
        <v>191</v>
      </c>
      <c r="C1268" s="14">
        <f>IFERROR(__xludf.DUMMYFUNCTION("GOOGLEFINANCE(A1268,""PRICEOPEN"")"),190.0)</f>
        <v>190</v>
      </c>
      <c r="D1268" s="14">
        <f>IFERROR(__xludf.DUMMYFUNCTION("GOOGLEFINANCE(A1268,""HIGH"")"),196.9)</f>
        <v>196.9</v>
      </c>
      <c r="E1268" s="14">
        <f>IFERROR(__xludf.DUMMYFUNCTION("GOOGLEFINANCE(A1268,""LOW"")"),188.0)</f>
        <v>188</v>
      </c>
      <c r="F1268" s="15" t="str">
        <f t="shared" si="8"/>
        <v/>
      </c>
      <c r="G1268" s="16">
        <f>IFERROR(__xludf.DUMMYFUNCTION("GOOGLEFINANCE(A1268,""CLOSEYEST"")"),189.46)</f>
        <v>189.46</v>
      </c>
      <c r="H1268" s="17" t="str">
        <f t="shared" si="14"/>
        <v/>
      </c>
      <c r="I1268" s="18">
        <f t="shared" si="9"/>
        <v>191.4533333</v>
      </c>
      <c r="J1268" s="19">
        <f t="shared" si="10"/>
        <v>194.9066667</v>
      </c>
      <c r="K1268" s="19"/>
      <c r="L1268" s="19">
        <f t="shared" si="11"/>
        <v>186.0066667</v>
      </c>
      <c r="M1268" s="19">
        <f t="shared" si="12"/>
        <v>200.3533333</v>
      </c>
      <c r="N1268" s="19">
        <f t="shared" si="13"/>
        <v>182.5533333</v>
      </c>
    </row>
    <row r="1269" ht="24.75" customHeight="1">
      <c r="A1269" s="21" t="s">
        <v>1232</v>
      </c>
      <c r="B1269" s="13">
        <f>IFERROR(__xludf.DUMMYFUNCTION("GOOGLEFINANCE(A1269,""PRICE"")"),242.81)</f>
        <v>242.81</v>
      </c>
      <c r="C1269" s="14">
        <f>IFERROR(__xludf.DUMMYFUNCTION("GOOGLEFINANCE(A1269,""PRICEOPEN"")"),243.64)</f>
        <v>243.64</v>
      </c>
      <c r="D1269" s="14">
        <f>IFERROR(__xludf.DUMMYFUNCTION("GOOGLEFINANCE(A1269,""HIGH"")"),244.5)</f>
        <v>244.5</v>
      </c>
      <c r="E1269" s="14">
        <f>IFERROR(__xludf.DUMMYFUNCTION("GOOGLEFINANCE(A1269,""LOW"")"),240.48)</f>
        <v>240.48</v>
      </c>
      <c r="F1269" s="15" t="str">
        <f t="shared" si="8"/>
        <v/>
      </c>
      <c r="G1269" s="16">
        <f>IFERROR(__xludf.DUMMYFUNCTION("GOOGLEFINANCE(A1269,""CLOSEYEST"")"),243.64)</f>
        <v>243.64</v>
      </c>
      <c r="H1269" s="17" t="str">
        <f t="shared" si="14"/>
        <v/>
      </c>
      <c r="I1269" s="18">
        <f t="shared" si="9"/>
        <v>242.8733333</v>
      </c>
      <c r="J1269" s="19">
        <f t="shared" si="10"/>
        <v>245.2666667</v>
      </c>
      <c r="K1269" s="19"/>
      <c r="L1269" s="19">
        <f t="shared" si="11"/>
        <v>241.2466667</v>
      </c>
      <c r="M1269" s="19">
        <f t="shared" si="12"/>
        <v>246.8933333</v>
      </c>
      <c r="N1269" s="19">
        <f t="shared" si="13"/>
        <v>238.8533333</v>
      </c>
    </row>
    <row r="1270" ht="24.75" customHeight="1">
      <c r="A1270" s="21" t="s">
        <v>1233</v>
      </c>
      <c r="B1270" s="13">
        <f>IFERROR(__xludf.DUMMYFUNCTION("GOOGLEFINANCE(A1270,""PRICE"")"),13.77)</f>
        <v>13.77</v>
      </c>
      <c r="C1270" s="14">
        <f>IFERROR(__xludf.DUMMYFUNCTION("GOOGLEFINANCE(A1270,""PRICEOPEN"")"),13.66)</f>
        <v>13.66</v>
      </c>
      <c r="D1270" s="14">
        <f>IFERROR(__xludf.DUMMYFUNCTION("GOOGLEFINANCE(A1270,""HIGH"")"),13.89)</f>
        <v>13.89</v>
      </c>
      <c r="E1270" s="14">
        <f>IFERROR(__xludf.DUMMYFUNCTION("GOOGLEFINANCE(A1270,""LOW"")"),13.6)</f>
        <v>13.6</v>
      </c>
      <c r="F1270" s="15" t="str">
        <f t="shared" si="8"/>
        <v/>
      </c>
      <c r="G1270" s="16">
        <f>IFERROR(__xludf.DUMMYFUNCTION("GOOGLEFINANCE(A1270,""CLOSEYEST"")"),13.66)</f>
        <v>13.66</v>
      </c>
      <c r="H1270" s="17" t="str">
        <f t="shared" si="14"/>
        <v/>
      </c>
      <c r="I1270" s="18">
        <f t="shared" si="9"/>
        <v>13.71666667</v>
      </c>
      <c r="J1270" s="19">
        <f t="shared" si="10"/>
        <v>13.83333333</v>
      </c>
      <c r="K1270" s="19"/>
      <c r="L1270" s="19">
        <f t="shared" si="11"/>
        <v>13.54333333</v>
      </c>
      <c r="M1270" s="19">
        <f t="shared" si="12"/>
        <v>14.00666667</v>
      </c>
      <c r="N1270" s="19">
        <f t="shared" si="13"/>
        <v>13.42666667</v>
      </c>
    </row>
    <row r="1271" ht="24.75" customHeight="1">
      <c r="A1271" s="21" t="s">
        <v>1234</v>
      </c>
      <c r="B1271" s="13" t="str">
        <f>IFERROR(__xludf.DUMMYFUNCTION("GOOGLEFINANCE(A1271,""PRICE"")"),"#N/A")</f>
        <v>#N/A</v>
      </c>
      <c r="C1271" s="14" t="str">
        <f>IFERROR(__xludf.DUMMYFUNCTION("GOOGLEFINANCE(A1271,""PRICEOPEN"")"),"#N/A")</f>
        <v>#N/A</v>
      </c>
      <c r="D1271" s="14" t="str">
        <f>IFERROR(__xludf.DUMMYFUNCTION("GOOGLEFINANCE(A1271,""HIGH"")"),"#N/A")</f>
        <v>#N/A</v>
      </c>
      <c r="E1271" s="14" t="str">
        <f>IFERROR(__xludf.DUMMYFUNCTION("GOOGLEFINANCE(A1271,""LOW"")"),"#N/A")</f>
        <v>#N/A</v>
      </c>
      <c r="F1271" s="15" t="str">
        <f t="shared" si="8"/>
        <v>#N/A</v>
      </c>
      <c r="G1271" s="16" t="str">
        <f>IFERROR(__xludf.DUMMYFUNCTION("GOOGLEFINANCE(A1271,""CLOSEYEST"")"),"#N/A")</f>
        <v>#N/A</v>
      </c>
      <c r="H1271" s="17" t="str">
        <f t="shared" si="14"/>
        <v>#N/A</v>
      </c>
      <c r="I1271" s="18" t="str">
        <f t="shared" si="9"/>
        <v>#N/A</v>
      </c>
      <c r="J1271" s="19" t="str">
        <f t="shared" si="10"/>
        <v>#N/A</v>
      </c>
      <c r="K1271" s="19"/>
      <c r="L1271" s="19" t="str">
        <f t="shared" si="11"/>
        <v>#N/A</v>
      </c>
      <c r="M1271" s="19" t="str">
        <f t="shared" si="12"/>
        <v>#N/A</v>
      </c>
      <c r="N1271" s="19" t="str">
        <f t="shared" si="13"/>
        <v>#N/A</v>
      </c>
    </row>
    <row r="1272" ht="24.75" customHeight="1">
      <c r="A1272" s="21" t="s">
        <v>1235</v>
      </c>
      <c r="B1272" s="13" t="str">
        <f>IFERROR(__xludf.DUMMYFUNCTION("GOOGLEFINANCE(A1272,""PRICE"")"),"#N/A")</f>
        <v>#N/A</v>
      </c>
      <c r="C1272" s="14" t="str">
        <f>IFERROR(__xludf.DUMMYFUNCTION("GOOGLEFINANCE(A1272,""PRICEOPEN"")"),"#N/A")</f>
        <v>#N/A</v>
      </c>
      <c r="D1272" s="14" t="str">
        <f>IFERROR(__xludf.DUMMYFUNCTION("GOOGLEFINANCE(A1272,""HIGH"")"),"#N/A")</f>
        <v>#N/A</v>
      </c>
      <c r="E1272" s="14" t="str">
        <f>IFERROR(__xludf.DUMMYFUNCTION("GOOGLEFINANCE(A1272,""LOW"")"),"#N/A")</f>
        <v>#N/A</v>
      </c>
      <c r="F1272" s="15" t="str">
        <f t="shared" si="8"/>
        <v>#N/A</v>
      </c>
      <c r="G1272" s="16" t="str">
        <f>IFERROR(__xludf.DUMMYFUNCTION("GOOGLEFINANCE(A1272,""CLOSEYEST"")"),"#N/A")</f>
        <v>#N/A</v>
      </c>
      <c r="H1272" s="17" t="str">
        <f t="shared" si="14"/>
        <v>#N/A</v>
      </c>
      <c r="I1272" s="18" t="str">
        <f t="shared" si="9"/>
        <v>#N/A</v>
      </c>
      <c r="J1272" s="19" t="str">
        <f t="shared" si="10"/>
        <v>#N/A</v>
      </c>
      <c r="K1272" s="19"/>
      <c r="L1272" s="19" t="str">
        <f t="shared" si="11"/>
        <v>#N/A</v>
      </c>
      <c r="M1272" s="19" t="str">
        <f t="shared" si="12"/>
        <v>#N/A</v>
      </c>
      <c r="N1272" s="19" t="str">
        <f t="shared" si="13"/>
        <v>#N/A</v>
      </c>
    </row>
    <row r="1273" ht="24.75" customHeight="1">
      <c r="A1273" s="21" t="s">
        <v>1236</v>
      </c>
      <c r="B1273" s="13">
        <f>IFERROR(__xludf.DUMMYFUNCTION("GOOGLEFINANCE(A1273,""PRICE"")"),281.35)</f>
        <v>281.35</v>
      </c>
      <c r="C1273" s="14">
        <f>IFERROR(__xludf.DUMMYFUNCTION("GOOGLEFINANCE(A1273,""PRICEOPEN"")"),278.8)</f>
        <v>278.8</v>
      </c>
      <c r="D1273" s="14">
        <f>IFERROR(__xludf.DUMMYFUNCTION("GOOGLEFINANCE(A1273,""HIGH"")"),285.35)</f>
        <v>285.35</v>
      </c>
      <c r="E1273" s="14">
        <f>IFERROR(__xludf.DUMMYFUNCTION("GOOGLEFINANCE(A1273,""LOW"")"),277.0)</f>
        <v>277</v>
      </c>
      <c r="F1273" s="15" t="str">
        <f t="shared" si="8"/>
        <v/>
      </c>
      <c r="G1273" s="16">
        <f>IFERROR(__xludf.DUMMYFUNCTION("GOOGLEFINANCE(A1273,""CLOSEYEST"")"),276.55)</f>
        <v>276.55</v>
      </c>
      <c r="H1273" s="17" t="str">
        <f t="shared" si="14"/>
        <v/>
      </c>
      <c r="I1273" s="18">
        <f t="shared" si="9"/>
        <v>279.6333333</v>
      </c>
      <c r="J1273" s="19">
        <f t="shared" si="10"/>
        <v>282.2666667</v>
      </c>
      <c r="K1273" s="19"/>
      <c r="L1273" s="19">
        <f t="shared" si="11"/>
        <v>273.9166667</v>
      </c>
      <c r="M1273" s="19">
        <f t="shared" si="12"/>
        <v>287.9833333</v>
      </c>
      <c r="N1273" s="19">
        <f t="shared" si="13"/>
        <v>271.2833333</v>
      </c>
    </row>
    <row r="1274" ht="24.75" customHeight="1">
      <c r="A1274" s="21" t="s">
        <v>1237</v>
      </c>
      <c r="B1274" s="13">
        <f>IFERROR(__xludf.DUMMYFUNCTION("GOOGLEFINANCE(A1274,""PRICE"")"),0.05)</f>
        <v>0.05</v>
      </c>
      <c r="C1274" s="14">
        <f>IFERROR(__xludf.DUMMYFUNCTION("GOOGLEFINANCE(A1274,""PRICEOPEN"")"),0.05)</f>
        <v>0.05</v>
      </c>
      <c r="D1274" s="14">
        <f>IFERROR(__xludf.DUMMYFUNCTION("GOOGLEFINANCE(A1274,""HIGH"")"),0.05)</f>
        <v>0.05</v>
      </c>
      <c r="E1274" s="14">
        <f>IFERROR(__xludf.DUMMYFUNCTION("GOOGLEFINANCE(A1274,""LOW"")"),0.05)</f>
        <v>0.05</v>
      </c>
      <c r="F1274" s="15" t="str">
        <f t="shared" si="8"/>
        <v>SELL</v>
      </c>
      <c r="G1274" s="16">
        <f>IFERROR(__xludf.DUMMYFUNCTION("GOOGLEFINANCE(A1274,""CLOSEYEST"")"),0.05)</f>
        <v>0.05</v>
      </c>
      <c r="H1274" s="17" t="str">
        <f t="shared" si="14"/>
        <v/>
      </c>
      <c r="I1274" s="18">
        <f t="shared" si="9"/>
        <v>0.05</v>
      </c>
      <c r="J1274" s="19">
        <f t="shared" si="10"/>
        <v>0.05</v>
      </c>
      <c r="K1274" s="19"/>
      <c r="L1274" s="19">
        <f t="shared" si="11"/>
        <v>0.05</v>
      </c>
      <c r="M1274" s="19">
        <f t="shared" si="12"/>
        <v>0.05</v>
      </c>
      <c r="N1274" s="19">
        <f t="shared" si="13"/>
        <v>0.05</v>
      </c>
    </row>
    <row r="1275" ht="24.75" customHeight="1">
      <c r="A1275" s="21" t="s">
        <v>1238</v>
      </c>
      <c r="B1275" s="13" t="str">
        <f>IFERROR(__xludf.DUMMYFUNCTION("GOOGLEFINANCE(A1275,""PRICE"")"),"#N/A")</f>
        <v>#N/A</v>
      </c>
      <c r="C1275" s="14" t="str">
        <f>IFERROR(__xludf.DUMMYFUNCTION("GOOGLEFINANCE(A1275,""PRICEOPEN"")"),"#N/A")</f>
        <v>#N/A</v>
      </c>
      <c r="D1275" s="14" t="str">
        <f>IFERROR(__xludf.DUMMYFUNCTION("GOOGLEFINANCE(A1275,""HIGH"")"),"#N/A")</f>
        <v>#N/A</v>
      </c>
      <c r="E1275" s="14" t="str">
        <f>IFERROR(__xludf.DUMMYFUNCTION("GOOGLEFINANCE(A1275,""LOW"")"),"#N/A")</f>
        <v>#N/A</v>
      </c>
      <c r="F1275" s="15" t="str">
        <f t="shared" si="8"/>
        <v>#N/A</v>
      </c>
      <c r="G1275" s="16" t="str">
        <f>IFERROR(__xludf.DUMMYFUNCTION("GOOGLEFINANCE(A1275,""CLOSEYEST"")"),"#N/A")</f>
        <v>#N/A</v>
      </c>
      <c r="H1275" s="17" t="str">
        <f t="shared" si="14"/>
        <v>#N/A</v>
      </c>
      <c r="I1275" s="18" t="str">
        <f t="shared" si="9"/>
        <v>#N/A</v>
      </c>
      <c r="J1275" s="19" t="str">
        <f t="shared" si="10"/>
        <v>#N/A</v>
      </c>
      <c r="K1275" s="19"/>
      <c r="L1275" s="19" t="str">
        <f t="shared" si="11"/>
        <v>#N/A</v>
      </c>
      <c r="M1275" s="19" t="str">
        <f t="shared" si="12"/>
        <v>#N/A</v>
      </c>
      <c r="N1275" s="19" t="str">
        <f t="shared" si="13"/>
        <v>#N/A</v>
      </c>
    </row>
    <row r="1276" ht="24.75" customHeight="1">
      <c r="A1276" s="21" t="s">
        <v>1239</v>
      </c>
      <c r="B1276" s="13">
        <f>IFERROR(__xludf.DUMMYFUNCTION("GOOGLEFINANCE(A1276,""PRICE"")"),1655.0)</f>
        <v>1655</v>
      </c>
      <c r="C1276" s="14">
        <f>IFERROR(__xludf.DUMMYFUNCTION("GOOGLEFINANCE(A1276,""PRICEOPEN"")"),1698.8)</f>
        <v>1698.8</v>
      </c>
      <c r="D1276" s="14">
        <f>IFERROR(__xludf.DUMMYFUNCTION("GOOGLEFINANCE(A1276,""HIGH"")"),1698.8)</f>
        <v>1698.8</v>
      </c>
      <c r="E1276" s="14">
        <f>IFERROR(__xludf.DUMMYFUNCTION("GOOGLEFINANCE(A1276,""LOW"")"),1651.0)</f>
        <v>1651</v>
      </c>
      <c r="F1276" s="15" t="str">
        <f t="shared" si="8"/>
        <v>SELL</v>
      </c>
      <c r="G1276" s="16">
        <f>IFERROR(__xludf.DUMMYFUNCTION("GOOGLEFINANCE(A1276,""CLOSEYEST"")"),1656.4)</f>
        <v>1656.4</v>
      </c>
      <c r="H1276" s="17" t="str">
        <f t="shared" si="14"/>
        <v>GAP UP</v>
      </c>
      <c r="I1276" s="18">
        <f t="shared" si="9"/>
        <v>1668.733333</v>
      </c>
      <c r="J1276" s="19">
        <f t="shared" si="10"/>
        <v>1686.466667</v>
      </c>
      <c r="K1276" s="19"/>
      <c r="L1276" s="19">
        <f t="shared" si="11"/>
        <v>1638.666667</v>
      </c>
      <c r="M1276" s="19">
        <f t="shared" si="12"/>
        <v>1716.533333</v>
      </c>
      <c r="N1276" s="19">
        <f t="shared" si="13"/>
        <v>1620.933333</v>
      </c>
    </row>
    <row r="1277" ht="24.75" customHeight="1">
      <c r="A1277" s="21" t="s">
        <v>1240</v>
      </c>
      <c r="B1277" s="13">
        <f>IFERROR(__xludf.DUMMYFUNCTION("GOOGLEFINANCE(A1277,""PRICE"")"),94.05)</f>
        <v>94.05</v>
      </c>
      <c r="C1277" s="14">
        <f>IFERROR(__xludf.DUMMYFUNCTION("GOOGLEFINANCE(A1277,""PRICEOPEN"")"),93.7)</f>
        <v>93.7</v>
      </c>
      <c r="D1277" s="14">
        <f>IFERROR(__xludf.DUMMYFUNCTION("GOOGLEFINANCE(A1277,""HIGH"")"),95.6)</f>
        <v>95.6</v>
      </c>
      <c r="E1277" s="14">
        <f>IFERROR(__xludf.DUMMYFUNCTION("GOOGLEFINANCE(A1277,""LOW"")"),93.11)</f>
        <v>93.11</v>
      </c>
      <c r="F1277" s="15" t="str">
        <f t="shared" si="8"/>
        <v/>
      </c>
      <c r="G1277" s="16">
        <f>IFERROR(__xludf.DUMMYFUNCTION("GOOGLEFINANCE(A1277,""CLOSEYEST"")"),93.5)</f>
        <v>93.5</v>
      </c>
      <c r="H1277" s="17" t="str">
        <f t="shared" si="14"/>
        <v/>
      </c>
      <c r="I1277" s="18">
        <f t="shared" si="9"/>
        <v>94.07</v>
      </c>
      <c r="J1277" s="19">
        <f t="shared" si="10"/>
        <v>95.03</v>
      </c>
      <c r="K1277" s="19"/>
      <c r="L1277" s="19">
        <f t="shared" si="11"/>
        <v>92.54</v>
      </c>
      <c r="M1277" s="19">
        <f t="shared" si="12"/>
        <v>96.56</v>
      </c>
      <c r="N1277" s="19">
        <f t="shared" si="13"/>
        <v>91.58</v>
      </c>
    </row>
    <row r="1278" ht="24.75" customHeight="1">
      <c r="A1278" s="21" t="s">
        <v>1241</v>
      </c>
      <c r="B1278" s="13" t="str">
        <f>IFERROR(__xludf.DUMMYFUNCTION("GOOGLEFINANCE(A1278,""PRICE"")"),"#N/A")</f>
        <v>#N/A</v>
      </c>
      <c r="C1278" s="14" t="str">
        <f>IFERROR(__xludf.DUMMYFUNCTION("GOOGLEFINANCE(A1278,""PRICEOPEN"")"),"#N/A")</f>
        <v>#N/A</v>
      </c>
      <c r="D1278" s="14" t="str">
        <f>IFERROR(__xludf.DUMMYFUNCTION("GOOGLEFINANCE(A1278,""HIGH"")"),"#N/A")</f>
        <v>#N/A</v>
      </c>
      <c r="E1278" s="14" t="str">
        <f>IFERROR(__xludf.DUMMYFUNCTION("GOOGLEFINANCE(A1278,""LOW"")"),"#N/A")</f>
        <v>#N/A</v>
      </c>
      <c r="F1278" s="15" t="str">
        <f t="shared" si="8"/>
        <v>#N/A</v>
      </c>
      <c r="G1278" s="16" t="str">
        <f>IFERROR(__xludf.DUMMYFUNCTION("GOOGLEFINANCE(A1278,""CLOSEYEST"")"),"#N/A")</f>
        <v>#N/A</v>
      </c>
      <c r="H1278" s="17" t="str">
        <f t="shared" si="14"/>
        <v>#N/A</v>
      </c>
      <c r="I1278" s="18" t="str">
        <f t="shared" si="9"/>
        <v>#N/A</v>
      </c>
      <c r="J1278" s="19" t="str">
        <f t="shared" si="10"/>
        <v>#N/A</v>
      </c>
      <c r="K1278" s="19"/>
      <c r="L1278" s="19" t="str">
        <f t="shared" si="11"/>
        <v>#N/A</v>
      </c>
      <c r="M1278" s="19" t="str">
        <f t="shared" si="12"/>
        <v>#N/A</v>
      </c>
      <c r="N1278" s="19" t="str">
        <f t="shared" si="13"/>
        <v>#N/A</v>
      </c>
    </row>
    <row r="1279" ht="24.75" customHeight="1">
      <c r="A1279" s="21" t="s">
        <v>1242</v>
      </c>
      <c r="B1279" s="13">
        <f>IFERROR(__xludf.DUMMYFUNCTION("GOOGLEFINANCE(A1279,""PRICE"")"),59.89)</f>
        <v>59.89</v>
      </c>
      <c r="C1279" s="14">
        <f>IFERROR(__xludf.DUMMYFUNCTION("GOOGLEFINANCE(A1279,""PRICEOPEN"")"),59.65)</f>
        <v>59.65</v>
      </c>
      <c r="D1279" s="14">
        <f>IFERROR(__xludf.DUMMYFUNCTION("GOOGLEFINANCE(A1279,""HIGH"")"),60.28)</f>
        <v>60.28</v>
      </c>
      <c r="E1279" s="14">
        <f>IFERROR(__xludf.DUMMYFUNCTION("GOOGLEFINANCE(A1279,""LOW"")"),58.8)</f>
        <v>58.8</v>
      </c>
      <c r="F1279" s="15" t="str">
        <f t="shared" si="8"/>
        <v/>
      </c>
      <c r="G1279" s="16">
        <f>IFERROR(__xludf.DUMMYFUNCTION("GOOGLEFINANCE(A1279,""CLOSEYEST"")"),59.05)</f>
        <v>59.05</v>
      </c>
      <c r="H1279" s="17" t="str">
        <f t="shared" si="14"/>
        <v>GAP UP</v>
      </c>
      <c r="I1279" s="18">
        <f t="shared" si="9"/>
        <v>59.37666667</v>
      </c>
      <c r="J1279" s="19">
        <f t="shared" si="10"/>
        <v>59.95333333</v>
      </c>
      <c r="K1279" s="19"/>
      <c r="L1279" s="19">
        <f t="shared" si="11"/>
        <v>58.47333333</v>
      </c>
      <c r="M1279" s="19">
        <f t="shared" si="12"/>
        <v>60.85666667</v>
      </c>
      <c r="N1279" s="19">
        <f t="shared" si="13"/>
        <v>57.89666667</v>
      </c>
    </row>
    <row r="1280" ht="24.75" customHeight="1">
      <c r="A1280" s="21" t="s">
        <v>1243</v>
      </c>
      <c r="B1280" s="13">
        <f>IFERROR(__xludf.DUMMYFUNCTION("GOOGLEFINANCE(A1280,""PRICE"")"),150.0)</f>
        <v>150</v>
      </c>
      <c r="C1280" s="14">
        <f>IFERROR(__xludf.DUMMYFUNCTION("GOOGLEFINANCE(A1280,""PRICEOPEN"")"),152.0)</f>
        <v>152</v>
      </c>
      <c r="D1280" s="14">
        <f>IFERROR(__xludf.DUMMYFUNCTION("GOOGLEFINANCE(A1280,""HIGH"")"),153.39)</f>
        <v>153.39</v>
      </c>
      <c r="E1280" s="14">
        <f>IFERROR(__xludf.DUMMYFUNCTION("GOOGLEFINANCE(A1280,""LOW"")"),148.01)</f>
        <v>148.01</v>
      </c>
      <c r="F1280" s="15" t="str">
        <f t="shared" si="8"/>
        <v/>
      </c>
      <c r="G1280" s="16">
        <f>IFERROR(__xludf.DUMMYFUNCTION("GOOGLEFINANCE(A1280,""CLOSEYEST"")"),153.24)</f>
        <v>153.24</v>
      </c>
      <c r="H1280" s="17" t="str">
        <f t="shared" si="14"/>
        <v/>
      </c>
      <c r="I1280" s="18">
        <f t="shared" si="9"/>
        <v>151.5466667</v>
      </c>
      <c r="J1280" s="19">
        <f t="shared" si="10"/>
        <v>155.0833333</v>
      </c>
      <c r="K1280" s="19"/>
      <c r="L1280" s="19">
        <f t="shared" si="11"/>
        <v>149.7033333</v>
      </c>
      <c r="M1280" s="19">
        <f t="shared" si="12"/>
        <v>156.9266667</v>
      </c>
      <c r="N1280" s="19">
        <f t="shared" si="13"/>
        <v>146.1666667</v>
      </c>
    </row>
    <row r="1281" ht="24.75" customHeight="1">
      <c r="A1281" s="21" t="s">
        <v>1244</v>
      </c>
      <c r="B1281" s="13">
        <f>IFERROR(__xludf.DUMMYFUNCTION("GOOGLEFINANCE(A1281,""PRICE"")"),627.1)</f>
        <v>627.1</v>
      </c>
      <c r="C1281" s="14">
        <f>IFERROR(__xludf.DUMMYFUNCTION("GOOGLEFINANCE(A1281,""PRICEOPEN"")"),624.45)</f>
        <v>624.45</v>
      </c>
      <c r="D1281" s="14">
        <f>IFERROR(__xludf.DUMMYFUNCTION("GOOGLEFINANCE(A1281,""HIGH"")"),644.9)</f>
        <v>644.9</v>
      </c>
      <c r="E1281" s="14">
        <f>IFERROR(__xludf.DUMMYFUNCTION("GOOGLEFINANCE(A1281,""LOW"")"),611.15)</f>
        <v>611.15</v>
      </c>
      <c r="F1281" s="15" t="str">
        <f t="shared" si="8"/>
        <v/>
      </c>
      <c r="G1281" s="16">
        <f>IFERROR(__xludf.DUMMYFUNCTION("GOOGLEFINANCE(A1281,""CLOSEYEST"")"),618.3)</f>
        <v>618.3</v>
      </c>
      <c r="H1281" s="17" t="str">
        <f t="shared" si="14"/>
        <v/>
      </c>
      <c r="I1281" s="18">
        <f t="shared" si="9"/>
        <v>624.7833333</v>
      </c>
      <c r="J1281" s="19">
        <f t="shared" si="10"/>
        <v>638.4166667</v>
      </c>
      <c r="K1281" s="19"/>
      <c r="L1281" s="19">
        <f t="shared" si="11"/>
        <v>604.6666667</v>
      </c>
      <c r="M1281" s="19">
        <f t="shared" si="12"/>
        <v>658.5333333</v>
      </c>
      <c r="N1281" s="19">
        <f t="shared" si="13"/>
        <v>591.0333333</v>
      </c>
    </row>
    <row r="1282" ht="24.75" customHeight="1">
      <c r="A1282" s="21" t="s">
        <v>1245</v>
      </c>
      <c r="B1282" s="13">
        <f>IFERROR(__xludf.DUMMYFUNCTION("GOOGLEFINANCE(A1282,""PRICE"")"),2.5)</f>
        <v>2.5</v>
      </c>
      <c r="C1282" s="14">
        <f>IFERROR(__xludf.DUMMYFUNCTION("GOOGLEFINANCE(A1282,""PRICEOPEN"")"),2.47)</f>
        <v>2.47</v>
      </c>
      <c r="D1282" s="14">
        <f>IFERROR(__xludf.DUMMYFUNCTION("GOOGLEFINANCE(A1282,""HIGH"")"),2.51)</f>
        <v>2.51</v>
      </c>
      <c r="E1282" s="14">
        <f>IFERROR(__xludf.DUMMYFUNCTION("GOOGLEFINANCE(A1282,""LOW"")"),2.47)</f>
        <v>2.47</v>
      </c>
      <c r="F1282" s="15" t="str">
        <f t="shared" si="8"/>
        <v>BUY</v>
      </c>
      <c r="G1282" s="16">
        <f>IFERROR(__xludf.DUMMYFUNCTION("GOOGLEFINANCE(A1282,""CLOSEYEST"")"),2.47)</f>
        <v>2.47</v>
      </c>
      <c r="H1282" s="17" t="str">
        <f t="shared" si="14"/>
        <v/>
      </c>
      <c r="I1282" s="18">
        <f t="shared" si="9"/>
        <v>2.483333333</v>
      </c>
      <c r="J1282" s="19">
        <f t="shared" si="10"/>
        <v>2.496666667</v>
      </c>
      <c r="K1282" s="19"/>
      <c r="L1282" s="19">
        <f t="shared" si="11"/>
        <v>2.456666667</v>
      </c>
      <c r="M1282" s="19">
        <f t="shared" si="12"/>
        <v>2.523333333</v>
      </c>
      <c r="N1282" s="19">
        <f t="shared" si="13"/>
        <v>2.443333333</v>
      </c>
    </row>
    <row r="1283" ht="24.75" customHeight="1">
      <c r="A1283" s="21" t="s">
        <v>1246</v>
      </c>
      <c r="B1283" s="13">
        <f>IFERROR(__xludf.DUMMYFUNCTION("GOOGLEFINANCE(A1283,""PRICE"")"),636.0)</f>
        <v>636</v>
      </c>
      <c r="C1283" s="14">
        <f>IFERROR(__xludf.DUMMYFUNCTION("GOOGLEFINANCE(A1283,""PRICEOPEN"")"),623.0)</f>
        <v>623</v>
      </c>
      <c r="D1283" s="14">
        <f>IFERROR(__xludf.DUMMYFUNCTION("GOOGLEFINANCE(A1283,""HIGH"")"),680.0)</f>
        <v>680</v>
      </c>
      <c r="E1283" s="14">
        <f>IFERROR(__xludf.DUMMYFUNCTION("GOOGLEFINANCE(A1283,""LOW"")"),621.4)</f>
        <v>621.4</v>
      </c>
      <c r="F1283" s="15" t="str">
        <f t="shared" si="8"/>
        <v/>
      </c>
      <c r="G1283" s="16">
        <f>IFERROR(__xludf.DUMMYFUNCTION("GOOGLEFINANCE(A1283,""CLOSEYEST"")"),626.2)</f>
        <v>626.2</v>
      </c>
      <c r="H1283" s="17" t="str">
        <f t="shared" si="14"/>
        <v/>
      </c>
      <c r="I1283" s="18">
        <f t="shared" si="9"/>
        <v>642.5333333</v>
      </c>
      <c r="J1283" s="19">
        <f t="shared" si="10"/>
        <v>663.6666667</v>
      </c>
      <c r="K1283" s="19"/>
      <c r="L1283" s="19">
        <f t="shared" si="11"/>
        <v>605.0666667</v>
      </c>
      <c r="M1283" s="19">
        <f t="shared" si="12"/>
        <v>701.1333333</v>
      </c>
      <c r="N1283" s="19">
        <f t="shared" si="13"/>
        <v>583.9333333</v>
      </c>
    </row>
    <row r="1284" ht="24.75" customHeight="1">
      <c r="A1284" s="21" t="s">
        <v>1247</v>
      </c>
      <c r="B1284" s="13">
        <f>IFERROR(__xludf.DUMMYFUNCTION("GOOGLEFINANCE(A1284,""PRICE"")"),275.2)</f>
        <v>275.2</v>
      </c>
      <c r="C1284" s="14">
        <f>IFERROR(__xludf.DUMMYFUNCTION("GOOGLEFINANCE(A1284,""PRICEOPEN"")"),271.4)</f>
        <v>271.4</v>
      </c>
      <c r="D1284" s="14">
        <f>IFERROR(__xludf.DUMMYFUNCTION("GOOGLEFINANCE(A1284,""HIGH"")"),280.0)</f>
        <v>280</v>
      </c>
      <c r="E1284" s="14">
        <f>IFERROR(__xludf.DUMMYFUNCTION("GOOGLEFINANCE(A1284,""LOW"")"),267.8)</f>
        <v>267.8</v>
      </c>
      <c r="F1284" s="15" t="str">
        <f t="shared" si="8"/>
        <v/>
      </c>
      <c r="G1284" s="16">
        <f>IFERROR(__xludf.DUMMYFUNCTION("GOOGLEFINANCE(A1284,""CLOSEYEST"")"),269.95)</f>
        <v>269.95</v>
      </c>
      <c r="H1284" s="17" t="str">
        <f t="shared" si="14"/>
        <v/>
      </c>
      <c r="I1284" s="18">
        <f t="shared" si="9"/>
        <v>272.5833333</v>
      </c>
      <c r="J1284" s="19">
        <f t="shared" si="10"/>
        <v>277.3666667</v>
      </c>
      <c r="K1284" s="19"/>
      <c r="L1284" s="19">
        <f t="shared" si="11"/>
        <v>265.1666667</v>
      </c>
      <c r="M1284" s="19">
        <f t="shared" si="12"/>
        <v>284.7833333</v>
      </c>
      <c r="N1284" s="19">
        <f t="shared" si="13"/>
        <v>260.3833333</v>
      </c>
    </row>
    <row r="1285" ht="24.75" customHeight="1">
      <c r="A1285" s="21" t="s">
        <v>1248</v>
      </c>
      <c r="B1285" s="13">
        <f>IFERROR(__xludf.DUMMYFUNCTION("GOOGLEFINANCE(A1285,""PRICE"")"),277.0)</f>
        <v>277</v>
      </c>
      <c r="C1285" s="14">
        <f>IFERROR(__xludf.DUMMYFUNCTION("GOOGLEFINANCE(A1285,""PRICEOPEN"")"),270.75)</f>
        <v>270.75</v>
      </c>
      <c r="D1285" s="14">
        <f>IFERROR(__xludf.DUMMYFUNCTION("GOOGLEFINANCE(A1285,""HIGH"")"),277.35)</f>
        <v>277.35</v>
      </c>
      <c r="E1285" s="14">
        <f>IFERROR(__xludf.DUMMYFUNCTION("GOOGLEFINANCE(A1285,""LOW"")"),267.65)</f>
        <v>267.65</v>
      </c>
      <c r="F1285" s="15" t="str">
        <f t="shared" si="8"/>
        <v/>
      </c>
      <c r="G1285" s="16">
        <f>IFERROR(__xludf.DUMMYFUNCTION("GOOGLEFINANCE(A1285,""CLOSEYEST"")"),270.7)</f>
        <v>270.7</v>
      </c>
      <c r="H1285" s="17" t="str">
        <f t="shared" si="14"/>
        <v/>
      </c>
      <c r="I1285" s="18">
        <f t="shared" si="9"/>
        <v>271.9</v>
      </c>
      <c r="J1285" s="19">
        <f t="shared" si="10"/>
        <v>276.15</v>
      </c>
      <c r="K1285" s="19"/>
      <c r="L1285" s="19">
        <f t="shared" si="11"/>
        <v>266.45</v>
      </c>
      <c r="M1285" s="19">
        <f t="shared" si="12"/>
        <v>281.6</v>
      </c>
      <c r="N1285" s="19">
        <f t="shared" si="13"/>
        <v>262.2</v>
      </c>
    </row>
    <row r="1286" ht="24.75" customHeight="1">
      <c r="A1286" s="21" t="s">
        <v>1249</v>
      </c>
      <c r="B1286" s="13">
        <f>IFERROR(__xludf.DUMMYFUNCTION("GOOGLEFINANCE(A1286,""PRICE"")"),10.37)</f>
        <v>10.37</v>
      </c>
      <c r="C1286" s="14">
        <f>IFERROR(__xludf.DUMMYFUNCTION("GOOGLEFINANCE(A1286,""PRICEOPEN"")"),10.14)</f>
        <v>10.14</v>
      </c>
      <c r="D1286" s="14">
        <f>IFERROR(__xludf.DUMMYFUNCTION("GOOGLEFINANCE(A1286,""HIGH"")"),10.4)</f>
        <v>10.4</v>
      </c>
      <c r="E1286" s="14">
        <f>IFERROR(__xludf.DUMMYFUNCTION("GOOGLEFINANCE(A1286,""LOW"")"),10.09)</f>
        <v>10.09</v>
      </c>
      <c r="F1286" s="15" t="str">
        <f t="shared" si="8"/>
        <v/>
      </c>
      <c r="G1286" s="16">
        <f>IFERROR(__xludf.DUMMYFUNCTION("GOOGLEFINANCE(A1286,""CLOSEYEST"")"),10.11)</f>
        <v>10.11</v>
      </c>
      <c r="H1286" s="17" t="str">
        <f t="shared" si="14"/>
        <v/>
      </c>
      <c r="I1286" s="18">
        <f t="shared" si="9"/>
        <v>10.2</v>
      </c>
      <c r="J1286" s="19">
        <f t="shared" si="10"/>
        <v>10.31</v>
      </c>
      <c r="K1286" s="19"/>
      <c r="L1286" s="19">
        <f t="shared" si="11"/>
        <v>10</v>
      </c>
      <c r="M1286" s="19">
        <f t="shared" si="12"/>
        <v>10.51</v>
      </c>
      <c r="N1286" s="19">
        <f t="shared" si="13"/>
        <v>9.89</v>
      </c>
    </row>
    <row r="1287" ht="24.75" customHeight="1">
      <c r="A1287" s="21" t="s">
        <v>1250</v>
      </c>
      <c r="B1287" s="13">
        <f>IFERROR(__xludf.DUMMYFUNCTION("GOOGLEFINANCE(A1287,""PRICE"")"),17.98)</f>
        <v>17.98</v>
      </c>
      <c r="C1287" s="14">
        <f>IFERROR(__xludf.DUMMYFUNCTION("GOOGLEFINANCE(A1287,""PRICEOPEN"")"),17.24)</f>
        <v>17.24</v>
      </c>
      <c r="D1287" s="14">
        <f>IFERROR(__xludf.DUMMYFUNCTION("GOOGLEFINANCE(A1287,""HIGH"")"),18.1)</f>
        <v>18.1</v>
      </c>
      <c r="E1287" s="14">
        <f>IFERROR(__xludf.DUMMYFUNCTION("GOOGLEFINANCE(A1287,""LOW"")"),16.98)</f>
        <v>16.98</v>
      </c>
      <c r="F1287" s="15" t="str">
        <f t="shared" si="8"/>
        <v/>
      </c>
      <c r="G1287" s="16">
        <f>IFERROR(__xludf.DUMMYFUNCTION("GOOGLEFINANCE(A1287,""CLOSEYEST"")"),17.1)</f>
        <v>17.1</v>
      </c>
      <c r="H1287" s="17" t="str">
        <f t="shared" si="14"/>
        <v/>
      </c>
      <c r="I1287" s="18">
        <f t="shared" si="9"/>
        <v>17.39333333</v>
      </c>
      <c r="J1287" s="19">
        <f t="shared" si="10"/>
        <v>17.80666667</v>
      </c>
      <c r="K1287" s="19"/>
      <c r="L1287" s="19">
        <f t="shared" si="11"/>
        <v>16.68666667</v>
      </c>
      <c r="M1287" s="19">
        <f t="shared" si="12"/>
        <v>18.51333333</v>
      </c>
      <c r="N1287" s="19">
        <f t="shared" si="13"/>
        <v>16.27333333</v>
      </c>
    </row>
    <row r="1288" ht="24.75" customHeight="1">
      <c r="A1288" s="21" t="s">
        <v>1251</v>
      </c>
      <c r="B1288" s="13">
        <f>IFERROR(__xludf.DUMMYFUNCTION("GOOGLEFINANCE(A1288,""PRICE"")"),17.76)</f>
        <v>17.76</v>
      </c>
      <c r="C1288" s="14">
        <f>IFERROR(__xludf.DUMMYFUNCTION("GOOGLEFINANCE(A1288,""PRICEOPEN"")"),17.44)</f>
        <v>17.44</v>
      </c>
      <c r="D1288" s="14">
        <f>IFERROR(__xludf.DUMMYFUNCTION("GOOGLEFINANCE(A1288,""HIGH"")"),17.89)</f>
        <v>17.89</v>
      </c>
      <c r="E1288" s="14">
        <f>IFERROR(__xludf.DUMMYFUNCTION("GOOGLEFINANCE(A1288,""LOW"")"),17.41)</f>
        <v>17.41</v>
      </c>
      <c r="F1288" s="15" t="str">
        <f t="shared" si="8"/>
        <v/>
      </c>
      <c r="G1288" s="16">
        <f>IFERROR(__xludf.DUMMYFUNCTION("GOOGLEFINANCE(A1288,""CLOSEYEST"")"),17.28)</f>
        <v>17.28</v>
      </c>
      <c r="H1288" s="17" t="str">
        <f t="shared" si="14"/>
        <v/>
      </c>
      <c r="I1288" s="18">
        <f t="shared" si="9"/>
        <v>17.52666667</v>
      </c>
      <c r="J1288" s="19">
        <f t="shared" si="10"/>
        <v>17.64333333</v>
      </c>
      <c r="K1288" s="19"/>
      <c r="L1288" s="19">
        <f t="shared" si="11"/>
        <v>17.16333333</v>
      </c>
      <c r="M1288" s="19">
        <f t="shared" si="12"/>
        <v>18.00666667</v>
      </c>
      <c r="N1288" s="19">
        <f t="shared" si="13"/>
        <v>17.04666667</v>
      </c>
    </row>
    <row r="1289" ht="24.75" customHeight="1">
      <c r="A1289" s="21" t="s">
        <v>1252</v>
      </c>
      <c r="B1289" s="13" t="str">
        <f>IFERROR(__xludf.DUMMYFUNCTION("GOOGLEFINANCE(A1289,""PRICE"")"),"#N/A")</f>
        <v>#N/A</v>
      </c>
      <c r="C1289" s="14" t="str">
        <f>IFERROR(__xludf.DUMMYFUNCTION("GOOGLEFINANCE(A1289,""PRICEOPEN"")"),"#N/A")</f>
        <v>#N/A</v>
      </c>
      <c r="D1289" s="14" t="str">
        <f>IFERROR(__xludf.DUMMYFUNCTION("GOOGLEFINANCE(A1289,""HIGH"")"),"#N/A")</f>
        <v>#N/A</v>
      </c>
      <c r="E1289" s="14" t="str">
        <f>IFERROR(__xludf.DUMMYFUNCTION("GOOGLEFINANCE(A1289,""LOW"")"),"#N/A")</f>
        <v>#N/A</v>
      </c>
      <c r="F1289" s="15" t="str">
        <f t="shared" si="8"/>
        <v>#N/A</v>
      </c>
      <c r="G1289" s="16" t="str">
        <f>IFERROR(__xludf.DUMMYFUNCTION("GOOGLEFINANCE(A1289,""CLOSEYEST"")"),"#N/A")</f>
        <v>#N/A</v>
      </c>
      <c r="H1289" s="17" t="str">
        <f t="shared" si="14"/>
        <v>#N/A</v>
      </c>
      <c r="I1289" s="18" t="str">
        <f t="shared" si="9"/>
        <v>#N/A</v>
      </c>
      <c r="J1289" s="19" t="str">
        <f t="shared" si="10"/>
        <v>#N/A</v>
      </c>
      <c r="K1289" s="19"/>
      <c r="L1289" s="19" t="str">
        <f t="shared" si="11"/>
        <v>#N/A</v>
      </c>
      <c r="M1289" s="19" t="str">
        <f t="shared" si="12"/>
        <v>#N/A</v>
      </c>
      <c r="N1289" s="19" t="str">
        <f t="shared" si="13"/>
        <v>#N/A</v>
      </c>
    </row>
    <row r="1290" ht="24.75" customHeight="1">
      <c r="A1290" s="21" t="s">
        <v>1253</v>
      </c>
      <c r="B1290" s="13">
        <f>IFERROR(__xludf.DUMMYFUNCTION("GOOGLEFINANCE(A1290,""PRICE"")"),442.95)</f>
        <v>442.95</v>
      </c>
      <c r="C1290" s="14">
        <f>IFERROR(__xludf.DUMMYFUNCTION("GOOGLEFINANCE(A1290,""PRICEOPEN"")"),444.0)</f>
        <v>444</v>
      </c>
      <c r="D1290" s="14">
        <f>IFERROR(__xludf.DUMMYFUNCTION("GOOGLEFINANCE(A1290,""HIGH"")"),444.95)</f>
        <v>444.95</v>
      </c>
      <c r="E1290" s="14">
        <f>IFERROR(__xludf.DUMMYFUNCTION("GOOGLEFINANCE(A1290,""LOW"")"),439.0)</f>
        <v>439</v>
      </c>
      <c r="F1290" s="15" t="str">
        <f t="shared" si="8"/>
        <v/>
      </c>
      <c r="G1290" s="16">
        <f>IFERROR(__xludf.DUMMYFUNCTION("GOOGLEFINANCE(A1290,""CLOSEYEST"")"),443.1)</f>
        <v>443.1</v>
      </c>
      <c r="H1290" s="17" t="str">
        <f t="shared" si="14"/>
        <v/>
      </c>
      <c r="I1290" s="18">
        <f t="shared" si="9"/>
        <v>442.35</v>
      </c>
      <c r="J1290" s="19">
        <f t="shared" si="10"/>
        <v>445.7</v>
      </c>
      <c r="K1290" s="19"/>
      <c r="L1290" s="19">
        <f t="shared" si="11"/>
        <v>439.75</v>
      </c>
      <c r="M1290" s="19">
        <f t="shared" si="12"/>
        <v>448.3</v>
      </c>
      <c r="N1290" s="19">
        <f t="shared" si="13"/>
        <v>436.4</v>
      </c>
    </row>
    <row r="1291" ht="24.75" customHeight="1">
      <c r="A1291" s="21" t="s">
        <v>1254</v>
      </c>
      <c r="B1291" s="13">
        <f>IFERROR(__xludf.DUMMYFUNCTION("GOOGLEFINANCE(A1291,""PRICE"")"),32.0)</f>
        <v>32</v>
      </c>
      <c r="C1291" s="14">
        <f>IFERROR(__xludf.DUMMYFUNCTION("GOOGLEFINANCE(A1291,""PRICEOPEN"")"),32.46)</f>
        <v>32.46</v>
      </c>
      <c r="D1291" s="14">
        <f>IFERROR(__xludf.DUMMYFUNCTION("GOOGLEFINANCE(A1291,""HIGH"")"),32.46)</f>
        <v>32.46</v>
      </c>
      <c r="E1291" s="14">
        <f>IFERROR(__xludf.DUMMYFUNCTION("GOOGLEFINANCE(A1291,""LOW"")"),31.0)</f>
        <v>31</v>
      </c>
      <c r="F1291" s="15" t="str">
        <f t="shared" si="8"/>
        <v>SELL</v>
      </c>
      <c r="G1291" s="16">
        <f>IFERROR(__xludf.DUMMYFUNCTION("GOOGLEFINANCE(A1291,""CLOSEYEST"")"),31.34)</f>
        <v>31.34</v>
      </c>
      <c r="H1291" s="17" t="str">
        <f t="shared" si="14"/>
        <v>GAP UP</v>
      </c>
      <c r="I1291" s="18">
        <f t="shared" si="9"/>
        <v>31.6</v>
      </c>
      <c r="J1291" s="19">
        <f t="shared" si="10"/>
        <v>32.2</v>
      </c>
      <c r="K1291" s="19"/>
      <c r="L1291" s="19">
        <f t="shared" si="11"/>
        <v>30.74</v>
      </c>
      <c r="M1291" s="19">
        <f t="shared" si="12"/>
        <v>33.06</v>
      </c>
      <c r="N1291" s="19">
        <f t="shared" si="13"/>
        <v>30.14</v>
      </c>
    </row>
    <row r="1292" ht="24.75" customHeight="1">
      <c r="A1292" s="21" t="s">
        <v>1255</v>
      </c>
      <c r="B1292" s="13">
        <f>IFERROR(__xludf.DUMMYFUNCTION("GOOGLEFINANCE(A1292,""PRICE"")"),5.44)</f>
        <v>5.44</v>
      </c>
      <c r="C1292" s="14">
        <f>IFERROR(__xludf.DUMMYFUNCTION("GOOGLEFINANCE(A1292,""PRICEOPEN"")"),5.44)</f>
        <v>5.44</v>
      </c>
      <c r="D1292" s="14">
        <f>IFERROR(__xludf.DUMMYFUNCTION("GOOGLEFINANCE(A1292,""HIGH"")"),5.45)</f>
        <v>5.45</v>
      </c>
      <c r="E1292" s="14">
        <f>IFERROR(__xludf.DUMMYFUNCTION("GOOGLEFINANCE(A1292,""LOW"")"),5.36)</f>
        <v>5.36</v>
      </c>
      <c r="F1292" s="15" t="str">
        <f t="shared" si="8"/>
        <v/>
      </c>
      <c r="G1292" s="16">
        <f>IFERROR(__xludf.DUMMYFUNCTION("GOOGLEFINANCE(A1292,""CLOSEYEST"")"),5.42)</f>
        <v>5.42</v>
      </c>
      <c r="H1292" s="17" t="str">
        <f t="shared" si="14"/>
        <v/>
      </c>
      <c r="I1292" s="18">
        <f t="shared" si="9"/>
        <v>5.41</v>
      </c>
      <c r="J1292" s="19">
        <f t="shared" si="10"/>
        <v>5.46</v>
      </c>
      <c r="K1292" s="19"/>
      <c r="L1292" s="19">
        <f t="shared" si="11"/>
        <v>5.37</v>
      </c>
      <c r="M1292" s="19">
        <f t="shared" si="12"/>
        <v>5.5</v>
      </c>
      <c r="N1292" s="19">
        <f t="shared" si="13"/>
        <v>5.32</v>
      </c>
    </row>
    <row r="1293" ht="24.75" customHeight="1">
      <c r="A1293" s="21" t="s">
        <v>1256</v>
      </c>
      <c r="B1293" s="13">
        <f>IFERROR(__xludf.DUMMYFUNCTION("GOOGLEFINANCE(A1293,""PRICE"")"),162.21)</f>
        <v>162.21</v>
      </c>
      <c r="C1293" s="14">
        <f>IFERROR(__xludf.DUMMYFUNCTION("GOOGLEFINANCE(A1293,""PRICEOPEN"")"),160.0)</f>
        <v>160</v>
      </c>
      <c r="D1293" s="14">
        <f>IFERROR(__xludf.DUMMYFUNCTION("GOOGLEFINANCE(A1293,""HIGH"")"),164.4)</f>
        <v>164.4</v>
      </c>
      <c r="E1293" s="14">
        <f>IFERROR(__xludf.DUMMYFUNCTION("GOOGLEFINANCE(A1293,""LOW"")"),160.0)</f>
        <v>160</v>
      </c>
      <c r="F1293" s="15" t="str">
        <f t="shared" si="8"/>
        <v>BUY</v>
      </c>
      <c r="G1293" s="16">
        <f>IFERROR(__xludf.DUMMYFUNCTION("GOOGLEFINANCE(A1293,""CLOSEYEST"")"),161.33)</f>
        <v>161.33</v>
      </c>
      <c r="H1293" s="17" t="str">
        <f t="shared" si="14"/>
        <v/>
      </c>
      <c r="I1293" s="18">
        <f t="shared" si="9"/>
        <v>161.91</v>
      </c>
      <c r="J1293" s="19">
        <f t="shared" si="10"/>
        <v>163.82</v>
      </c>
      <c r="K1293" s="19"/>
      <c r="L1293" s="19">
        <f t="shared" si="11"/>
        <v>159.42</v>
      </c>
      <c r="M1293" s="19">
        <f t="shared" si="12"/>
        <v>166.31</v>
      </c>
      <c r="N1293" s="19">
        <f t="shared" si="13"/>
        <v>157.51</v>
      </c>
    </row>
    <row r="1294" ht="24.75" customHeight="1">
      <c r="A1294" s="21" t="s">
        <v>1257</v>
      </c>
      <c r="B1294" s="13">
        <f>IFERROR(__xludf.DUMMYFUNCTION("GOOGLEFINANCE(A1294,""PRICE"")"),113.2)</f>
        <v>113.2</v>
      </c>
      <c r="C1294" s="14">
        <f>IFERROR(__xludf.DUMMYFUNCTION("GOOGLEFINANCE(A1294,""PRICEOPEN"")"),114.85)</f>
        <v>114.85</v>
      </c>
      <c r="D1294" s="14">
        <f>IFERROR(__xludf.DUMMYFUNCTION("GOOGLEFINANCE(A1294,""HIGH"")"),114.85)</f>
        <v>114.85</v>
      </c>
      <c r="E1294" s="14">
        <f>IFERROR(__xludf.DUMMYFUNCTION("GOOGLEFINANCE(A1294,""LOW"")"),111.61)</f>
        <v>111.61</v>
      </c>
      <c r="F1294" s="15" t="str">
        <f t="shared" si="8"/>
        <v>SELL</v>
      </c>
      <c r="G1294" s="16">
        <f>IFERROR(__xludf.DUMMYFUNCTION("GOOGLEFINANCE(A1294,""CLOSEYEST"")"),111.39)</f>
        <v>111.39</v>
      </c>
      <c r="H1294" s="17" t="str">
        <f t="shared" si="14"/>
        <v>GAP UP</v>
      </c>
      <c r="I1294" s="18">
        <f t="shared" si="9"/>
        <v>112.6166667</v>
      </c>
      <c r="J1294" s="19">
        <f t="shared" si="10"/>
        <v>113.6233333</v>
      </c>
      <c r="K1294" s="19"/>
      <c r="L1294" s="19">
        <f t="shared" si="11"/>
        <v>110.3833333</v>
      </c>
      <c r="M1294" s="19">
        <f t="shared" si="12"/>
        <v>115.8566667</v>
      </c>
      <c r="N1294" s="19">
        <f t="shared" si="13"/>
        <v>109.3766667</v>
      </c>
    </row>
    <row r="1295" ht="24.75" customHeight="1">
      <c r="A1295" s="21" t="s">
        <v>1258</v>
      </c>
      <c r="B1295" s="13">
        <f>IFERROR(__xludf.DUMMYFUNCTION("GOOGLEFINANCE(A1295,""PRICE"")"),80.1)</f>
        <v>80.1</v>
      </c>
      <c r="C1295" s="14">
        <f>IFERROR(__xludf.DUMMYFUNCTION("GOOGLEFINANCE(A1295,""PRICEOPEN"")"),81.81)</f>
        <v>81.81</v>
      </c>
      <c r="D1295" s="14">
        <f>IFERROR(__xludf.DUMMYFUNCTION("GOOGLEFINANCE(A1295,""HIGH"")"),82.7)</f>
        <v>82.7</v>
      </c>
      <c r="E1295" s="14">
        <f>IFERROR(__xludf.DUMMYFUNCTION("GOOGLEFINANCE(A1295,""LOW"")"),79.37)</f>
        <v>79.37</v>
      </c>
      <c r="F1295" s="15" t="str">
        <f t="shared" si="8"/>
        <v/>
      </c>
      <c r="G1295" s="16">
        <f>IFERROR(__xludf.DUMMYFUNCTION("GOOGLEFINANCE(A1295,""CLOSEYEST"")"),81.06)</f>
        <v>81.06</v>
      </c>
      <c r="H1295" s="17" t="str">
        <f t="shared" si="14"/>
        <v/>
      </c>
      <c r="I1295" s="18">
        <f t="shared" si="9"/>
        <v>81.04333333</v>
      </c>
      <c r="J1295" s="19">
        <f t="shared" si="10"/>
        <v>82.71666667</v>
      </c>
      <c r="K1295" s="19"/>
      <c r="L1295" s="19">
        <f t="shared" si="11"/>
        <v>79.38666667</v>
      </c>
      <c r="M1295" s="19">
        <f t="shared" si="12"/>
        <v>84.37333333</v>
      </c>
      <c r="N1295" s="19">
        <f t="shared" si="13"/>
        <v>77.71333333</v>
      </c>
    </row>
    <row r="1296" ht="24.75" customHeight="1">
      <c r="A1296" s="21" t="s">
        <v>1259</v>
      </c>
      <c r="B1296" s="13" t="str">
        <f>IFERROR(__xludf.DUMMYFUNCTION("GOOGLEFINANCE(A1296,""PRICE"")"),"#N/A")</f>
        <v>#N/A</v>
      </c>
      <c r="C1296" s="14" t="str">
        <f>IFERROR(__xludf.DUMMYFUNCTION("GOOGLEFINANCE(A1296,""PRICEOPEN"")"),"#N/A")</f>
        <v>#N/A</v>
      </c>
      <c r="D1296" s="14" t="str">
        <f>IFERROR(__xludf.DUMMYFUNCTION("GOOGLEFINANCE(A1296,""HIGH"")"),"#N/A")</f>
        <v>#N/A</v>
      </c>
      <c r="E1296" s="14" t="str">
        <f>IFERROR(__xludf.DUMMYFUNCTION("GOOGLEFINANCE(A1296,""LOW"")"),"#N/A")</f>
        <v>#N/A</v>
      </c>
      <c r="F1296" s="15" t="str">
        <f t="shared" si="8"/>
        <v>#N/A</v>
      </c>
      <c r="G1296" s="16" t="str">
        <f>IFERROR(__xludf.DUMMYFUNCTION("GOOGLEFINANCE(A1296,""CLOSEYEST"")"),"#N/A")</f>
        <v>#N/A</v>
      </c>
      <c r="H1296" s="17" t="str">
        <f t="shared" si="14"/>
        <v>#N/A</v>
      </c>
      <c r="I1296" s="18" t="str">
        <f t="shared" si="9"/>
        <v>#N/A</v>
      </c>
      <c r="J1296" s="19" t="str">
        <f t="shared" si="10"/>
        <v>#N/A</v>
      </c>
      <c r="K1296" s="19"/>
      <c r="L1296" s="19" t="str">
        <f t="shared" si="11"/>
        <v>#N/A</v>
      </c>
      <c r="M1296" s="19" t="str">
        <f t="shared" si="12"/>
        <v>#N/A</v>
      </c>
      <c r="N1296" s="19" t="str">
        <f t="shared" si="13"/>
        <v>#N/A</v>
      </c>
    </row>
    <row r="1297" ht="24.75" customHeight="1">
      <c r="A1297" s="21" t="s">
        <v>1260</v>
      </c>
      <c r="B1297" s="13">
        <f>IFERROR(__xludf.DUMMYFUNCTION("GOOGLEFINANCE(A1297,""PRICE"")"),222.6)</f>
        <v>222.6</v>
      </c>
      <c r="C1297" s="14">
        <f>IFERROR(__xludf.DUMMYFUNCTION("GOOGLEFINANCE(A1297,""PRICEOPEN"")"),213.0)</f>
        <v>213</v>
      </c>
      <c r="D1297" s="14">
        <f>IFERROR(__xludf.DUMMYFUNCTION("GOOGLEFINANCE(A1297,""HIGH"")"),222.62)</f>
        <v>222.62</v>
      </c>
      <c r="E1297" s="14">
        <f>IFERROR(__xludf.DUMMYFUNCTION("GOOGLEFINANCE(A1297,""LOW"")"),208.05)</f>
        <v>208.05</v>
      </c>
      <c r="F1297" s="15" t="str">
        <f t="shared" si="8"/>
        <v/>
      </c>
      <c r="G1297" s="16">
        <f>IFERROR(__xludf.DUMMYFUNCTION("GOOGLEFINANCE(A1297,""CLOSEYEST"")"),212.02)</f>
        <v>212.02</v>
      </c>
      <c r="H1297" s="17" t="str">
        <f t="shared" si="14"/>
        <v/>
      </c>
      <c r="I1297" s="18">
        <f t="shared" si="9"/>
        <v>214.23</v>
      </c>
      <c r="J1297" s="19">
        <f t="shared" si="10"/>
        <v>220.41</v>
      </c>
      <c r="K1297" s="19"/>
      <c r="L1297" s="19">
        <f t="shared" si="11"/>
        <v>205.84</v>
      </c>
      <c r="M1297" s="19">
        <f t="shared" si="12"/>
        <v>228.8</v>
      </c>
      <c r="N1297" s="19">
        <f t="shared" si="13"/>
        <v>199.66</v>
      </c>
    </row>
    <row r="1298" ht="24.75" customHeight="1">
      <c r="A1298" s="21" t="s">
        <v>1261</v>
      </c>
      <c r="B1298" s="13">
        <f>IFERROR(__xludf.DUMMYFUNCTION("GOOGLEFINANCE(A1298,""PRICE"")"),89.2)</f>
        <v>89.2</v>
      </c>
      <c r="C1298" s="14">
        <f>IFERROR(__xludf.DUMMYFUNCTION("GOOGLEFINANCE(A1298,""PRICEOPEN"")"),88.0)</f>
        <v>88</v>
      </c>
      <c r="D1298" s="14">
        <f>IFERROR(__xludf.DUMMYFUNCTION("GOOGLEFINANCE(A1298,""HIGH"")"),90.39)</f>
        <v>90.39</v>
      </c>
      <c r="E1298" s="14">
        <f>IFERROR(__xludf.DUMMYFUNCTION("GOOGLEFINANCE(A1298,""LOW"")"),88.0)</f>
        <v>88</v>
      </c>
      <c r="F1298" s="15" t="str">
        <f t="shared" si="8"/>
        <v>BUY</v>
      </c>
      <c r="G1298" s="16">
        <f>IFERROR(__xludf.DUMMYFUNCTION("GOOGLEFINANCE(A1298,""CLOSEYEST"")"),89.36)</f>
        <v>89.36</v>
      </c>
      <c r="H1298" s="17" t="str">
        <f t="shared" si="14"/>
        <v>GAP DOWN</v>
      </c>
      <c r="I1298" s="18">
        <f t="shared" si="9"/>
        <v>89.25</v>
      </c>
      <c r="J1298" s="19">
        <f t="shared" si="10"/>
        <v>90.5</v>
      </c>
      <c r="K1298" s="19"/>
      <c r="L1298" s="19">
        <f t="shared" si="11"/>
        <v>88.11</v>
      </c>
      <c r="M1298" s="19">
        <f t="shared" si="12"/>
        <v>91.64</v>
      </c>
      <c r="N1298" s="19">
        <f t="shared" si="13"/>
        <v>86.86</v>
      </c>
    </row>
    <row r="1299" ht="24.75" customHeight="1">
      <c r="A1299" s="21" t="s">
        <v>1262</v>
      </c>
      <c r="B1299" s="13">
        <f>IFERROR(__xludf.DUMMYFUNCTION("GOOGLEFINANCE(A1299,""PRICE"")"),3.0)</f>
        <v>3</v>
      </c>
      <c r="C1299" s="14">
        <f>IFERROR(__xludf.DUMMYFUNCTION("GOOGLEFINANCE(A1299,""PRICEOPEN"")"),2.95)</f>
        <v>2.95</v>
      </c>
      <c r="D1299" s="14">
        <f>IFERROR(__xludf.DUMMYFUNCTION("GOOGLEFINANCE(A1299,""HIGH"")"),3.05)</f>
        <v>3.05</v>
      </c>
      <c r="E1299" s="14">
        <f>IFERROR(__xludf.DUMMYFUNCTION("GOOGLEFINANCE(A1299,""LOW"")"),2.93)</f>
        <v>2.93</v>
      </c>
      <c r="F1299" s="15" t="str">
        <f t="shared" si="8"/>
        <v/>
      </c>
      <c r="G1299" s="16">
        <f>IFERROR(__xludf.DUMMYFUNCTION("GOOGLEFINANCE(A1299,""CLOSEYEST"")"),2.95)</f>
        <v>2.95</v>
      </c>
      <c r="H1299" s="17" t="str">
        <f t="shared" si="14"/>
        <v/>
      </c>
      <c r="I1299" s="18">
        <f t="shared" si="9"/>
        <v>2.976666667</v>
      </c>
      <c r="J1299" s="19">
        <f t="shared" si="10"/>
        <v>3.023333333</v>
      </c>
      <c r="K1299" s="19"/>
      <c r="L1299" s="19">
        <f t="shared" si="11"/>
        <v>2.903333333</v>
      </c>
      <c r="M1299" s="19">
        <f t="shared" si="12"/>
        <v>3.096666667</v>
      </c>
      <c r="N1299" s="19">
        <f t="shared" si="13"/>
        <v>2.856666667</v>
      </c>
    </row>
    <row r="1300" ht="24.75" customHeight="1">
      <c r="A1300" s="21" t="s">
        <v>1263</v>
      </c>
      <c r="B1300" s="13">
        <f>IFERROR(__xludf.DUMMYFUNCTION("GOOGLEFINANCE(A1300,""PRICE"")"),31.7)</f>
        <v>31.7</v>
      </c>
      <c r="C1300" s="14">
        <f>IFERROR(__xludf.DUMMYFUNCTION("GOOGLEFINANCE(A1300,""PRICEOPEN"")"),31.65)</f>
        <v>31.65</v>
      </c>
      <c r="D1300" s="14">
        <f>IFERROR(__xludf.DUMMYFUNCTION("GOOGLEFINANCE(A1300,""HIGH"")"),31.7)</f>
        <v>31.7</v>
      </c>
      <c r="E1300" s="14">
        <f>IFERROR(__xludf.DUMMYFUNCTION("GOOGLEFINANCE(A1300,""LOW"")"),31.0)</f>
        <v>31</v>
      </c>
      <c r="F1300" s="15" t="str">
        <f t="shared" si="8"/>
        <v/>
      </c>
      <c r="G1300" s="16">
        <f>IFERROR(__xludf.DUMMYFUNCTION("GOOGLEFINANCE(A1300,""CLOSEYEST"")"),31.13)</f>
        <v>31.13</v>
      </c>
      <c r="H1300" s="17" t="str">
        <f t="shared" si="14"/>
        <v>GAP UP</v>
      </c>
      <c r="I1300" s="18">
        <f t="shared" si="9"/>
        <v>31.27666667</v>
      </c>
      <c r="J1300" s="19">
        <f t="shared" si="10"/>
        <v>31.55333333</v>
      </c>
      <c r="K1300" s="19"/>
      <c r="L1300" s="19">
        <f t="shared" si="11"/>
        <v>30.85333333</v>
      </c>
      <c r="M1300" s="19">
        <f t="shared" si="12"/>
        <v>31.97666667</v>
      </c>
      <c r="N1300" s="19">
        <f t="shared" si="13"/>
        <v>30.57666667</v>
      </c>
    </row>
    <row r="1301" ht="24.75" customHeight="1">
      <c r="A1301" s="21" t="s">
        <v>1264</v>
      </c>
      <c r="B1301" s="13">
        <f>IFERROR(__xludf.DUMMYFUNCTION("GOOGLEFINANCE(A1301,""PRICE"")"),4.66)</f>
        <v>4.66</v>
      </c>
      <c r="C1301" s="14">
        <f>IFERROR(__xludf.DUMMYFUNCTION("GOOGLEFINANCE(A1301,""PRICEOPEN"")"),4.6)</f>
        <v>4.6</v>
      </c>
      <c r="D1301" s="14">
        <f>IFERROR(__xludf.DUMMYFUNCTION("GOOGLEFINANCE(A1301,""HIGH"")"),4.84)</f>
        <v>4.84</v>
      </c>
      <c r="E1301" s="14">
        <f>IFERROR(__xludf.DUMMYFUNCTION("GOOGLEFINANCE(A1301,""LOW"")"),4.6)</f>
        <v>4.6</v>
      </c>
      <c r="F1301" s="15" t="str">
        <f t="shared" si="8"/>
        <v>BUY</v>
      </c>
      <c r="G1301" s="16">
        <f>IFERROR(__xludf.DUMMYFUNCTION("GOOGLEFINANCE(A1301,""CLOSEYEST"")"),4.57)</f>
        <v>4.57</v>
      </c>
      <c r="H1301" s="17" t="str">
        <f t="shared" si="14"/>
        <v/>
      </c>
      <c r="I1301" s="18">
        <f t="shared" si="9"/>
        <v>4.67</v>
      </c>
      <c r="J1301" s="19">
        <f t="shared" si="10"/>
        <v>4.74</v>
      </c>
      <c r="K1301" s="19"/>
      <c r="L1301" s="19">
        <f t="shared" si="11"/>
        <v>4.5</v>
      </c>
      <c r="M1301" s="19">
        <f t="shared" si="12"/>
        <v>4.91</v>
      </c>
      <c r="N1301" s="19">
        <f t="shared" si="13"/>
        <v>4.43</v>
      </c>
    </row>
    <row r="1302" ht="24.75" customHeight="1">
      <c r="A1302" s="21" t="s">
        <v>1265</v>
      </c>
      <c r="B1302" s="13">
        <f>IFERROR(__xludf.DUMMYFUNCTION("GOOGLEFINANCE(A1302,""PRICE"")"),109.1)</f>
        <v>109.1</v>
      </c>
      <c r="C1302" s="14">
        <f>IFERROR(__xludf.DUMMYFUNCTION("GOOGLEFINANCE(A1302,""PRICEOPEN"")"),110.9)</f>
        <v>110.9</v>
      </c>
      <c r="D1302" s="14">
        <f>IFERROR(__xludf.DUMMYFUNCTION("GOOGLEFINANCE(A1302,""HIGH"")"),110.9)</f>
        <v>110.9</v>
      </c>
      <c r="E1302" s="14">
        <f>IFERROR(__xludf.DUMMYFUNCTION("GOOGLEFINANCE(A1302,""LOW"")"),108.44)</f>
        <v>108.44</v>
      </c>
      <c r="F1302" s="15" t="str">
        <f t="shared" si="8"/>
        <v>SELL</v>
      </c>
      <c r="G1302" s="16">
        <f>IFERROR(__xludf.DUMMYFUNCTION("GOOGLEFINANCE(A1302,""CLOSEYEST"")"),108.68)</f>
        <v>108.68</v>
      </c>
      <c r="H1302" s="17" t="str">
        <f t="shared" si="14"/>
        <v>GAP UP</v>
      </c>
      <c r="I1302" s="18">
        <f t="shared" si="9"/>
        <v>109.34</v>
      </c>
      <c r="J1302" s="19">
        <f t="shared" si="10"/>
        <v>110.24</v>
      </c>
      <c r="K1302" s="19"/>
      <c r="L1302" s="19">
        <f t="shared" si="11"/>
        <v>107.78</v>
      </c>
      <c r="M1302" s="19">
        <f t="shared" si="12"/>
        <v>111.8</v>
      </c>
      <c r="N1302" s="19">
        <f t="shared" si="13"/>
        <v>106.88</v>
      </c>
    </row>
    <row r="1303" ht="24.75" customHeight="1">
      <c r="A1303" s="21" t="s">
        <v>1266</v>
      </c>
      <c r="B1303" s="13">
        <f>IFERROR(__xludf.DUMMYFUNCTION("GOOGLEFINANCE(A1303,""PRICE"")"),181.16)</f>
        <v>181.16</v>
      </c>
      <c r="C1303" s="14">
        <f>IFERROR(__xludf.DUMMYFUNCTION("GOOGLEFINANCE(A1303,""PRICEOPEN"")"),185.01)</f>
        <v>185.01</v>
      </c>
      <c r="D1303" s="14">
        <f>IFERROR(__xludf.DUMMYFUNCTION("GOOGLEFINANCE(A1303,""HIGH"")"),187.3)</f>
        <v>187.3</v>
      </c>
      <c r="E1303" s="14">
        <f>IFERROR(__xludf.DUMMYFUNCTION("GOOGLEFINANCE(A1303,""LOW"")"),181.15)</f>
        <v>181.15</v>
      </c>
      <c r="F1303" s="15" t="str">
        <f t="shared" si="8"/>
        <v/>
      </c>
      <c r="G1303" s="16">
        <f>IFERROR(__xludf.DUMMYFUNCTION("GOOGLEFINANCE(A1303,""CLOSEYEST"")"),184.93)</f>
        <v>184.93</v>
      </c>
      <c r="H1303" s="17" t="str">
        <f t="shared" si="14"/>
        <v/>
      </c>
      <c r="I1303" s="18">
        <f t="shared" si="9"/>
        <v>184.46</v>
      </c>
      <c r="J1303" s="19">
        <f t="shared" si="10"/>
        <v>187.77</v>
      </c>
      <c r="K1303" s="19"/>
      <c r="L1303" s="19">
        <f t="shared" si="11"/>
        <v>181.62</v>
      </c>
      <c r="M1303" s="19">
        <f t="shared" si="12"/>
        <v>190.61</v>
      </c>
      <c r="N1303" s="19">
        <f t="shared" si="13"/>
        <v>178.31</v>
      </c>
    </row>
    <row r="1304" ht="24.75" customHeight="1">
      <c r="A1304" s="21" t="s">
        <v>1267</v>
      </c>
      <c r="B1304" s="13">
        <f>IFERROR(__xludf.DUMMYFUNCTION("GOOGLEFINANCE(A1304,""PRICE"")"),92.25)</f>
        <v>92.25</v>
      </c>
      <c r="C1304" s="14">
        <f>IFERROR(__xludf.DUMMYFUNCTION("GOOGLEFINANCE(A1304,""PRICEOPEN"")"),93.0)</f>
        <v>93</v>
      </c>
      <c r="D1304" s="14">
        <f>IFERROR(__xludf.DUMMYFUNCTION("GOOGLEFINANCE(A1304,""HIGH"")"),94.88)</f>
        <v>94.88</v>
      </c>
      <c r="E1304" s="14">
        <f>IFERROR(__xludf.DUMMYFUNCTION("GOOGLEFINANCE(A1304,""LOW"")"),90.11)</f>
        <v>90.11</v>
      </c>
      <c r="F1304" s="15" t="str">
        <f t="shared" si="8"/>
        <v/>
      </c>
      <c r="G1304" s="16">
        <f>IFERROR(__xludf.DUMMYFUNCTION("GOOGLEFINANCE(A1304,""CLOSEYEST"")"),93.14)</f>
        <v>93.14</v>
      </c>
      <c r="H1304" s="17" t="str">
        <f t="shared" si="14"/>
        <v/>
      </c>
      <c r="I1304" s="18">
        <f t="shared" si="9"/>
        <v>92.71</v>
      </c>
      <c r="J1304" s="19">
        <f t="shared" si="10"/>
        <v>95.31</v>
      </c>
      <c r="K1304" s="19"/>
      <c r="L1304" s="19">
        <f t="shared" si="11"/>
        <v>90.54</v>
      </c>
      <c r="M1304" s="19">
        <f t="shared" si="12"/>
        <v>97.48</v>
      </c>
      <c r="N1304" s="19">
        <f t="shared" si="13"/>
        <v>87.94</v>
      </c>
    </row>
    <row r="1305" ht="24.75" customHeight="1">
      <c r="A1305" s="21" t="s">
        <v>1268</v>
      </c>
      <c r="B1305" s="13">
        <f>IFERROR(__xludf.DUMMYFUNCTION("GOOGLEFINANCE(A1305,""PRICE"")"),331.15)</f>
        <v>331.15</v>
      </c>
      <c r="C1305" s="14">
        <f>IFERROR(__xludf.DUMMYFUNCTION("GOOGLEFINANCE(A1305,""PRICEOPEN"")"),341.2)</f>
        <v>341.2</v>
      </c>
      <c r="D1305" s="14">
        <f>IFERROR(__xludf.DUMMYFUNCTION("GOOGLEFINANCE(A1305,""HIGH"")"),341.2)</f>
        <v>341.2</v>
      </c>
      <c r="E1305" s="14">
        <f>IFERROR(__xludf.DUMMYFUNCTION("GOOGLEFINANCE(A1305,""LOW"")"),330.1)</f>
        <v>330.1</v>
      </c>
      <c r="F1305" s="15" t="str">
        <f t="shared" si="8"/>
        <v>SELL</v>
      </c>
      <c r="G1305" s="16">
        <f>IFERROR(__xludf.DUMMYFUNCTION("GOOGLEFINANCE(A1305,""CLOSEYEST"")"),340.75)</f>
        <v>340.75</v>
      </c>
      <c r="H1305" s="17" t="str">
        <f t="shared" si="14"/>
        <v/>
      </c>
      <c r="I1305" s="18">
        <f t="shared" si="9"/>
        <v>337.35</v>
      </c>
      <c r="J1305" s="19">
        <f t="shared" si="10"/>
        <v>344.6</v>
      </c>
      <c r="K1305" s="19"/>
      <c r="L1305" s="19">
        <f t="shared" si="11"/>
        <v>333.5</v>
      </c>
      <c r="M1305" s="19">
        <f t="shared" si="12"/>
        <v>348.45</v>
      </c>
      <c r="N1305" s="19">
        <f t="shared" si="13"/>
        <v>326.25</v>
      </c>
    </row>
    <row r="1306" ht="24.75" customHeight="1">
      <c r="A1306" s="21" t="s">
        <v>1269</v>
      </c>
      <c r="B1306" s="13">
        <f>IFERROR(__xludf.DUMMYFUNCTION("GOOGLEFINANCE(A1306,""PRICE"")"),169.26)</f>
        <v>169.26</v>
      </c>
      <c r="C1306" s="14">
        <f>IFERROR(__xludf.DUMMYFUNCTION("GOOGLEFINANCE(A1306,""PRICEOPEN"")"),169.26)</f>
        <v>169.26</v>
      </c>
      <c r="D1306" s="14">
        <f>IFERROR(__xludf.DUMMYFUNCTION("GOOGLEFINANCE(A1306,""HIGH"")"),169.26)</f>
        <v>169.26</v>
      </c>
      <c r="E1306" s="14">
        <f>IFERROR(__xludf.DUMMYFUNCTION("GOOGLEFINANCE(A1306,""LOW"")"),169.26)</f>
        <v>169.26</v>
      </c>
      <c r="F1306" s="15" t="str">
        <f t="shared" si="8"/>
        <v>SELL</v>
      </c>
      <c r="G1306" s="16">
        <f>IFERROR(__xludf.DUMMYFUNCTION("GOOGLEFINANCE(A1306,""CLOSEYEST"")"),172.72)</f>
        <v>172.72</v>
      </c>
      <c r="H1306" s="17" t="str">
        <f t="shared" si="14"/>
        <v>GAP DOWN</v>
      </c>
      <c r="I1306" s="18">
        <f t="shared" si="9"/>
        <v>170.4133333</v>
      </c>
      <c r="J1306" s="19">
        <f t="shared" si="10"/>
        <v>171.5666667</v>
      </c>
      <c r="K1306" s="19"/>
      <c r="L1306" s="19">
        <f t="shared" si="11"/>
        <v>171.5666667</v>
      </c>
      <c r="M1306" s="19">
        <f t="shared" si="12"/>
        <v>170.4133333</v>
      </c>
      <c r="N1306" s="19">
        <f t="shared" si="13"/>
        <v>170.4133333</v>
      </c>
    </row>
    <row r="1307" ht="24.75" customHeight="1">
      <c r="A1307" s="21" t="s">
        <v>1270</v>
      </c>
      <c r="B1307" s="13">
        <f>IFERROR(__xludf.DUMMYFUNCTION("GOOGLEFINANCE(A1307,""PRICE"")"),938.75)</f>
        <v>938.75</v>
      </c>
      <c r="C1307" s="14">
        <f>IFERROR(__xludf.DUMMYFUNCTION("GOOGLEFINANCE(A1307,""PRICEOPEN"")"),952.0)</f>
        <v>952</v>
      </c>
      <c r="D1307" s="14">
        <f>IFERROR(__xludf.DUMMYFUNCTION("GOOGLEFINANCE(A1307,""HIGH"")"),968.0)</f>
        <v>968</v>
      </c>
      <c r="E1307" s="14">
        <f>IFERROR(__xludf.DUMMYFUNCTION("GOOGLEFINANCE(A1307,""LOW"")"),925.0)</f>
        <v>925</v>
      </c>
      <c r="F1307" s="15" t="str">
        <f t="shared" si="8"/>
        <v/>
      </c>
      <c r="G1307" s="16">
        <f>IFERROR(__xludf.DUMMYFUNCTION("GOOGLEFINANCE(A1307,""CLOSEYEST"")"),950.45)</f>
        <v>950.45</v>
      </c>
      <c r="H1307" s="17" t="str">
        <f t="shared" si="14"/>
        <v/>
      </c>
      <c r="I1307" s="18">
        <f t="shared" si="9"/>
        <v>947.8166667</v>
      </c>
      <c r="J1307" s="19">
        <f t="shared" si="10"/>
        <v>970.6333333</v>
      </c>
      <c r="K1307" s="19"/>
      <c r="L1307" s="19">
        <f t="shared" si="11"/>
        <v>927.6333333</v>
      </c>
      <c r="M1307" s="19">
        <f t="shared" si="12"/>
        <v>990.8166667</v>
      </c>
      <c r="N1307" s="19">
        <f t="shared" si="13"/>
        <v>904.8166667</v>
      </c>
    </row>
    <row r="1308" ht="24.75" customHeight="1">
      <c r="A1308" s="21" t="s">
        <v>1271</v>
      </c>
      <c r="B1308" s="13">
        <f>IFERROR(__xludf.DUMMYFUNCTION("GOOGLEFINANCE(A1308,""PRICE"")"),350.25)</f>
        <v>350.25</v>
      </c>
      <c r="C1308" s="14">
        <f>IFERROR(__xludf.DUMMYFUNCTION("GOOGLEFINANCE(A1308,""PRICEOPEN"")"),365.0)</f>
        <v>365</v>
      </c>
      <c r="D1308" s="14">
        <f>IFERROR(__xludf.DUMMYFUNCTION("GOOGLEFINANCE(A1308,""HIGH"")"),365.0)</f>
        <v>365</v>
      </c>
      <c r="E1308" s="14">
        <f>IFERROR(__xludf.DUMMYFUNCTION("GOOGLEFINANCE(A1308,""LOW"")"),346.35)</f>
        <v>346.35</v>
      </c>
      <c r="F1308" s="15" t="str">
        <f t="shared" si="8"/>
        <v>SELL</v>
      </c>
      <c r="G1308" s="16">
        <f>IFERROR(__xludf.DUMMYFUNCTION("GOOGLEFINANCE(A1308,""CLOSEYEST"")"),361.9)</f>
        <v>361.9</v>
      </c>
      <c r="H1308" s="17" t="str">
        <f t="shared" si="14"/>
        <v/>
      </c>
      <c r="I1308" s="18">
        <f t="shared" si="9"/>
        <v>357.75</v>
      </c>
      <c r="J1308" s="19">
        <f t="shared" si="10"/>
        <v>369.15</v>
      </c>
      <c r="K1308" s="19"/>
      <c r="L1308" s="19">
        <f t="shared" si="11"/>
        <v>350.5</v>
      </c>
      <c r="M1308" s="19">
        <f t="shared" si="12"/>
        <v>376.4</v>
      </c>
      <c r="N1308" s="19">
        <f t="shared" si="13"/>
        <v>339.1</v>
      </c>
    </row>
    <row r="1309" ht="24.75" customHeight="1">
      <c r="A1309" s="21" t="s">
        <v>1272</v>
      </c>
      <c r="B1309" s="13" t="str">
        <f>IFERROR(__xludf.DUMMYFUNCTION("GOOGLEFINANCE(A1309,""PRICE"")"),"#N/A")</f>
        <v>#N/A</v>
      </c>
      <c r="C1309" s="14" t="str">
        <f>IFERROR(__xludf.DUMMYFUNCTION("GOOGLEFINANCE(A1309,""PRICEOPEN"")"),"#N/A")</f>
        <v>#N/A</v>
      </c>
      <c r="D1309" s="14" t="str">
        <f>IFERROR(__xludf.DUMMYFUNCTION("GOOGLEFINANCE(A1309,""HIGH"")"),"#N/A")</f>
        <v>#N/A</v>
      </c>
      <c r="E1309" s="14" t="str">
        <f>IFERROR(__xludf.DUMMYFUNCTION("GOOGLEFINANCE(A1309,""LOW"")"),"#N/A")</f>
        <v>#N/A</v>
      </c>
      <c r="F1309" s="15" t="str">
        <f t="shared" si="8"/>
        <v>#N/A</v>
      </c>
      <c r="G1309" s="16" t="str">
        <f>IFERROR(__xludf.DUMMYFUNCTION("GOOGLEFINANCE(A1309,""CLOSEYEST"")"),"#N/A")</f>
        <v>#N/A</v>
      </c>
      <c r="H1309" s="17" t="str">
        <f t="shared" si="14"/>
        <v>#N/A</v>
      </c>
      <c r="I1309" s="18" t="str">
        <f t="shared" si="9"/>
        <v>#N/A</v>
      </c>
      <c r="J1309" s="19" t="str">
        <f t="shared" si="10"/>
        <v>#N/A</v>
      </c>
      <c r="K1309" s="19"/>
      <c r="L1309" s="19" t="str">
        <f t="shared" si="11"/>
        <v>#N/A</v>
      </c>
      <c r="M1309" s="19" t="str">
        <f t="shared" si="12"/>
        <v>#N/A</v>
      </c>
      <c r="N1309" s="19" t="str">
        <f t="shared" si="13"/>
        <v>#N/A</v>
      </c>
    </row>
    <row r="1310" ht="24.75" customHeight="1">
      <c r="A1310" s="21" t="s">
        <v>1273</v>
      </c>
      <c r="B1310" s="13">
        <f>IFERROR(__xludf.DUMMYFUNCTION("GOOGLEFINANCE(A1310,""PRICE"")"),4.02)</f>
        <v>4.02</v>
      </c>
      <c r="C1310" s="14">
        <f>IFERROR(__xludf.DUMMYFUNCTION("GOOGLEFINANCE(A1310,""PRICEOPEN"")"),4.03)</f>
        <v>4.03</v>
      </c>
      <c r="D1310" s="14">
        <f>IFERROR(__xludf.DUMMYFUNCTION("GOOGLEFINANCE(A1310,""HIGH"")"),4.25)</f>
        <v>4.25</v>
      </c>
      <c r="E1310" s="14">
        <f>IFERROR(__xludf.DUMMYFUNCTION("GOOGLEFINANCE(A1310,""LOW"")"),3.89)</f>
        <v>3.89</v>
      </c>
      <c r="F1310" s="15" t="str">
        <f t="shared" si="8"/>
        <v/>
      </c>
      <c r="G1310" s="16">
        <f>IFERROR(__xludf.DUMMYFUNCTION("GOOGLEFINANCE(A1310,""CLOSEYEST"")"),4.08)</f>
        <v>4.08</v>
      </c>
      <c r="H1310" s="17" t="str">
        <f t="shared" si="14"/>
        <v>GAP DOWN</v>
      </c>
      <c r="I1310" s="18">
        <f t="shared" si="9"/>
        <v>4.073333333</v>
      </c>
      <c r="J1310" s="19">
        <f t="shared" si="10"/>
        <v>4.256666667</v>
      </c>
      <c r="K1310" s="19"/>
      <c r="L1310" s="19">
        <f t="shared" si="11"/>
        <v>3.896666667</v>
      </c>
      <c r="M1310" s="19">
        <f t="shared" si="12"/>
        <v>4.433333333</v>
      </c>
      <c r="N1310" s="19">
        <f t="shared" si="13"/>
        <v>3.713333333</v>
      </c>
    </row>
    <row r="1311" ht="24.75" customHeight="1">
      <c r="A1311" s="21" t="s">
        <v>1274</v>
      </c>
      <c r="B1311" s="13">
        <f>IFERROR(__xludf.DUMMYFUNCTION("GOOGLEFINANCE(A1311,""PRICE"")"),33.0)</f>
        <v>33</v>
      </c>
      <c r="C1311" s="14">
        <f>IFERROR(__xludf.DUMMYFUNCTION("GOOGLEFINANCE(A1311,""PRICEOPEN"")"),34.75)</f>
        <v>34.75</v>
      </c>
      <c r="D1311" s="14">
        <f>IFERROR(__xludf.DUMMYFUNCTION("GOOGLEFINANCE(A1311,""HIGH"")"),34.75)</f>
        <v>34.75</v>
      </c>
      <c r="E1311" s="14">
        <f>IFERROR(__xludf.DUMMYFUNCTION("GOOGLEFINANCE(A1311,""LOW"")"),32.9)</f>
        <v>32.9</v>
      </c>
      <c r="F1311" s="15" t="str">
        <f t="shared" si="8"/>
        <v>SELL</v>
      </c>
      <c r="G1311" s="16">
        <f>IFERROR(__xludf.DUMMYFUNCTION("GOOGLEFINANCE(A1311,""CLOSEYEST"")"),34.63)</f>
        <v>34.63</v>
      </c>
      <c r="H1311" s="17" t="str">
        <f t="shared" si="14"/>
        <v/>
      </c>
      <c r="I1311" s="18">
        <f t="shared" si="9"/>
        <v>34.09333333</v>
      </c>
      <c r="J1311" s="19">
        <f t="shared" si="10"/>
        <v>35.28666667</v>
      </c>
      <c r="K1311" s="19"/>
      <c r="L1311" s="19">
        <f t="shared" si="11"/>
        <v>33.43666667</v>
      </c>
      <c r="M1311" s="19">
        <f t="shared" si="12"/>
        <v>35.94333333</v>
      </c>
      <c r="N1311" s="19">
        <f t="shared" si="13"/>
        <v>32.24333333</v>
      </c>
    </row>
    <row r="1312" ht="24.75" customHeight="1">
      <c r="A1312" s="21" t="s">
        <v>1275</v>
      </c>
      <c r="B1312" s="13">
        <f>IFERROR(__xludf.DUMMYFUNCTION("GOOGLEFINANCE(A1312,""PRICE"")"),126.81)</f>
        <v>126.81</v>
      </c>
      <c r="C1312" s="14">
        <f>IFERROR(__xludf.DUMMYFUNCTION("GOOGLEFINANCE(A1312,""PRICEOPEN"")"),127.7)</f>
        <v>127.7</v>
      </c>
      <c r="D1312" s="14">
        <f>IFERROR(__xludf.DUMMYFUNCTION("GOOGLEFINANCE(A1312,""HIGH"")"),130.0)</f>
        <v>130</v>
      </c>
      <c r="E1312" s="14">
        <f>IFERROR(__xludf.DUMMYFUNCTION("GOOGLEFINANCE(A1312,""LOW"")"),126.75)</f>
        <v>126.75</v>
      </c>
      <c r="F1312" s="15" t="str">
        <f t="shared" si="8"/>
        <v/>
      </c>
      <c r="G1312" s="16">
        <f>IFERROR(__xludf.DUMMYFUNCTION("GOOGLEFINANCE(A1312,""CLOSEYEST"")"),126.98)</f>
        <v>126.98</v>
      </c>
      <c r="H1312" s="17" t="str">
        <f t="shared" si="14"/>
        <v/>
      </c>
      <c r="I1312" s="18">
        <f t="shared" si="9"/>
        <v>127.91</v>
      </c>
      <c r="J1312" s="19">
        <f t="shared" si="10"/>
        <v>129.07</v>
      </c>
      <c r="K1312" s="19"/>
      <c r="L1312" s="19">
        <f t="shared" si="11"/>
        <v>125.82</v>
      </c>
      <c r="M1312" s="19">
        <f t="shared" si="12"/>
        <v>131.16</v>
      </c>
      <c r="N1312" s="19">
        <f t="shared" si="13"/>
        <v>124.66</v>
      </c>
    </row>
    <row r="1313" ht="24.75" customHeight="1">
      <c r="A1313" s="21" t="s">
        <v>1276</v>
      </c>
      <c r="B1313" s="13">
        <f>IFERROR(__xludf.DUMMYFUNCTION("GOOGLEFINANCE(A1313,""PRICE"")"),33.28)</f>
        <v>33.28</v>
      </c>
      <c r="C1313" s="14">
        <f>IFERROR(__xludf.DUMMYFUNCTION("GOOGLEFINANCE(A1313,""PRICEOPEN"")"),29.5)</f>
        <v>29.5</v>
      </c>
      <c r="D1313" s="14">
        <f>IFERROR(__xludf.DUMMYFUNCTION("GOOGLEFINANCE(A1313,""HIGH"")"),33.5)</f>
        <v>33.5</v>
      </c>
      <c r="E1313" s="14">
        <f>IFERROR(__xludf.DUMMYFUNCTION("GOOGLEFINANCE(A1313,""LOW"")"),29.5)</f>
        <v>29.5</v>
      </c>
      <c r="F1313" s="15" t="str">
        <f t="shared" si="8"/>
        <v>BUY</v>
      </c>
      <c r="G1313" s="16">
        <f>IFERROR(__xludf.DUMMYFUNCTION("GOOGLEFINANCE(A1313,""CLOSEYEST"")"),30.55)</f>
        <v>30.55</v>
      </c>
      <c r="H1313" s="17" t="str">
        <f t="shared" si="14"/>
        <v>GAP DOWN</v>
      </c>
      <c r="I1313" s="18">
        <f t="shared" si="9"/>
        <v>31.18333333</v>
      </c>
      <c r="J1313" s="19">
        <f t="shared" si="10"/>
        <v>32.86666667</v>
      </c>
      <c r="K1313" s="19"/>
      <c r="L1313" s="19">
        <f t="shared" si="11"/>
        <v>28.86666667</v>
      </c>
      <c r="M1313" s="19">
        <f t="shared" si="12"/>
        <v>35.18333333</v>
      </c>
      <c r="N1313" s="19">
        <f t="shared" si="13"/>
        <v>27.18333333</v>
      </c>
    </row>
    <row r="1314" ht="24.75" customHeight="1">
      <c r="A1314" s="21" t="s">
        <v>1277</v>
      </c>
      <c r="B1314" s="13" t="str">
        <f>IFERROR(__xludf.DUMMYFUNCTION("GOOGLEFINANCE(A1314,""PRICE"")"),"#N/A")</f>
        <v>#N/A</v>
      </c>
      <c r="C1314" s="14" t="str">
        <f>IFERROR(__xludf.DUMMYFUNCTION("GOOGLEFINANCE(A1314,""PRICEOPEN"")"),"#N/A")</f>
        <v>#N/A</v>
      </c>
      <c r="D1314" s="14" t="str">
        <f>IFERROR(__xludf.DUMMYFUNCTION("GOOGLEFINANCE(A1314,""HIGH"")"),"#N/A")</f>
        <v>#N/A</v>
      </c>
      <c r="E1314" s="14" t="str">
        <f>IFERROR(__xludf.DUMMYFUNCTION("GOOGLEFINANCE(A1314,""LOW"")"),"#N/A")</f>
        <v>#N/A</v>
      </c>
      <c r="F1314" s="15" t="str">
        <f t="shared" si="8"/>
        <v>#N/A</v>
      </c>
      <c r="G1314" s="16" t="str">
        <f>IFERROR(__xludf.DUMMYFUNCTION("GOOGLEFINANCE(A1314,""CLOSEYEST"")"),"#N/A")</f>
        <v>#N/A</v>
      </c>
      <c r="H1314" s="17" t="str">
        <f t="shared" si="14"/>
        <v>#N/A</v>
      </c>
      <c r="I1314" s="18" t="str">
        <f t="shared" si="9"/>
        <v>#N/A</v>
      </c>
      <c r="J1314" s="19" t="str">
        <f t="shared" si="10"/>
        <v>#N/A</v>
      </c>
      <c r="K1314" s="19"/>
      <c r="L1314" s="19" t="str">
        <f t="shared" si="11"/>
        <v>#N/A</v>
      </c>
      <c r="M1314" s="19" t="str">
        <f t="shared" si="12"/>
        <v>#N/A</v>
      </c>
      <c r="N1314" s="19" t="str">
        <f t="shared" si="13"/>
        <v>#N/A</v>
      </c>
    </row>
    <row r="1315" ht="24.75" customHeight="1">
      <c r="A1315" s="21" t="s">
        <v>1278</v>
      </c>
      <c r="B1315" s="13">
        <f>IFERROR(__xludf.DUMMYFUNCTION("GOOGLEFINANCE(A1315,""PRICE"")"),19.2)</f>
        <v>19.2</v>
      </c>
      <c r="C1315" s="14">
        <f>IFERROR(__xludf.DUMMYFUNCTION("GOOGLEFINANCE(A1315,""PRICEOPEN"")"),18.45)</f>
        <v>18.45</v>
      </c>
      <c r="D1315" s="14">
        <f>IFERROR(__xludf.DUMMYFUNCTION("GOOGLEFINANCE(A1315,""HIGH"")"),19.49)</f>
        <v>19.49</v>
      </c>
      <c r="E1315" s="14">
        <f>IFERROR(__xludf.DUMMYFUNCTION("GOOGLEFINANCE(A1315,""LOW"")"),18.45)</f>
        <v>18.45</v>
      </c>
      <c r="F1315" s="15" t="str">
        <f t="shared" si="8"/>
        <v>BUY</v>
      </c>
      <c r="G1315" s="16">
        <f>IFERROR(__xludf.DUMMYFUNCTION("GOOGLEFINANCE(A1315,""CLOSEYEST"")"),18.31)</f>
        <v>18.31</v>
      </c>
      <c r="H1315" s="17" t="str">
        <f t="shared" si="14"/>
        <v/>
      </c>
      <c r="I1315" s="18">
        <f t="shared" si="9"/>
        <v>18.75</v>
      </c>
      <c r="J1315" s="19">
        <f t="shared" si="10"/>
        <v>19.05</v>
      </c>
      <c r="K1315" s="19"/>
      <c r="L1315" s="19">
        <f t="shared" si="11"/>
        <v>18.01</v>
      </c>
      <c r="M1315" s="19">
        <f t="shared" si="12"/>
        <v>19.79</v>
      </c>
      <c r="N1315" s="19">
        <f t="shared" si="13"/>
        <v>17.71</v>
      </c>
    </row>
    <row r="1316" ht="24.75" customHeight="1">
      <c r="A1316" s="21" t="s">
        <v>1279</v>
      </c>
      <c r="B1316" s="13" t="str">
        <f>IFERROR(__xludf.DUMMYFUNCTION("GOOGLEFINANCE(A1316,""PRICE"")"),"#N/A")</f>
        <v>#N/A</v>
      </c>
      <c r="C1316" s="14" t="str">
        <f>IFERROR(__xludf.DUMMYFUNCTION("GOOGLEFINANCE(A1316,""PRICEOPEN"")"),"#N/A")</f>
        <v>#N/A</v>
      </c>
      <c r="D1316" s="14" t="str">
        <f>IFERROR(__xludf.DUMMYFUNCTION("GOOGLEFINANCE(A1316,""HIGH"")"),"#N/A")</f>
        <v>#N/A</v>
      </c>
      <c r="E1316" s="14" t="str">
        <f>IFERROR(__xludf.DUMMYFUNCTION("GOOGLEFINANCE(A1316,""LOW"")"),"#N/A")</f>
        <v>#N/A</v>
      </c>
      <c r="F1316" s="15" t="str">
        <f t="shared" si="8"/>
        <v>#N/A</v>
      </c>
      <c r="G1316" s="16" t="str">
        <f>IFERROR(__xludf.DUMMYFUNCTION("GOOGLEFINANCE(A1316,""CLOSEYEST"")"),"#N/A")</f>
        <v>#N/A</v>
      </c>
      <c r="H1316" s="17" t="str">
        <f t="shared" si="14"/>
        <v>#N/A</v>
      </c>
      <c r="I1316" s="18" t="str">
        <f t="shared" si="9"/>
        <v>#N/A</v>
      </c>
      <c r="J1316" s="19" t="str">
        <f t="shared" si="10"/>
        <v>#N/A</v>
      </c>
      <c r="K1316" s="19"/>
      <c r="L1316" s="19" t="str">
        <f t="shared" si="11"/>
        <v>#N/A</v>
      </c>
      <c r="M1316" s="19" t="str">
        <f t="shared" si="12"/>
        <v>#N/A</v>
      </c>
      <c r="N1316" s="19" t="str">
        <f t="shared" si="13"/>
        <v>#N/A</v>
      </c>
    </row>
    <row r="1317" ht="24.75" customHeight="1">
      <c r="A1317" s="21" t="s">
        <v>1280</v>
      </c>
      <c r="B1317" s="13">
        <f>IFERROR(__xludf.DUMMYFUNCTION("GOOGLEFINANCE(A1317,""PRICE"")"),16.55)</f>
        <v>16.55</v>
      </c>
      <c r="C1317" s="14">
        <f>IFERROR(__xludf.DUMMYFUNCTION("GOOGLEFINANCE(A1317,""PRICEOPEN"")"),16.01)</f>
        <v>16.01</v>
      </c>
      <c r="D1317" s="14">
        <f>IFERROR(__xludf.DUMMYFUNCTION("GOOGLEFINANCE(A1317,""HIGH"")"),16.72)</f>
        <v>16.72</v>
      </c>
      <c r="E1317" s="14">
        <f>IFERROR(__xludf.DUMMYFUNCTION("GOOGLEFINANCE(A1317,""LOW"")"),16.01)</f>
        <v>16.01</v>
      </c>
      <c r="F1317" s="15" t="str">
        <f t="shared" si="8"/>
        <v>BUY</v>
      </c>
      <c r="G1317" s="16">
        <f>IFERROR(__xludf.DUMMYFUNCTION("GOOGLEFINANCE(A1317,""CLOSEYEST"")"),16.2)</f>
        <v>16.2</v>
      </c>
      <c r="H1317" s="17" t="str">
        <f t="shared" si="14"/>
        <v>GAP DOWN</v>
      </c>
      <c r="I1317" s="18">
        <f t="shared" si="9"/>
        <v>16.31</v>
      </c>
      <c r="J1317" s="19">
        <f t="shared" si="10"/>
        <v>16.61</v>
      </c>
      <c r="K1317" s="19"/>
      <c r="L1317" s="19">
        <f t="shared" si="11"/>
        <v>15.9</v>
      </c>
      <c r="M1317" s="19">
        <f t="shared" si="12"/>
        <v>17.02</v>
      </c>
      <c r="N1317" s="19">
        <f t="shared" si="13"/>
        <v>15.6</v>
      </c>
    </row>
    <row r="1318" ht="24.75" customHeight="1">
      <c r="A1318" s="21" t="s">
        <v>1281</v>
      </c>
      <c r="B1318" s="13">
        <f>IFERROR(__xludf.DUMMYFUNCTION("GOOGLEFINANCE(A1318,""PRICE"")"),2.44)</f>
        <v>2.44</v>
      </c>
      <c r="C1318" s="14">
        <f>IFERROR(__xludf.DUMMYFUNCTION("GOOGLEFINANCE(A1318,""PRICEOPEN"")"),2.36)</f>
        <v>2.36</v>
      </c>
      <c r="D1318" s="14">
        <f>IFERROR(__xludf.DUMMYFUNCTION("GOOGLEFINANCE(A1318,""HIGH"")"),2.46)</f>
        <v>2.46</v>
      </c>
      <c r="E1318" s="14">
        <f>IFERROR(__xludf.DUMMYFUNCTION("GOOGLEFINANCE(A1318,""LOW"")"),2.33)</f>
        <v>2.33</v>
      </c>
      <c r="F1318" s="15" t="str">
        <f t="shared" si="8"/>
        <v/>
      </c>
      <c r="G1318" s="16">
        <f>IFERROR(__xludf.DUMMYFUNCTION("GOOGLEFINANCE(A1318,""CLOSEYEST"")"),2.36)</f>
        <v>2.36</v>
      </c>
      <c r="H1318" s="17" t="str">
        <f t="shared" si="14"/>
        <v/>
      </c>
      <c r="I1318" s="18">
        <f t="shared" si="9"/>
        <v>2.383333333</v>
      </c>
      <c r="J1318" s="19">
        <f t="shared" si="10"/>
        <v>2.436666667</v>
      </c>
      <c r="K1318" s="19"/>
      <c r="L1318" s="19">
        <f t="shared" si="11"/>
        <v>2.306666667</v>
      </c>
      <c r="M1318" s="19">
        <f t="shared" si="12"/>
        <v>2.513333333</v>
      </c>
      <c r="N1318" s="19">
        <f t="shared" si="13"/>
        <v>2.253333333</v>
      </c>
    </row>
    <row r="1319" ht="24.75" customHeight="1">
      <c r="A1319" s="21" t="s">
        <v>1282</v>
      </c>
      <c r="B1319" s="13">
        <f>IFERROR(__xludf.DUMMYFUNCTION("GOOGLEFINANCE(A1319,""PRICE"")"),201.5)</f>
        <v>201.5</v>
      </c>
      <c r="C1319" s="14">
        <f>IFERROR(__xludf.DUMMYFUNCTION("GOOGLEFINANCE(A1319,""PRICEOPEN"")"),201.92)</f>
        <v>201.92</v>
      </c>
      <c r="D1319" s="14">
        <f>IFERROR(__xludf.DUMMYFUNCTION("GOOGLEFINANCE(A1319,""HIGH"")"),206.9)</f>
        <v>206.9</v>
      </c>
      <c r="E1319" s="14">
        <f>IFERROR(__xludf.DUMMYFUNCTION("GOOGLEFINANCE(A1319,""LOW"")"),200.99)</f>
        <v>200.99</v>
      </c>
      <c r="F1319" s="15" t="str">
        <f t="shared" si="8"/>
        <v/>
      </c>
      <c r="G1319" s="16">
        <f>IFERROR(__xludf.DUMMYFUNCTION("GOOGLEFINANCE(A1319,""CLOSEYEST"")"),200.91)</f>
        <v>200.91</v>
      </c>
      <c r="H1319" s="17" t="str">
        <f t="shared" si="14"/>
        <v/>
      </c>
      <c r="I1319" s="18">
        <f t="shared" si="9"/>
        <v>202.9333333</v>
      </c>
      <c r="J1319" s="19">
        <f t="shared" si="10"/>
        <v>204.8766667</v>
      </c>
      <c r="K1319" s="19"/>
      <c r="L1319" s="19">
        <f t="shared" si="11"/>
        <v>198.9666667</v>
      </c>
      <c r="M1319" s="19">
        <f t="shared" si="12"/>
        <v>208.8433333</v>
      </c>
      <c r="N1319" s="19">
        <f t="shared" si="13"/>
        <v>197.0233333</v>
      </c>
    </row>
    <row r="1320" ht="24.75" customHeight="1">
      <c r="A1320" s="21" t="s">
        <v>1283</v>
      </c>
      <c r="B1320" s="13">
        <f>IFERROR(__xludf.DUMMYFUNCTION("GOOGLEFINANCE(A1320,""PRICE"")"),96.4)</f>
        <v>96.4</v>
      </c>
      <c r="C1320" s="14">
        <f>IFERROR(__xludf.DUMMYFUNCTION("GOOGLEFINANCE(A1320,""PRICEOPEN"")"),94.89)</f>
        <v>94.89</v>
      </c>
      <c r="D1320" s="14">
        <f>IFERROR(__xludf.DUMMYFUNCTION("GOOGLEFINANCE(A1320,""HIGH"")"),96.95)</f>
        <v>96.95</v>
      </c>
      <c r="E1320" s="14">
        <f>IFERROR(__xludf.DUMMYFUNCTION("GOOGLEFINANCE(A1320,""LOW"")"),94.21)</f>
        <v>94.21</v>
      </c>
      <c r="F1320" s="15" t="str">
        <f t="shared" si="8"/>
        <v/>
      </c>
      <c r="G1320" s="16">
        <f>IFERROR(__xludf.DUMMYFUNCTION("GOOGLEFINANCE(A1320,""CLOSEYEST"")"),94.57)</f>
        <v>94.57</v>
      </c>
      <c r="H1320" s="17" t="str">
        <f t="shared" si="14"/>
        <v/>
      </c>
      <c r="I1320" s="18">
        <f t="shared" si="9"/>
        <v>95.24333333</v>
      </c>
      <c r="J1320" s="19">
        <f t="shared" si="10"/>
        <v>96.27666667</v>
      </c>
      <c r="K1320" s="19"/>
      <c r="L1320" s="19">
        <f t="shared" si="11"/>
        <v>93.53666667</v>
      </c>
      <c r="M1320" s="19">
        <f t="shared" si="12"/>
        <v>97.98333333</v>
      </c>
      <c r="N1320" s="19">
        <f t="shared" si="13"/>
        <v>92.50333333</v>
      </c>
    </row>
    <row r="1321" ht="24.75" customHeight="1">
      <c r="A1321" s="21" t="s">
        <v>1284</v>
      </c>
      <c r="B1321" s="13">
        <f>IFERROR(__xludf.DUMMYFUNCTION("GOOGLEFINANCE(A1321,""PRICE"")"),7.0)</f>
        <v>7</v>
      </c>
      <c r="C1321" s="14">
        <f>IFERROR(__xludf.DUMMYFUNCTION("GOOGLEFINANCE(A1321,""PRICEOPEN"")"),6.95)</f>
        <v>6.95</v>
      </c>
      <c r="D1321" s="14">
        <f>IFERROR(__xludf.DUMMYFUNCTION("GOOGLEFINANCE(A1321,""HIGH"")"),7.08)</f>
        <v>7.08</v>
      </c>
      <c r="E1321" s="14">
        <f>IFERROR(__xludf.DUMMYFUNCTION("GOOGLEFINANCE(A1321,""LOW"")"),6.95)</f>
        <v>6.95</v>
      </c>
      <c r="F1321" s="15" t="str">
        <f t="shared" si="8"/>
        <v>BUY</v>
      </c>
      <c r="G1321" s="16">
        <f>IFERROR(__xludf.DUMMYFUNCTION("GOOGLEFINANCE(A1321,""CLOSEYEST"")"),7.03)</f>
        <v>7.03</v>
      </c>
      <c r="H1321" s="17" t="str">
        <f t="shared" si="14"/>
        <v>GAP DOWN</v>
      </c>
      <c r="I1321" s="18">
        <f t="shared" si="9"/>
        <v>7.02</v>
      </c>
      <c r="J1321" s="19">
        <f t="shared" si="10"/>
        <v>7.09</v>
      </c>
      <c r="K1321" s="19"/>
      <c r="L1321" s="19">
        <f t="shared" si="11"/>
        <v>6.96</v>
      </c>
      <c r="M1321" s="19">
        <f t="shared" si="12"/>
        <v>7.15</v>
      </c>
      <c r="N1321" s="19">
        <f t="shared" si="13"/>
        <v>6.89</v>
      </c>
    </row>
    <row r="1322" ht="24.75" customHeight="1">
      <c r="A1322" s="21" t="s">
        <v>1285</v>
      </c>
      <c r="B1322" s="13">
        <f>IFERROR(__xludf.DUMMYFUNCTION("GOOGLEFINANCE(A1322,""PRICE"")"),89.6)</f>
        <v>89.6</v>
      </c>
      <c r="C1322" s="14">
        <f>IFERROR(__xludf.DUMMYFUNCTION("GOOGLEFINANCE(A1322,""PRICEOPEN"")"),91.1)</f>
        <v>91.1</v>
      </c>
      <c r="D1322" s="14">
        <f>IFERROR(__xludf.DUMMYFUNCTION("GOOGLEFINANCE(A1322,""HIGH"")"),95.0)</f>
        <v>95</v>
      </c>
      <c r="E1322" s="14">
        <f>IFERROR(__xludf.DUMMYFUNCTION("GOOGLEFINANCE(A1322,""LOW"")"),89.01)</f>
        <v>89.01</v>
      </c>
      <c r="F1322" s="15" t="str">
        <f t="shared" si="8"/>
        <v/>
      </c>
      <c r="G1322" s="16">
        <f>IFERROR(__xludf.DUMMYFUNCTION("GOOGLEFINANCE(A1322,""CLOSEYEST"")"),92.21)</f>
        <v>92.21</v>
      </c>
      <c r="H1322" s="17" t="str">
        <f t="shared" si="14"/>
        <v>GAP DOWN</v>
      </c>
      <c r="I1322" s="18">
        <f t="shared" si="9"/>
        <v>92.07333333</v>
      </c>
      <c r="J1322" s="19">
        <f t="shared" si="10"/>
        <v>95.13666667</v>
      </c>
      <c r="K1322" s="19"/>
      <c r="L1322" s="19">
        <f t="shared" si="11"/>
        <v>89.14666667</v>
      </c>
      <c r="M1322" s="19">
        <f t="shared" si="12"/>
        <v>98.06333333</v>
      </c>
      <c r="N1322" s="19">
        <f t="shared" si="13"/>
        <v>86.08333333</v>
      </c>
    </row>
    <row r="1323" ht="24.75" customHeight="1">
      <c r="A1323" s="21" t="s">
        <v>1286</v>
      </c>
      <c r="B1323" s="13" t="str">
        <f>IFERROR(__xludf.DUMMYFUNCTION("GOOGLEFINANCE(A1323,""PRICE"")"),"#N/A")</f>
        <v>#N/A</v>
      </c>
      <c r="C1323" s="14" t="str">
        <f>IFERROR(__xludf.DUMMYFUNCTION("GOOGLEFINANCE(A1323,""PRICEOPEN"")"),"#N/A")</f>
        <v>#N/A</v>
      </c>
      <c r="D1323" s="14" t="str">
        <f>IFERROR(__xludf.DUMMYFUNCTION("GOOGLEFINANCE(A1323,""HIGH"")"),"#N/A")</f>
        <v>#N/A</v>
      </c>
      <c r="E1323" s="14" t="str">
        <f>IFERROR(__xludf.DUMMYFUNCTION("GOOGLEFINANCE(A1323,""LOW"")"),"#N/A")</f>
        <v>#N/A</v>
      </c>
      <c r="F1323" s="15" t="str">
        <f t="shared" si="8"/>
        <v>#N/A</v>
      </c>
      <c r="G1323" s="16" t="str">
        <f>IFERROR(__xludf.DUMMYFUNCTION("GOOGLEFINANCE(A1323,""CLOSEYEST"")"),"#N/A")</f>
        <v>#N/A</v>
      </c>
      <c r="H1323" s="17" t="str">
        <f t="shared" si="14"/>
        <v>#N/A</v>
      </c>
      <c r="I1323" s="18" t="str">
        <f t="shared" si="9"/>
        <v>#N/A</v>
      </c>
      <c r="J1323" s="19" t="str">
        <f t="shared" si="10"/>
        <v>#N/A</v>
      </c>
      <c r="K1323" s="19"/>
      <c r="L1323" s="19" t="str">
        <f t="shared" si="11"/>
        <v>#N/A</v>
      </c>
      <c r="M1323" s="19" t="str">
        <f t="shared" si="12"/>
        <v>#N/A</v>
      </c>
      <c r="N1323" s="19" t="str">
        <f t="shared" si="13"/>
        <v>#N/A</v>
      </c>
    </row>
    <row r="1324" ht="24.75" customHeight="1">
      <c r="A1324" s="21" t="s">
        <v>1287</v>
      </c>
      <c r="B1324" s="13">
        <f>IFERROR(__xludf.DUMMYFUNCTION("GOOGLEFINANCE(A1324,""PRICE"")"),11.27)</f>
        <v>11.27</v>
      </c>
      <c r="C1324" s="14">
        <f>IFERROR(__xludf.DUMMYFUNCTION("GOOGLEFINANCE(A1324,""PRICEOPEN"")"),12.19)</f>
        <v>12.19</v>
      </c>
      <c r="D1324" s="14">
        <f>IFERROR(__xludf.DUMMYFUNCTION("GOOGLEFINANCE(A1324,""HIGH"")"),12.2)</f>
        <v>12.2</v>
      </c>
      <c r="E1324" s="14">
        <f>IFERROR(__xludf.DUMMYFUNCTION("GOOGLEFINANCE(A1324,""LOW"")"),11.18)</f>
        <v>11.18</v>
      </c>
      <c r="F1324" s="15" t="str">
        <f t="shared" si="8"/>
        <v/>
      </c>
      <c r="G1324" s="16">
        <f>IFERROR(__xludf.DUMMYFUNCTION("GOOGLEFINANCE(A1324,""CLOSEYEST"")"),11.77)</f>
        <v>11.77</v>
      </c>
      <c r="H1324" s="17" t="str">
        <f t="shared" si="14"/>
        <v>GAP UP</v>
      </c>
      <c r="I1324" s="18">
        <f t="shared" si="9"/>
        <v>11.71666667</v>
      </c>
      <c r="J1324" s="19">
        <f t="shared" si="10"/>
        <v>12.25333333</v>
      </c>
      <c r="K1324" s="19"/>
      <c r="L1324" s="19">
        <f t="shared" si="11"/>
        <v>11.23333333</v>
      </c>
      <c r="M1324" s="19">
        <f t="shared" si="12"/>
        <v>12.73666667</v>
      </c>
      <c r="N1324" s="19">
        <f t="shared" si="13"/>
        <v>10.69666667</v>
      </c>
    </row>
    <row r="1325" ht="24.75" customHeight="1">
      <c r="A1325" s="21" t="s">
        <v>1288</v>
      </c>
      <c r="B1325" s="13">
        <f>IFERROR(__xludf.DUMMYFUNCTION("GOOGLEFINANCE(A1325,""PRICE"")"),30.6)</f>
        <v>30.6</v>
      </c>
      <c r="C1325" s="14">
        <f>IFERROR(__xludf.DUMMYFUNCTION("GOOGLEFINANCE(A1325,""PRICEOPEN"")"),30.11)</f>
        <v>30.11</v>
      </c>
      <c r="D1325" s="14">
        <f>IFERROR(__xludf.DUMMYFUNCTION("GOOGLEFINANCE(A1325,""HIGH"")"),30.68)</f>
        <v>30.68</v>
      </c>
      <c r="E1325" s="14">
        <f>IFERROR(__xludf.DUMMYFUNCTION("GOOGLEFINANCE(A1325,""LOW"")"),30.0)</f>
        <v>30</v>
      </c>
      <c r="F1325" s="15" t="str">
        <f t="shared" si="8"/>
        <v/>
      </c>
      <c r="G1325" s="16">
        <f>IFERROR(__xludf.DUMMYFUNCTION("GOOGLEFINANCE(A1325,""CLOSEYEST"")"),30.18)</f>
        <v>30.18</v>
      </c>
      <c r="H1325" s="17" t="str">
        <f t="shared" si="14"/>
        <v/>
      </c>
      <c r="I1325" s="18">
        <f t="shared" si="9"/>
        <v>30.28666667</v>
      </c>
      <c r="J1325" s="19">
        <f t="shared" si="10"/>
        <v>30.57333333</v>
      </c>
      <c r="K1325" s="19"/>
      <c r="L1325" s="19">
        <f t="shared" si="11"/>
        <v>29.89333333</v>
      </c>
      <c r="M1325" s="19">
        <f t="shared" si="12"/>
        <v>30.96666667</v>
      </c>
      <c r="N1325" s="19">
        <f t="shared" si="13"/>
        <v>29.60666667</v>
      </c>
    </row>
    <row r="1326" ht="24.75" customHeight="1">
      <c r="A1326" s="21" t="s">
        <v>1289</v>
      </c>
      <c r="B1326" s="13">
        <f>IFERROR(__xludf.DUMMYFUNCTION("GOOGLEFINANCE(A1326,""PRICE"")"),1.96)</f>
        <v>1.96</v>
      </c>
      <c r="C1326" s="14">
        <f>IFERROR(__xludf.DUMMYFUNCTION("GOOGLEFINANCE(A1326,""PRICEOPEN"")"),1.9)</f>
        <v>1.9</v>
      </c>
      <c r="D1326" s="14">
        <f>IFERROR(__xludf.DUMMYFUNCTION("GOOGLEFINANCE(A1326,""HIGH"")"),2.09)</f>
        <v>2.09</v>
      </c>
      <c r="E1326" s="14">
        <f>IFERROR(__xludf.DUMMYFUNCTION("GOOGLEFINANCE(A1326,""LOW"")"),1.9)</f>
        <v>1.9</v>
      </c>
      <c r="F1326" s="15" t="str">
        <f t="shared" si="8"/>
        <v>BUY</v>
      </c>
      <c r="G1326" s="16">
        <f>IFERROR(__xludf.DUMMYFUNCTION("GOOGLEFINANCE(A1326,""CLOSEYEST"")"),2.01)</f>
        <v>2.01</v>
      </c>
      <c r="H1326" s="17" t="str">
        <f t="shared" si="14"/>
        <v>GAP DOWN</v>
      </c>
      <c r="I1326" s="18">
        <f t="shared" si="9"/>
        <v>2</v>
      </c>
      <c r="J1326" s="19">
        <f t="shared" si="10"/>
        <v>2.1</v>
      </c>
      <c r="K1326" s="19"/>
      <c r="L1326" s="19">
        <f t="shared" si="11"/>
        <v>1.91</v>
      </c>
      <c r="M1326" s="19">
        <f t="shared" si="12"/>
        <v>2.19</v>
      </c>
      <c r="N1326" s="19">
        <f t="shared" si="13"/>
        <v>1.81</v>
      </c>
    </row>
    <row r="1327" ht="24.75" customHeight="1">
      <c r="A1327" s="21" t="s">
        <v>1290</v>
      </c>
      <c r="B1327" s="13" t="str">
        <f>IFERROR(__xludf.DUMMYFUNCTION("GOOGLEFINANCE(A1327,""PRICE"")"),"#N/A")</f>
        <v>#N/A</v>
      </c>
      <c r="C1327" s="14" t="str">
        <f>IFERROR(__xludf.DUMMYFUNCTION("GOOGLEFINANCE(A1327,""PRICEOPEN"")"),"#N/A")</f>
        <v>#N/A</v>
      </c>
      <c r="D1327" s="14" t="str">
        <f>IFERROR(__xludf.DUMMYFUNCTION("GOOGLEFINANCE(A1327,""HIGH"")"),"#N/A")</f>
        <v>#N/A</v>
      </c>
      <c r="E1327" s="14" t="str">
        <f>IFERROR(__xludf.DUMMYFUNCTION("GOOGLEFINANCE(A1327,""LOW"")"),"#N/A")</f>
        <v>#N/A</v>
      </c>
      <c r="F1327" s="15" t="str">
        <f t="shared" si="8"/>
        <v>#N/A</v>
      </c>
      <c r="G1327" s="16" t="str">
        <f>IFERROR(__xludf.DUMMYFUNCTION("GOOGLEFINANCE(A1327,""CLOSEYEST"")"),"#N/A")</f>
        <v>#N/A</v>
      </c>
      <c r="H1327" s="17" t="str">
        <f t="shared" si="14"/>
        <v>#N/A</v>
      </c>
      <c r="I1327" s="18" t="str">
        <f t="shared" si="9"/>
        <v>#N/A</v>
      </c>
      <c r="J1327" s="19" t="str">
        <f t="shared" si="10"/>
        <v>#N/A</v>
      </c>
      <c r="K1327" s="19"/>
      <c r="L1327" s="19" t="str">
        <f t="shared" si="11"/>
        <v>#N/A</v>
      </c>
      <c r="M1327" s="19" t="str">
        <f t="shared" si="12"/>
        <v>#N/A</v>
      </c>
      <c r="N1327" s="19" t="str">
        <f t="shared" si="13"/>
        <v>#N/A</v>
      </c>
    </row>
    <row r="1328" ht="24.75" customHeight="1">
      <c r="A1328" s="21" t="s">
        <v>1291</v>
      </c>
      <c r="B1328" s="13">
        <f>IFERROR(__xludf.DUMMYFUNCTION("GOOGLEFINANCE(A1328,""PRICE"")"),42.91)</f>
        <v>42.91</v>
      </c>
      <c r="C1328" s="14">
        <f>IFERROR(__xludf.DUMMYFUNCTION("GOOGLEFINANCE(A1328,""PRICEOPEN"")"),39.12)</f>
        <v>39.12</v>
      </c>
      <c r="D1328" s="14">
        <f>IFERROR(__xludf.DUMMYFUNCTION("GOOGLEFINANCE(A1328,""HIGH"")"),42.91)</f>
        <v>42.91</v>
      </c>
      <c r="E1328" s="14">
        <f>IFERROR(__xludf.DUMMYFUNCTION("GOOGLEFINANCE(A1328,""LOW"")"),39.02)</f>
        <v>39.02</v>
      </c>
      <c r="F1328" s="15" t="str">
        <f t="shared" si="8"/>
        <v/>
      </c>
      <c r="G1328" s="16">
        <f>IFERROR(__xludf.DUMMYFUNCTION("GOOGLEFINANCE(A1328,""CLOSEYEST"")"),39.01)</f>
        <v>39.01</v>
      </c>
      <c r="H1328" s="17" t="str">
        <f t="shared" si="14"/>
        <v/>
      </c>
      <c r="I1328" s="18">
        <f t="shared" si="9"/>
        <v>40.31333333</v>
      </c>
      <c r="J1328" s="19">
        <f t="shared" si="10"/>
        <v>41.60666667</v>
      </c>
      <c r="K1328" s="19"/>
      <c r="L1328" s="19">
        <f t="shared" si="11"/>
        <v>37.71666667</v>
      </c>
      <c r="M1328" s="19">
        <f t="shared" si="12"/>
        <v>44.20333333</v>
      </c>
      <c r="N1328" s="19">
        <f t="shared" si="13"/>
        <v>36.42333333</v>
      </c>
    </row>
    <row r="1329" ht="24.75" customHeight="1">
      <c r="A1329" s="21" t="s">
        <v>1292</v>
      </c>
      <c r="B1329" s="13">
        <f>IFERROR(__xludf.DUMMYFUNCTION("GOOGLEFINANCE(A1329,""PRICE"")"),45.1)</f>
        <v>45.1</v>
      </c>
      <c r="C1329" s="14">
        <f>IFERROR(__xludf.DUMMYFUNCTION("GOOGLEFINANCE(A1329,""PRICEOPEN"")"),45.05)</f>
        <v>45.05</v>
      </c>
      <c r="D1329" s="14">
        <f>IFERROR(__xludf.DUMMYFUNCTION("GOOGLEFINANCE(A1329,""HIGH"")"),45.75)</f>
        <v>45.75</v>
      </c>
      <c r="E1329" s="14">
        <f>IFERROR(__xludf.DUMMYFUNCTION("GOOGLEFINANCE(A1329,""LOW"")"),44.06)</f>
        <v>44.06</v>
      </c>
      <c r="F1329" s="15" t="str">
        <f t="shared" si="8"/>
        <v/>
      </c>
      <c r="G1329" s="16">
        <f>IFERROR(__xludf.DUMMYFUNCTION("GOOGLEFINANCE(A1329,""CLOSEYEST"")"),44.82)</f>
        <v>44.82</v>
      </c>
      <c r="H1329" s="17" t="str">
        <f t="shared" si="14"/>
        <v/>
      </c>
      <c r="I1329" s="18">
        <f t="shared" si="9"/>
        <v>44.87666667</v>
      </c>
      <c r="J1329" s="19">
        <f t="shared" si="10"/>
        <v>45.69333333</v>
      </c>
      <c r="K1329" s="19"/>
      <c r="L1329" s="19">
        <f t="shared" si="11"/>
        <v>44.00333333</v>
      </c>
      <c r="M1329" s="19">
        <f t="shared" si="12"/>
        <v>46.56666667</v>
      </c>
      <c r="N1329" s="19">
        <f t="shared" si="13"/>
        <v>43.18666667</v>
      </c>
    </row>
    <row r="1330" ht="24.75" customHeight="1">
      <c r="A1330" s="21" t="s">
        <v>1293</v>
      </c>
      <c r="B1330" s="13">
        <f>IFERROR(__xludf.DUMMYFUNCTION("GOOGLEFINANCE(A1330,""PRICE"")"),1100.0)</f>
        <v>1100</v>
      </c>
      <c r="C1330" s="14">
        <f>IFERROR(__xludf.DUMMYFUNCTION("GOOGLEFINANCE(A1330,""PRICEOPEN"")"),1125.0)</f>
        <v>1125</v>
      </c>
      <c r="D1330" s="14">
        <f>IFERROR(__xludf.DUMMYFUNCTION("GOOGLEFINANCE(A1330,""HIGH"")"),1125.0)</f>
        <v>1125</v>
      </c>
      <c r="E1330" s="14">
        <f>IFERROR(__xludf.DUMMYFUNCTION("GOOGLEFINANCE(A1330,""LOW"")"),1097.3)</f>
        <v>1097.3</v>
      </c>
      <c r="F1330" s="15" t="str">
        <f t="shared" si="8"/>
        <v>SELL</v>
      </c>
      <c r="G1330" s="16">
        <f>IFERROR(__xludf.DUMMYFUNCTION("GOOGLEFINANCE(A1330,""CLOSEYEST"")"),1100.5)</f>
        <v>1100.5</v>
      </c>
      <c r="H1330" s="17" t="str">
        <f t="shared" si="14"/>
        <v>GAP UP</v>
      </c>
      <c r="I1330" s="18">
        <f t="shared" si="9"/>
        <v>1107.6</v>
      </c>
      <c r="J1330" s="19">
        <f t="shared" si="10"/>
        <v>1117.9</v>
      </c>
      <c r="K1330" s="19"/>
      <c r="L1330" s="19">
        <f t="shared" si="11"/>
        <v>1090.2</v>
      </c>
      <c r="M1330" s="19">
        <f t="shared" si="12"/>
        <v>1135.3</v>
      </c>
      <c r="N1330" s="19">
        <f t="shared" si="13"/>
        <v>1079.9</v>
      </c>
    </row>
    <row r="1331" ht="24.75" customHeight="1">
      <c r="A1331" s="21" t="s">
        <v>1294</v>
      </c>
      <c r="B1331" s="13">
        <f>IFERROR(__xludf.DUMMYFUNCTION("GOOGLEFINANCE(A1331,""PRICE"")"),126.5)</f>
        <v>126.5</v>
      </c>
      <c r="C1331" s="14">
        <f>IFERROR(__xludf.DUMMYFUNCTION("GOOGLEFINANCE(A1331,""PRICEOPEN"")"),125.61)</f>
        <v>125.61</v>
      </c>
      <c r="D1331" s="14">
        <f>IFERROR(__xludf.DUMMYFUNCTION("GOOGLEFINANCE(A1331,""HIGH"")"),127.0)</f>
        <v>127</v>
      </c>
      <c r="E1331" s="14">
        <f>IFERROR(__xludf.DUMMYFUNCTION("GOOGLEFINANCE(A1331,""LOW"")"),124.32)</f>
        <v>124.32</v>
      </c>
      <c r="F1331" s="15" t="str">
        <f t="shared" si="8"/>
        <v/>
      </c>
      <c r="G1331" s="16">
        <f>IFERROR(__xludf.DUMMYFUNCTION("GOOGLEFINANCE(A1331,""CLOSEYEST"")"),124.59)</f>
        <v>124.59</v>
      </c>
      <c r="H1331" s="17" t="str">
        <f t="shared" si="14"/>
        <v/>
      </c>
      <c r="I1331" s="18">
        <f t="shared" si="9"/>
        <v>125.3033333</v>
      </c>
      <c r="J1331" s="19">
        <f t="shared" si="10"/>
        <v>126.2866667</v>
      </c>
      <c r="K1331" s="19"/>
      <c r="L1331" s="19">
        <f t="shared" si="11"/>
        <v>123.6066667</v>
      </c>
      <c r="M1331" s="19">
        <f t="shared" si="12"/>
        <v>127.9833333</v>
      </c>
      <c r="N1331" s="19">
        <f t="shared" si="13"/>
        <v>122.6233333</v>
      </c>
    </row>
    <row r="1332" ht="24.75" customHeight="1">
      <c r="A1332" s="21" t="s">
        <v>1295</v>
      </c>
      <c r="B1332" s="13">
        <f>IFERROR(__xludf.DUMMYFUNCTION("GOOGLEFINANCE(A1332,""PRICE"")"),8.12)</f>
        <v>8.12</v>
      </c>
      <c r="C1332" s="14">
        <f>IFERROR(__xludf.DUMMYFUNCTION("GOOGLEFINANCE(A1332,""PRICEOPEN"")"),8.23)</f>
        <v>8.23</v>
      </c>
      <c r="D1332" s="14">
        <f>IFERROR(__xludf.DUMMYFUNCTION("GOOGLEFINANCE(A1332,""HIGH"")"),8.23)</f>
        <v>8.23</v>
      </c>
      <c r="E1332" s="14">
        <f>IFERROR(__xludf.DUMMYFUNCTION("GOOGLEFINANCE(A1332,""LOW"")"),8.05)</f>
        <v>8.05</v>
      </c>
      <c r="F1332" s="15" t="str">
        <f t="shared" si="8"/>
        <v>SELL</v>
      </c>
      <c r="G1332" s="16">
        <f>IFERROR(__xludf.DUMMYFUNCTION("GOOGLEFINANCE(A1332,""CLOSEYEST"")"),8.06)</f>
        <v>8.06</v>
      </c>
      <c r="H1332" s="17" t="str">
        <f t="shared" si="14"/>
        <v>GAP UP</v>
      </c>
      <c r="I1332" s="18">
        <f t="shared" si="9"/>
        <v>8.113333333</v>
      </c>
      <c r="J1332" s="19">
        <f t="shared" si="10"/>
        <v>8.176666667</v>
      </c>
      <c r="K1332" s="19"/>
      <c r="L1332" s="19">
        <f t="shared" si="11"/>
        <v>7.996666667</v>
      </c>
      <c r="M1332" s="19">
        <f t="shared" si="12"/>
        <v>8.293333333</v>
      </c>
      <c r="N1332" s="19">
        <f t="shared" si="13"/>
        <v>7.933333333</v>
      </c>
    </row>
    <row r="1333" ht="24.75" customHeight="1">
      <c r="A1333" s="21" t="s">
        <v>1296</v>
      </c>
      <c r="B1333" s="13">
        <f>IFERROR(__xludf.DUMMYFUNCTION("GOOGLEFINANCE(A1333,""PRICE"")"),20.69)</f>
        <v>20.69</v>
      </c>
      <c r="C1333" s="14">
        <f>IFERROR(__xludf.DUMMYFUNCTION("GOOGLEFINANCE(A1333,""PRICEOPEN"")"),20.79)</f>
        <v>20.79</v>
      </c>
      <c r="D1333" s="14">
        <f>IFERROR(__xludf.DUMMYFUNCTION("GOOGLEFINANCE(A1333,""HIGH"")"),20.79)</f>
        <v>20.79</v>
      </c>
      <c r="E1333" s="14">
        <f>IFERROR(__xludf.DUMMYFUNCTION("GOOGLEFINANCE(A1333,""LOW"")"),20.37)</f>
        <v>20.37</v>
      </c>
      <c r="F1333" s="15" t="str">
        <f t="shared" si="8"/>
        <v>SELL</v>
      </c>
      <c r="G1333" s="16">
        <f>IFERROR(__xludf.DUMMYFUNCTION("GOOGLEFINANCE(A1333,""CLOSEYEST"")"),20.4)</f>
        <v>20.4</v>
      </c>
      <c r="H1333" s="17" t="str">
        <f t="shared" si="14"/>
        <v>GAP UP</v>
      </c>
      <c r="I1333" s="18">
        <f t="shared" si="9"/>
        <v>20.52</v>
      </c>
      <c r="J1333" s="19">
        <f t="shared" si="10"/>
        <v>20.67</v>
      </c>
      <c r="K1333" s="19"/>
      <c r="L1333" s="19">
        <f t="shared" si="11"/>
        <v>20.25</v>
      </c>
      <c r="M1333" s="19">
        <f t="shared" si="12"/>
        <v>20.94</v>
      </c>
      <c r="N1333" s="19">
        <f t="shared" si="13"/>
        <v>20.1</v>
      </c>
    </row>
    <row r="1334" ht="24.75" customHeight="1">
      <c r="A1334" s="21" t="s">
        <v>1297</v>
      </c>
      <c r="B1334" s="13">
        <f>IFERROR(__xludf.DUMMYFUNCTION("GOOGLEFINANCE(A1334,""PRICE"")"),27.8)</f>
        <v>27.8</v>
      </c>
      <c r="C1334" s="14">
        <f>IFERROR(__xludf.DUMMYFUNCTION("GOOGLEFINANCE(A1334,""PRICEOPEN"")"),27.99)</f>
        <v>27.99</v>
      </c>
      <c r="D1334" s="14">
        <f>IFERROR(__xludf.DUMMYFUNCTION("GOOGLEFINANCE(A1334,""HIGH"")"),28.04)</f>
        <v>28.04</v>
      </c>
      <c r="E1334" s="14">
        <f>IFERROR(__xludf.DUMMYFUNCTION("GOOGLEFINANCE(A1334,""LOW"")"),27.37)</f>
        <v>27.37</v>
      </c>
      <c r="F1334" s="15" t="str">
        <f t="shared" si="8"/>
        <v/>
      </c>
      <c r="G1334" s="16">
        <f>IFERROR(__xludf.DUMMYFUNCTION("GOOGLEFINANCE(A1334,""CLOSEYEST"")"),27.92)</f>
        <v>27.92</v>
      </c>
      <c r="H1334" s="17" t="str">
        <f t="shared" si="14"/>
        <v/>
      </c>
      <c r="I1334" s="18">
        <f t="shared" si="9"/>
        <v>27.77666667</v>
      </c>
      <c r="J1334" s="19">
        <f t="shared" si="10"/>
        <v>28.18333333</v>
      </c>
      <c r="K1334" s="19"/>
      <c r="L1334" s="19">
        <f t="shared" si="11"/>
        <v>27.51333333</v>
      </c>
      <c r="M1334" s="19">
        <f t="shared" si="12"/>
        <v>28.44666667</v>
      </c>
      <c r="N1334" s="19">
        <f t="shared" si="13"/>
        <v>27.10666667</v>
      </c>
    </row>
    <row r="1335" ht="24.75" customHeight="1">
      <c r="A1335" s="21" t="s">
        <v>1298</v>
      </c>
      <c r="B1335" s="13">
        <f>IFERROR(__xludf.DUMMYFUNCTION("GOOGLEFINANCE(A1335,""PRICE"")"),217.94)</f>
        <v>217.94</v>
      </c>
      <c r="C1335" s="14">
        <f>IFERROR(__xludf.DUMMYFUNCTION("GOOGLEFINANCE(A1335,""PRICEOPEN"")"),215.99)</f>
        <v>215.99</v>
      </c>
      <c r="D1335" s="14">
        <f>IFERROR(__xludf.DUMMYFUNCTION("GOOGLEFINANCE(A1335,""HIGH"")"),218.89)</f>
        <v>218.89</v>
      </c>
      <c r="E1335" s="14">
        <f>IFERROR(__xludf.DUMMYFUNCTION("GOOGLEFINANCE(A1335,""LOW"")"),214.78)</f>
        <v>214.78</v>
      </c>
      <c r="F1335" s="15" t="str">
        <f t="shared" si="8"/>
        <v/>
      </c>
      <c r="G1335" s="16">
        <f>IFERROR(__xludf.DUMMYFUNCTION("GOOGLEFINANCE(A1335,""CLOSEYEST"")"),213.99)</f>
        <v>213.99</v>
      </c>
      <c r="H1335" s="17" t="str">
        <f t="shared" si="14"/>
        <v/>
      </c>
      <c r="I1335" s="18">
        <f t="shared" si="9"/>
        <v>215.8866667</v>
      </c>
      <c r="J1335" s="19">
        <f t="shared" si="10"/>
        <v>216.9933333</v>
      </c>
      <c r="K1335" s="19"/>
      <c r="L1335" s="19">
        <f t="shared" si="11"/>
        <v>212.8833333</v>
      </c>
      <c r="M1335" s="19">
        <f t="shared" si="12"/>
        <v>219.9966667</v>
      </c>
      <c r="N1335" s="19">
        <f t="shared" si="13"/>
        <v>211.7766667</v>
      </c>
    </row>
    <row r="1336" ht="24.75" customHeight="1">
      <c r="A1336" s="21" t="s">
        <v>1299</v>
      </c>
      <c r="B1336" s="13">
        <f>IFERROR(__xludf.DUMMYFUNCTION("GOOGLEFINANCE(A1336,""PRICE"")"),41.62)</f>
        <v>41.62</v>
      </c>
      <c r="C1336" s="14">
        <f>IFERROR(__xludf.DUMMYFUNCTION("GOOGLEFINANCE(A1336,""PRICEOPEN"")"),41.8)</f>
        <v>41.8</v>
      </c>
      <c r="D1336" s="14">
        <f>IFERROR(__xludf.DUMMYFUNCTION("GOOGLEFINANCE(A1336,""HIGH"")"),42.4)</f>
        <v>42.4</v>
      </c>
      <c r="E1336" s="14">
        <f>IFERROR(__xludf.DUMMYFUNCTION("GOOGLEFINANCE(A1336,""LOW"")"),41.45)</f>
        <v>41.45</v>
      </c>
      <c r="F1336" s="15" t="str">
        <f t="shared" si="8"/>
        <v/>
      </c>
      <c r="G1336" s="16">
        <f>IFERROR(__xludf.DUMMYFUNCTION("GOOGLEFINANCE(A1336,""CLOSEYEST"")"),41.91)</f>
        <v>41.91</v>
      </c>
      <c r="H1336" s="17" t="str">
        <f t="shared" si="14"/>
        <v/>
      </c>
      <c r="I1336" s="18">
        <f t="shared" si="9"/>
        <v>41.92</v>
      </c>
      <c r="J1336" s="19">
        <f t="shared" si="10"/>
        <v>42.39</v>
      </c>
      <c r="K1336" s="19"/>
      <c r="L1336" s="19">
        <f t="shared" si="11"/>
        <v>41.44</v>
      </c>
      <c r="M1336" s="19">
        <f t="shared" si="12"/>
        <v>42.87</v>
      </c>
      <c r="N1336" s="19">
        <f t="shared" si="13"/>
        <v>40.97</v>
      </c>
    </row>
    <row r="1337" ht="24.75" customHeight="1">
      <c r="A1337" s="21" t="s">
        <v>1300</v>
      </c>
      <c r="B1337" s="13">
        <f>IFERROR(__xludf.DUMMYFUNCTION("GOOGLEFINANCE(A1337,""PRICE"")"),7.6)</f>
        <v>7.6</v>
      </c>
      <c r="C1337" s="14">
        <f>IFERROR(__xludf.DUMMYFUNCTION("GOOGLEFINANCE(A1337,""PRICEOPEN"")"),7.35)</f>
        <v>7.35</v>
      </c>
      <c r="D1337" s="14">
        <f>IFERROR(__xludf.DUMMYFUNCTION("GOOGLEFINANCE(A1337,""HIGH"")"),7.72)</f>
        <v>7.72</v>
      </c>
      <c r="E1337" s="14">
        <f>IFERROR(__xludf.DUMMYFUNCTION("GOOGLEFINANCE(A1337,""LOW"")"),7.35)</f>
        <v>7.35</v>
      </c>
      <c r="F1337" s="15" t="str">
        <f t="shared" si="8"/>
        <v>BUY</v>
      </c>
      <c r="G1337" s="16">
        <f>IFERROR(__xludf.DUMMYFUNCTION("GOOGLEFINANCE(A1337,""CLOSEYEST"")"),7.54)</f>
        <v>7.54</v>
      </c>
      <c r="H1337" s="17" t="str">
        <f t="shared" si="14"/>
        <v>GAP DOWN</v>
      </c>
      <c r="I1337" s="18">
        <f t="shared" si="9"/>
        <v>7.536666667</v>
      </c>
      <c r="J1337" s="19">
        <f t="shared" si="10"/>
        <v>7.723333333</v>
      </c>
      <c r="K1337" s="19"/>
      <c r="L1337" s="19">
        <f t="shared" si="11"/>
        <v>7.353333333</v>
      </c>
      <c r="M1337" s="19">
        <f t="shared" si="12"/>
        <v>7.906666667</v>
      </c>
      <c r="N1337" s="19">
        <f t="shared" si="13"/>
        <v>7.166666667</v>
      </c>
    </row>
    <row r="1338" ht="24.75" customHeight="1">
      <c r="A1338" s="21" t="s">
        <v>1301</v>
      </c>
      <c r="B1338" s="13">
        <f>IFERROR(__xludf.DUMMYFUNCTION("GOOGLEFINANCE(A1338,""PRICE"")"),213.59)</f>
        <v>213.59</v>
      </c>
      <c r="C1338" s="14">
        <f>IFERROR(__xludf.DUMMYFUNCTION("GOOGLEFINANCE(A1338,""PRICEOPEN"")"),219.23)</f>
        <v>219.23</v>
      </c>
      <c r="D1338" s="14">
        <f>IFERROR(__xludf.DUMMYFUNCTION("GOOGLEFINANCE(A1338,""HIGH"")"),222.4)</f>
        <v>222.4</v>
      </c>
      <c r="E1338" s="14">
        <f>IFERROR(__xludf.DUMMYFUNCTION("GOOGLEFINANCE(A1338,""LOW"")"),212.05)</f>
        <v>212.05</v>
      </c>
      <c r="F1338" s="15" t="str">
        <f t="shared" si="8"/>
        <v/>
      </c>
      <c r="G1338" s="16">
        <f>IFERROR(__xludf.DUMMYFUNCTION("GOOGLEFINANCE(A1338,""CLOSEYEST"")"),217.3)</f>
        <v>217.3</v>
      </c>
      <c r="H1338" s="17" t="str">
        <f t="shared" si="14"/>
        <v/>
      </c>
      <c r="I1338" s="18">
        <f t="shared" si="9"/>
        <v>217.25</v>
      </c>
      <c r="J1338" s="19">
        <f t="shared" si="10"/>
        <v>222.45</v>
      </c>
      <c r="K1338" s="19"/>
      <c r="L1338" s="19">
        <f t="shared" si="11"/>
        <v>212.1</v>
      </c>
      <c r="M1338" s="19">
        <f t="shared" si="12"/>
        <v>227.6</v>
      </c>
      <c r="N1338" s="19">
        <f t="shared" si="13"/>
        <v>206.9</v>
      </c>
    </row>
    <row r="1339" ht="24.75" customHeight="1">
      <c r="A1339" s="21" t="s">
        <v>1302</v>
      </c>
      <c r="B1339" s="13">
        <f>IFERROR(__xludf.DUMMYFUNCTION("GOOGLEFINANCE(A1339,""PRICE"")"),365.85)</f>
        <v>365.85</v>
      </c>
      <c r="C1339" s="14">
        <f>IFERROR(__xludf.DUMMYFUNCTION("GOOGLEFINANCE(A1339,""PRICEOPEN"")"),365.1)</f>
        <v>365.1</v>
      </c>
      <c r="D1339" s="14">
        <f>IFERROR(__xludf.DUMMYFUNCTION("GOOGLEFINANCE(A1339,""HIGH"")"),367.05)</f>
        <v>367.05</v>
      </c>
      <c r="E1339" s="14">
        <f>IFERROR(__xludf.DUMMYFUNCTION("GOOGLEFINANCE(A1339,""LOW"")"),361.5)</f>
        <v>361.5</v>
      </c>
      <c r="F1339" s="15" t="str">
        <f t="shared" si="8"/>
        <v/>
      </c>
      <c r="G1339" s="16">
        <f>IFERROR(__xludf.DUMMYFUNCTION("GOOGLEFINANCE(A1339,""CLOSEYEST"")"),365.55)</f>
        <v>365.55</v>
      </c>
      <c r="H1339" s="17" t="str">
        <f t="shared" si="14"/>
        <v/>
      </c>
      <c r="I1339" s="18">
        <f t="shared" si="9"/>
        <v>364.7</v>
      </c>
      <c r="J1339" s="19">
        <f t="shared" si="10"/>
        <v>367.9</v>
      </c>
      <c r="K1339" s="19"/>
      <c r="L1339" s="19">
        <f t="shared" si="11"/>
        <v>362.35</v>
      </c>
      <c r="M1339" s="19">
        <f t="shared" si="12"/>
        <v>370.25</v>
      </c>
      <c r="N1339" s="19">
        <f t="shared" si="13"/>
        <v>359.15</v>
      </c>
    </row>
    <row r="1340" ht="24.75" customHeight="1">
      <c r="A1340" s="21" t="s">
        <v>1303</v>
      </c>
      <c r="B1340" s="13">
        <f>IFERROR(__xludf.DUMMYFUNCTION("GOOGLEFINANCE(A1340,""PRICE"")"),181.49)</f>
        <v>181.49</v>
      </c>
      <c r="C1340" s="14">
        <f>IFERROR(__xludf.DUMMYFUNCTION("GOOGLEFINANCE(A1340,""PRICEOPEN"")"),181.0)</f>
        <v>181</v>
      </c>
      <c r="D1340" s="14">
        <f>IFERROR(__xludf.DUMMYFUNCTION("GOOGLEFINANCE(A1340,""HIGH"")"),184.48)</f>
        <v>184.48</v>
      </c>
      <c r="E1340" s="14">
        <f>IFERROR(__xludf.DUMMYFUNCTION("GOOGLEFINANCE(A1340,""LOW"")"),176.0)</f>
        <v>176</v>
      </c>
      <c r="F1340" s="15" t="str">
        <f t="shared" si="8"/>
        <v/>
      </c>
      <c r="G1340" s="16">
        <f>IFERROR(__xludf.DUMMYFUNCTION("GOOGLEFINANCE(A1340,""CLOSEYEST"")"),180.01)</f>
        <v>180.01</v>
      </c>
      <c r="H1340" s="17" t="str">
        <f t="shared" si="14"/>
        <v/>
      </c>
      <c r="I1340" s="18">
        <f t="shared" si="9"/>
        <v>180.1633333</v>
      </c>
      <c r="J1340" s="19">
        <f t="shared" si="10"/>
        <v>184.3266667</v>
      </c>
      <c r="K1340" s="19"/>
      <c r="L1340" s="19">
        <f t="shared" si="11"/>
        <v>175.8466667</v>
      </c>
      <c r="M1340" s="19">
        <f t="shared" si="12"/>
        <v>188.6433333</v>
      </c>
      <c r="N1340" s="19">
        <f t="shared" si="13"/>
        <v>171.6833333</v>
      </c>
    </row>
    <row r="1341" ht="24.75" customHeight="1">
      <c r="A1341" s="21" t="s">
        <v>1304</v>
      </c>
      <c r="B1341" s="13">
        <f>IFERROR(__xludf.DUMMYFUNCTION("GOOGLEFINANCE(A1341,""PRICE"")"),25.36)</f>
        <v>25.36</v>
      </c>
      <c r="C1341" s="14">
        <f>IFERROR(__xludf.DUMMYFUNCTION("GOOGLEFINANCE(A1341,""PRICEOPEN"")"),25.25)</f>
        <v>25.25</v>
      </c>
      <c r="D1341" s="14">
        <f>IFERROR(__xludf.DUMMYFUNCTION("GOOGLEFINANCE(A1341,""HIGH"")"),26.24)</f>
        <v>26.24</v>
      </c>
      <c r="E1341" s="14">
        <f>IFERROR(__xludf.DUMMYFUNCTION("GOOGLEFINANCE(A1341,""LOW"")"),25.06)</f>
        <v>25.06</v>
      </c>
      <c r="F1341" s="15" t="str">
        <f t="shared" si="8"/>
        <v/>
      </c>
      <c r="G1341" s="16">
        <f>IFERROR(__xludf.DUMMYFUNCTION("GOOGLEFINANCE(A1341,""CLOSEYEST"")"),25.7)</f>
        <v>25.7</v>
      </c>
      <c r="H1341" s="17" t="str">
        <f t="shared" si="14"/>
        <v>GAP DOWN</v>
      </c>
      <c r="I1341" s="18">
        <f t="shared" si="9"/>
        <v>25.66666667</v>
      </c>
      <c r="J1341" s="19">
        <f t="shared" si="10"/>
        <v>26.27333333</v>
      </c>
      <c r="K1341" s="19"/>
      <c r="L1341" s="19">
        <f t="shared" si="11"/>
        <v>25.09333333</v>
      </c>
      <c r="M1341" s="19">
        <f t="shared" si="12"/>
        <v>26.84666667</v>
      </c>
      <c r="N1341" s="19">
        <f t="shared" si="13"/>
        <v>24.48666667</v>
      </c>
    </row>
    <row r="1342" ht="24.75" customHeight="1">
      <c r="A1342" s="21" t="s">
        <v>1305</v>
      </c>
      <c r="B1342" s="13" t="str">
        <f>IFERROR(__xludf.DUMMYFUNCTION("GOOGLEFINANCE(A1342,""PRICE"")"),"#N/A")</f>
        <v>#N/A</v>
      </c>
      <c r="C1342" s="14" t="str">
        <f>IFERROR(__xludf.DUMMYFUNCTION("GOOGLEFINANCE(A1342,""PRICEOPEN"")"),"#N/A")</f>
        <v>#N/A</v>
      </c>
      <c r="D1342" s="14" t="str">
        <f>IFERROR(__xludf.DUMMYFUNCTION("GOOGLEFINANCE(A1342,""HIGH"")"),"#N/A")</f>
        <v>#N/A</v>
      </c>
      <c r="E1342" s="14" t="str">
        <f>IFERROR(__xludf.DUMMYFUNCTION("GOOGLEFINANCE(A1342,""LOW"")"),"#N/A")</f>
        <v>#N/A</v>
      </c>
      <c r="F1342" s="15" t="str">
        <f t="shared" si="8"/>
        <v>#N/A</v>
      </c>
      <c r="G1342" s="16" t="str">
        <f>IFERROR(__xludf.DUMMYFUNCTION("GOOGLEFINANCE(A1342,""CLOSEYEST"")"),"#N/A")</f>
        <v>#N/A</v>
      </c>
      <c r="H1342" s="17" t="str">
        <f t="shared" si="14"/>
        <v>#N/A</v>
      </c>
      <c r="I1342" s="18" t="str">
        <f t="shared" si="9"/>
        <v>#N/A</v>
      </c>
      <c r="J1342" s="19" t="str">
        <f t="shared" si="10"/>
        <v>#N/A</v>
      </c>
      <c r="K1342" s="19"/>
      <c r="L1342" s="19" t="str">
        <f t="shared" si="11"/>
        <v>#N/A</v>
      </c>
      <c r="M1342" s="19" t="str">
        <f t="shared" si="12"/>
        <v>#N/A</v>
      </c>
      <c r="N1342" s="19" t="str">
        <f t="shared" si="13"/>
        <v>#N/A</v>
      </c>
    </row>
    <row r="1343" ht="24.75" customHeight="1">
      <c r="A1343" s="21" t="s">
        <v>1306</v>
      </c>
      <c r="B1343" s="13">
        <f>IFERROR(__xludf.DUMMYFUNCTION("GOOGLEFINANCE(A1343,""PRICE"")"),30.37)</f>
        <v>30.37</v>
      </c>
      <c r="C1343" s="14">
        <f>IFERROR(__xludf.DUMMYFUNCTION("GOOGLEFINANCE(A1343,""PRICEOPEN"")"),30.25)</f>
        <v>30.25</v>
      </c>
      <c r="D1343" s="14">
        <f>IFERROR(__xludf.DUMMYFUNCTION("GOOGLEFINANCE(A1343,""HIGH"")"),30.79)</f>
        <v>30.79</v>
      </c>
      <c r="E1343" s="14">
        <f>IFERROR(__xludf.DUMMYFUNCTION("GOOGLEFINANCE(A1343,""LOW"")"),30.25)</f>
        <v>30.25</v>
      </c>
      <c r="F1343" s="15" t="str">
        <f t="shared" si="8"/>
        <v>BUY</v>
      </c>
      <c r="G1343" s="16">
        <f>IFERROR(__xludf.DUMMYFUNCTION("GOOGLEFINANCE(A1343,""CLOSEYEST"")"),30.2)</f>
        <v>30.2</v>
      </c>
      <c r="H1343" s="17" t="str">
        <f t="shared" si="14"/>
        <v/>
      </c>
      <c r="I1343" s="18">
        <f t="shared" si="9"/>
        <v>30.41333333</v>
      </c>
      <c r="J1343" s="19">
        <f t="shared" si="10"/>
        <v>30.57666667</v>
      </c>
      <c r="K1343" s="19"/>
      <c r="L1343" s="19">
        <f t="shared" si="11"/>
        <v>30.03666667</v>
      </c>
      <c r="M1343" s="19">
        <f t="shared" si="12"/>
        <v>30.95333333</v>
      </c>
      <c r="N1343" s="19">
        <f t="shared" si="13"/>
        <v>29.87333333</v>
      </c>
    </row>
    <row r="1344" ht="24.75" customHeight="1">
      <c r="A1344" s="21" t="s">
        <v>1307</v>
      </c>
      <c r="B1344" s="13">
        <f>IFERROR(__xludf.DUMMYFUNCTION("GOOGLEFINANCE(A1344,""PRICE"")"),64.3)</f>
        <v>64.3</v>
      </c>
      <c r="C1344" s="14">
        <f>IFERROR(__xludf.DUMMYFUNCTION("GOOGLEFINANCE(A1344,""PRICEOPEN"")"),63.63)</f>
        <v>63.63</v>
      </c>
      <c r="D1344" s="14">
        <f>IFERROR(__xludf.DUMMYFUNCTION("GOOGLEFINANCE(A1344,""HIGH"")"),64.65)</f>
        <v>64.65</v>
      </c>
      <c r="E1344" s="14">
        <f>IFERROR(__xludf.DUMMYFUNCTION("GOOGLEFINANCE(A1344,""LOW"")"),61.41)</f>
        <v>61.41</v>
      </c>
      <c r="F1344" s="15" t="str">
        <f t="shared" si="8"/>
        <v/>
      </c>
      <c r="G1344" s="16">
        <f>IFERROR(__xludf.DUMMYFUNCTION("GOOGLEFINANCE(A1344,""CLOSEYEST"")"),60.61)</f>
        <v>60.61</v>
      </c>
      <c r="H1344" s="17" t="str">
        <f t="shared" si="14"/>
        <v>GAP UP</v>
      </c>
      <c r="I1344" s="18">
        <f t="shared" si="9"/>
        <v>62.22333333</v>
      </c>
      <c r="J1344" s="19">
        <f t="shared" si="10"/>
        <v>63.03666667</v>
      </c>
      <c r="K1344" s="19"/>
      <c r="L1344" s="19">
        <f t="shared" si="11"/>
        <v>59.79666667</v>
      </c>
      <c r="M1344" s="19">
        <f t="shared" si="12"/>
        <v>65.46333333</v>
      </c>
      <c r="N1344" s="19">
        <f t="shared" si="13"/>
        <v>58.98333333</v>
      </c>
    </row>
    <row r="1345" ht="24.75" customHeight="1">
      <c r="A1345" s="21" t="s">
        <v>1308</v>
      </c>
      <c r="B1345" s="13">
        <f>IFERROR(__xludf.DUMMYFUNCTION("GOOGLEFINANCE(A1345,""PRICE"")"),19.94)</f>
        <v>19.94</v>
      </c>
      <c r="C1345" s="14">
        <f>IFERROR(__xludf.DUMMYFUNCTION("GOOGLEFINANCE(A1345,""PRICEOPEN"")"),19.07)</f>
        <v>19.07</v>
      </c>
      <c r="D1345" s="14">
        <f>IFERROR(__xludf.DUMMYFUNCTION("GOOGLEFINANCE(A1345,""HIGH"")"),20.5)</f>
        <v>20.5</v>
      </c>
      <c r="E1345" s="14">
        <f>IFERROR(__xludf.DUMMYFUNCTION("GOOGLEFINANCE(A1345,""LOW"")"),18.96)</f>
        <v>18.96</v>
      </c>
      <c r="F1345" s="15" t="str">
        <f t="shared" si="8"/>
        <v/>
      </c>
      <c r="G1345" s="16">
        <f>IFERROR(__xludf.DUMMYFUNCTION("GOOGLEFINANCE(A1345,""CLOSEYEST"")"),19.07)</f>
        <v>19.07</v>
      </c>
      <c r="H1345" s="17" t="str">
        <f t="shared" si="14"/>
        <v/>
      </c>
      <c r="I1345" s="18">
        <f t="shared" si="9"/>
        <v>19.51</v>
      </c>
      <c r="J1345" s="19">
        <f t="shared" si="10"/>
        <v>20.06</v>
      </c>
      <c r="K1345" s="19"/>
      <c r="L1345" s="19">
        <f t="shared" si="11"/>
        <v>18.52</v>
      </c>
      <c r="M1345" s="19">
        <f t="shared" si="12"/>
        <v>21.05</v>
      </c>
      <c r="N1345" s="19">
        <f t="shared" si="13"/>
        <v>17.97</v>
      </c>
    </row>
    <row r="1346" ht="24.75" customHeight="1">
      <c r="A1346" s="21" t="s">
        <v>1309</v>
      </c>
      <c r="B1346" s="13">
        <f>IFERROR(__xludf.DUMMYFUNCTION("GOOGLEFINANCE(A1346,""PRICE"")"),206.99)</f>
        <v>206.99</v>
      </c>
      <c r="C1346" s="14">
        <f>IFERROR(__xludf.DUMMYFUNCTION("GOOGLEFINANCE(A1346,""PRICEOPEN"")"),198.11)</f>
        <v>198.11</v>
      </c>
      <c r="D1346" s="14">
        <f>IFERROR(__xludf.DUMMYFUNCTION("GOOGLEFINANCE(A1346,""HIGH"")"),208.0)</f>
        <v>208</v>
      </c>
      <c r="E1346" s="14">
        <f>IFERROR(__xludf.DUMMYFUNCTION("GOOGLEFINANCE(A1346,""LOW"")"),198.11)</f>
        <v>198.11</v>
      </c>
      <c r="F1346" s="15" t="str">
        <f t="shared" si="8"/>
        <v>BUY</v>
      </c>
      <c r="G1346" s="16">
        <f>IFERROR(__xludf.DUMMYFUNCTION("GOOGLEFINANCE(A1346,""CLOSEYEST"")"),200.73)</f>
        <v>200.73</v>
      </c>
      <c r="H1346" s="17" t="str">
        <f t="shared" si="14"/>
        <v>GAP DOWN</v>
      </c>
      <c r="I1346" s="18">
        <f t="shared" si="9"/>
        <v>202.28</v>
      </c>
      <c r="J1346" s="19">
        <f t="shared" si="10"/>
        <v>206.45</v>
      </c>
      <c r="K1346" s="19"/>
      <c r="L1346" s="19">
        <f t="shared" si="11"/>
        <v>196.56</v>
      </c>
      <c r="M1346" s="19">
        <f t="shared" si="12"/>
        <v>212.17</v>
      </c>
      <c r="N1346" s="19">
        <f t="shared" si="13"/>
        <v>192.39</v>
      </c>
    </row>
    <row r="1347" ht="24.75" customHeight="1">
      <c r="A1347" s="21" t="s">
        <v>1310</v>
      </c>
      <c r="B1347" s="13">
        <f>IFERROR(__xludf.DUMMYFUNCTION("GOOGLEFINANCE(A1347,""PRICE"")"),29.77)</f>
        <v>29.77</v>
      </c>
      <c r="C1347" s="14">
        <f>IFERROR(__xludf.DUMMYFUNCTION("GOOGLEFINANCE(A1347,""PRICEOPEN"")"),29.49)</f>
        <v>29.49</v>
      </c>
      <c r="D1347" s="14">
        <f>IFERROR(__xludf.DUMMYFUNCTION("GOOGLEFINANCE(A1347,""HIGH"")"),30.0)</f>
        <v>30</v>
      </c>
      <c r="E1347" s="14">
        <f>IFERROR(__xludf.DUMMYFUNCTION("GOOGLEFINANCE(A1347,""LOW"")"),28.6)</f>
        <v>28.6</v>
      </c>
      <c r="F1347" s="15" t="str">
        <f t="shared" si="8"/>
        <v/>
      </c>
      <c r="G1347" s="16">
        <f>IFERROR(__xludf.DUMMYFUNCTION("GOOGLEFINANCE(A1347,""CLOSEYEST"")"),29.05)</f>
        <v>29.05</v>
      </c>
      <c r="H1347" s="17" t="str">
        <f t="shared" si="14"/>
        <v>GAP UP</v>
      </c>
      <c r="I1347" s="18">
        <f t="shared" si="9"/>
        <v>29.21666667</v>
      </c>
      <c r="J1347" s="19">
        <f t="shared" si="10"/>
        <v>29.83333333</v>
      </c>
      <c r="K1347" s="19"/>
      <c r="L1347" s="19">
        <f t="shared" si="11"/>
        <v>28.43333333</v>
      </c>
      <c r="M1347" s="19">
        <f t="shared" si="12"/>
        <v>30.61666667</v>
      </c>
      <c r="N1347" s="19">
        <f t="shared" si="13"/>
        <v>27.81666667</v>
      </c>
    </row>
    <row r="1348" ht="24.75" customHeight="1">
      <c r="A1348" s="21" t="s">
        <v>1311</v>
      </c>
      <c r="B1348" s="13">
        <f>IFERROR(__xludf.DUMMYFUNCTION("GOOGLEFINANCE(A1348,""PRICE"")"),1191.0)</f>
        <v>1191</v>
      </c>
      <c r="C1348" s="14">
        <f>IFERROR(__xludf.DUMMYFUNCTION("GOOGLEFINANCE(A1348,""PRICEOPEN"")"),1187.1)</f>
        <v>1187.1</v>
      </c>
      <c r="D1348" s="14">
        <f>IFERROR(__xludf.DUMMYFUNCTION("GOOGLEFINANCE(A1348,""HIGH"")"),1202.2)</f>
        <v>1202.2</v>
      </c>
      <c r="E1348" s="14">
        <f>IFERROR(__xludf.DUMMYFUNCTION("GOOGLEFINANCE(A1348,""LOW"")"),1174.2)</f>
        <v>1174.2</v>
      </c>
      <c r="F1348" s="15" t="str">
        <f t="shared" si="8"/>
        <v/>
      </c>
      <c r="G1348" s="16">
        <f>IFERROR(__xludf.DUMMYFUNCTION("GOOGLEFINANCE(A1348,""CLOSEYEST"")"),1187.1)</f>
        <v>1187.1</v>
      </c>
      <c r="H1348" s="17" t="str">
        <f t="shared" si="14"/>
        <v/>
      </c>
      <c r="I1348" s="18">
        <f t="shared" si="9"/>
        <v>1187.833333</v>
      </c>
      <c r="J1348" s="19">
        <f t="shared" si="10"/>
        <v>1201.466667</v>
      </c>
      <c r="K1348" s="19"/>
      <c r="L1348" s="19">
        <f t="shared" si="11"/>
        <v>1173.466667</v>
      </c>
      <c r="M1348" s="19">
        <f t="shared" si="12"/>
        <v>1215.833333</v>
      </c>
      <c r="N1348" s="19">
        <f t="shared" si="13"/>
        <v>1159.833333</v>
      </c>
    </row>
    <row r="1349" ht="24.75" customHeight="1">
      <c r="A1349" s="21" t="s">
        <v>1312</v>
      </c>
      <c r="B1349" s="13">
        <f>IFERROR(__xludf.DUMMYFUNCTION("GOOGLEFINANCE(A1349,""PRICE"")"),9.6)</f>
        <v>9.6</v>
      </c>
      <c r="C1349" s="14">
        <f>IFERROR(__xludf.DUMMYFUNCTION("GOOGLEFINANCE(A1349,""PRICEOPEN"")"),9.55)</f>
        <v>9.55</v>
      </c>
      <c r="D1349" s="14">
        <f>IFERROR(__xludf.DUMMYFUNCTION("GOOGLEFINANCE(A1349,""HIGH"")"),9.69)</f>
        <v>9.69</v>
      </c>
      <c r="E1349" s="14">
        <f>IFERROR(__xludf.DUMMYFUNCTION("GOOGLEFINANCE(A1349,""LOW"")"),9.53)</f>
        <v>9.53</v>
      </c>
      <c r="F1349" s="15" t="str">
        <f t="shared" si="8"/>
        <v/>
      </c>
      <c r="G1349" s="16">
        <f>IFERROR(__xludf.DUMMYFUNCTION("GOOGLEFINANCE(A1349,""CLOSEYEST"")"),9.55)</f>
        <v>9.55</v>
      </c>
      <c r="H1349" s="17" t="str">
        <f t="shared" si="14"/>
        <v/>
      </c>
      <c r="I1349" s="18">
        <f t="shared" si="9"/>
        <v>9.59</v>
      </c>
      <c r="J1349" s="19">
        <f t="shared" si="10"/>
        <v>9.65</v>
      </c>
      <c r="K1349" s="19"/>
      <c r="L1349" s="19">
        <f t="shared" si="11"/>
        <v>9.49</v>
      </c>
      <c r="M1349" s="19">
        <f t="shared" si="12"/>
        <v>9.75</v>
      </c>
      <c r="N1349" s="19">
        <f t="shared" si="13"/>
        <v>9.43</v>
      </c>
    </row>
    <row r="1350" ht="24.75" customHeight="1">
      <c r="A1350" s="21" t="s">
        <v>1313</v>
      </c>
      <c r="B1350" s="13">
        <f>IFERROR(__xludf.DUMMYFUNCTION("GOOGLEFINANCE(A1350,""PRICE"")"),100.77)</f>
        <v>100.77</v>
      </c>
      <c r="C1350" s="14">
        <f>IFERROR(__xludf.DUMMYFUNCTION("GOOGLEFINANCE(A1350,""PRICEOPEN"")"),99.9)</f>
        <v>99.9</v>
      </c>
      <c r="D1350" s="14">
        <f>IFERROR(__xludf.DUMMYFUNCTION("GOOGLEFINANCE(A1350,""HIGH"")"),101.85)</f>
        <v>101.85</v>
      </c>
      <c r="E1350" s="14">
        <f>IFERROR(__xludf.DUMMYFUNCTION("GOOGLEFINANCE(A1350,""LOW"")"),99.0)</f>
        <v>99</v>
      </c>
      <c r="F1350" s="15" t="str">
        <f t="shared" si="8"/>
        <v/>
      </c>
      <c r="G1350" s="16">
        <f>IFERROR(__xludf.DUMMYFUNCTION("GOOGLEFINANCE(A1350,""CLOSEYEST"")"),99.09)</f>
        <v>99.09</v>
      </c>
      <c r="H1350" s="17" t="str">
        <f t="shared" si="14"/>
        <v/>
      </c>
      <c r="I1350" s="18">
        <f t="shared" si="9"/>
        <v>99.98</v>
      </c>
      <c r="J1350" s="19">
        <f t="shared" si="10"/>
        <v>100.96</v>
      </c>
      <c r="K1350" s="19"/>
      <c r="L1350" s="19">
        <f t="shared" si="11"/>
        <v>98.11</v>
      </c>
      <c r="M1350" s="19">
        <f t="shared" si="12"/>
        <v>102.83</v>
      </c>
      <c r="N1350" s="19">
        <f t="shared" si="13"/>
        <v>97.13</v>
      </c>
    </row>
    <row r="1351" ht="24.75" customHeight="1">
      <c r="A1351" s="21" t="s">
        <v>1314</v>
      </c>
      <c r="B1351" s="13">
        <f>IFERROR(__xludf.DUMMYFUNCTION("GOOGLEFINANCE(A1351,""PRICE"")"),38.26)</f>
        <v>38.26</v>
      </c>
      <c r="C1351" s="14">
        <f>IFERROR(__xludf.DUMMYFUNCTION("GOOGLEFINANCE(A1351,""PRICEOPEN"")"),37.79)</f>
        <v>37.79</v>
      </c>
      <c r="D1351" s="14">
        <f>IFERROR(__xludf.DUMMYFUNCTION("GOOGLEFINANCE(A1351,""HIGH"")"),38.37)</f>
        <v>38.37</v>
      </c>
      <c r="E1351" s="14">
        <f>IFERROR(__xludf.DUMMYFUNCTION("GOOGLEFINANCE(A1351,""LOW"")"),37.64)</f>
        <v>37.64</v>
      </c>
      <c r="F1351" s="15" t="str">
        <f t="shared" si="8"/>
        <v/>
      </c>
      <c r="G1351" s="16">
        <f>IFERROR(__xludf.DUMMYFUNCTION("GOOGLEFINANCE(A1351,""CLOSEYEST"")"),37.58)</f>
        <v>37.58</v>
      </c>
      <c r="H1351" s="17" t="str">
        <f t="shared" si="14"/>
        <v/>
      </c>
      <c r="I1351" s="18">
        <f t="shared" si="9"/>
        <v>37.86333333</v>
      </c>
      <c r="J1351" s="19">
        <f t="shared" si="10"/>
        <v>38.08666667</v>
      </c>
      <c r="K1351" s="19"/>
      <c r="L1351" s="19">
        <f t="shared" si="11"/>
        <v>37.35666667</v>
      </c>
      <c r="M1351" s="19">
        <f t="shared" si="12"/>
        <v>38.59333333</v>
      </c>
      <c r="N1351" s="19">
        <f t="shared" si="13"/>
        <v>37.13333333</v>
      </c>
    </row>
    <row r="1352" ht="24.75" customHeight="1">
      <c r="A1352" s="21" t="s">
        <v>1315</v>
      </c>
      <c r="B1352" s="13">
        <f>IFERROR(__xludf.DUMMYFUNCTION("GOOGLEFINANCE(A1352,""PRICE"")"),90.49)</f>
        <v>90.49</v>
      </c>
      <c r="C1352" s="14">
        <f>IFERROR(__xludf.DUMMYFUNCTION("GOOGLEFINANCE(A1352,""PRICEOPEN"")"),91.5)</f>
        <v>91.5</v>
      </c>
      <c r="D1352" s="14">
        <f>IFERROR(__xludf.DUMMYFUNCTION("GOOGLEFINANCE(A1352,""HIGH"")"),91.5)</f>
        <v>91.5</v>
      </c>
      <c r="E1352" s="14">
        <f>IFERROR(__xludf.DUMMYFUNCTION("GOOGLEFINANCE(A1352,""LOW"")"),88.25)</f>
        <v>88.25</v>
      </c>
      <c r="F1352" s="15" t="str">
        <f t="shared" si="8"/>
        <v>SELL</v>
      </c>
      <c r="G1352" s="16">
        <f>IFERROR(__xludf.DUMMYFUNCTION("GOOGLEFINANCE(A1352,""CLOSEYEST"")"),90.84)</f>
        <v>90.84</v>
      </c>
      <c r="H1352" s="17" t="str">
        <f t="shared" si="14"/>
        <v/>
      </c>
      <c r="I1352" s="18">
        <f t="shared" si="9"/>
        <v>90.19666667</v>
      </c>
      <c r="J1352" s="19">
        <f t="shared" si="10"/>
        <v>92.14333333</v>
      </c>
      <c r="K1352" s="19"/>
      <c r="L1352" s="19">
        <f t="shared" si="11"/>
        <v>88.89333333</v>
      </c>
      <c r="M1352" s="19">
        <f t="shared" si="12"/>
        <v>93.44666667</v>
      </c>
      <c r="N1352" s="19">
        <f t="shared" si="13"/>
        <v>86.94666667</v>
      </c>
    </row>
    <row r="1353" ht="24.75" customHeight="1">
      <c r="A1353" s="21" t="s">
        <v>1316</v>
      </c>
      <c r="B1353" s="13">
        <f>IFERROR(__xludf.DUMMYFUNCTION("GOOGLEFINANCE(A1353,""PRICE"")"),9.8)</f>
        <v>9.8</v>
      </c>
      <c r="C1353" s="14">
        <f>IFERROR(__xludf.DUMMYFUNCTION("GOOGLEFINANCE(A1353,""PRICEOPEN"")"),9.88)</f>
        <v>9.88</v>
      </c>
      <c r="D1353" s="14">
        <f>IFERROR(__xludf.DUMMYFUNCTION("GOOGLEFINANCE(A1353,""HIGH"")"),9.94)</f>
        <v>9.94</v>
      </c>
      <c r="E1353" s="14">
        <f>IFERROR(__xludf.DUMMYFUNCTION("GOOGLEFINANCE(A1353,""LOW"")"),9.54)</f>
        <v>9.54</v>
      </c>
      <c r="F1353" s="15" t="str">
        <f t="shared" si="8"/>
        <v/>
      </c>
      <c r="G1353" s="16">
        <f>IFERROR(__xludf.DUMMYFUNCTION("GOOGLEFINANCE(A1353,""CLOSEYEST"")"),9.73)</f>
        <v>9.73</v>
      </c>
      <c r="H1353" s="17" t="str">
        <f t="shared" si="14"/>
        <v>GAP UP</v>
      </c>
      <c r="I1353" s="18">
        <f t="shared" si="9"/>
        <v>9.736666667</v>
      </c>
      <c r="J1353" s="19">
        <f t="shared" si="10"/>
        <v>9.933333333</v>
      </c>
      <c r="K1353" s="19"/>
      <c r="L1353" s="19">
        <f t="shared" si="11"/>
        <v>9.533333333</v>
      </c>
      <c r="M1353" s="19">
        <f t="shared" si="12"/>
        <v>10.13666667</v>
      </c>
      <c r="N1353" s="19">
        <f t="shared" si="13"/>
        <v>9.336666667</v>
      </c>
    </row>
    <row r="1354" ht="24.75" customHeight="1">
      <c r="A1354" s="21" t="s">
        <v>1317</v>
      </c>
      <c r="B1354" s="13">
        <f>IFERROR(__xludf.DUMMYFUNCTION("GOOGLEFINANCE(A1354,""PRICE"")"),37.55)</f>
        <v>37.55</v>
      </c>
      <c r="C1354" s="14">
        <f>IFERROR(__xludf.DUMMYFUNCTION("GOOGLEFINANCE(A1354,""PRICEOPEN"")"),32.78)</f>
        <v>32.78</v>
      </c>
      <c r="D1354" s="14">
        <f>IFERROR(__xludf.DUMMYFUNCTION("GOOGLEFINANCE(A1354,""HIGH"")"),37.8)</f>
        <v>37.8</v>
      </c>
      <c r="E1354" s="14">
        <f>IFERROR(__xludf.DUMMYFUNCTION("GOOGLEFINANCE(A1354,""LOW"")"),32.78)</f>
        <v>32.78</v>
      </c>
      <c r="F1354" s="15" t="str">
        <f t="shared" si="8"/>
        <v>BUY</v>
      </c>
      <c r="G1354" s="16">
        <f>IFERROR(__xludf.DUMMYFUNCTION("GOOGLEFINANCE(A1354,""CLOSEYEST"")"),32.99)</f>
        <v>32.99</v>
      </c>
      <c r="H1354" s="17" t="str">
        <f t="shared" si="14"/>
        <v/>
      </c>
      <c r="I1354" s="18">
        <f t="shared" si="9"/>
        <v>34.52333333</v>
      </c>
      <c r="J1354" s="19">
        <f t="shared" si="10"/>
        <v>36.26666667</v>
      </c>
      <c r="K1354" s="19"/>
      <c r="L1354" s="19">
        <f t="shared" si="11"/>
        <v>31.24666667</v>
      </c>
      <c r="M1354" s="19">
        <f t="shared" si="12"/>
        <v>39.54333333</v>
      </c>
      <c r="N1354" s="19">
        <f t="shared" si="13"/>
        <v>29.50333333</v>
      </c>
    </row>
    <row r="1355" ht="24.75" customHeight="1">
      <c r="A1355" s="21" t="s">
        <v>1318</v>
      </c>
      <c r="B1355" s="13">
        <f>IFERROR(__xludf.DUMMYFUNCTION("GOOGLEFINANCE(A1355,""PRICE"")"),12.99)</f>
        <v>12.99</v>
      </c>
      <c r="C1355" s="14">
        <f>IFERROR(__xludf.DUMMYFUNCTION("GOOGLEFINANCE(A1355,""PRICEOPEN"")"),12.95)</f>
        <v>12.95</v>
      </c>
      <c r="D1355" s="14">
        <f>IFERROR(__xludf.DUMMYFUNCTION("GOOGLEFINANCE(A1355,""HIGH"")"),13.05)</f>
        <v>13.05</v>
      </c>
      <c r="E1355" s="14">
        <f>IFERROR(__xludf.DUMMYFUNCTION("GOOGLEFINANCE(A1355,""LOW"")"),12.95)</f>
        <v>12.95</v>
      </c>
      <c r="F1355" s="15" t="str">
        <f t="shared" si="8"/>
        <v>BUY</v>
      </c>
      <c r="G1355" s="16">
        <f>IFERROR(__xludf.DUMMYFUNCTION("GOOGLEFINANCE(A1355,""CLOSEYEST"")"),12.98)</f>
        <v>12.98</v>
      </c>
      <c r="H1355" s="17" t="str">
        <f t="shared" si="14"/>
        <v/>
      </c>
      <c r="I1355" s="18">
        <f t="shared" si="9"/>
        <v>12.99333333</v>
      </c>
      <c r="J1355" s="19">
        <f t="shared" si="10"/>
        <v>13.03666667</v>
      </c>
      <c r="K1355" s="19"/>
      <c r="L1355" s="19">
        <f t="shared" si="11"/>
        <v>12.93666667</v>
      </c>
      <c r="M1355" s="19">
        <f t="shared" si="12"/>
        <v>13.09333333</v>
      </c>
      <c r="N1355" s="19">
        <f t="shared" si="13"/>
        <v>12.89333333</v>
      </c>
    </row>
    <row r="1356" ht="24.75" customHeight="1">
      <c r="A1356" s="21" t="s">
        <v>1319</v>
      </c>
      <c r="B1356" s="13">
        <f>IFERROR(__xludf.DUMMYFUNCTION("GOOGLEFINANCE(A1356,""PRICE"")"),96.22)</f>
        <v>96.22</v>
      </c>
      <c r="C1356" s="14">
        <f>IFERROR(__xludf.DUMMYFUNCTION("GOOGLEFINANCE(A1356,""PRICEOPEN"")"),95.25)</f>
        <v>95.25</v>
      </c>
      <c r="D1356" s="14">
        <f>IFERROR(__xludf.DUMMYFUNCTION("GOOGLEFINANCE(A1356,""HIGH"")"),98.5)</f>
        <v>98.5</v>
      </c>
      <c r="E1356" s="14">
        <f>IFERROR(__xludf.DUMMYFUNCTION("GOOGLEFINANCE(A1356,""LOW"")"),95.25)</f>
        <v>95.25</v>
      </c>
      <c r="F1356" s="15" t="str">
        <f t="shared" si="8"/>
        <v>BUY</v>
      </c>
      <c r="G1356" s="16">
        <f>IFERROR(__xludf.DUMMYFUNCTION("GOOGLEFINANCE(A1356,""CLOSEYEST"")"),96.67)</f>
        <v>96.67</v>
      </c>
      <c r="H1356" s="17" t="str">
        <f t="shared" si="14"/>
        <v>GAP DOWN</v>
      </c>
      <c r="I1356" s="18">
        <f t="shared" si="9"/>
        <v>96.80666667</v>
      </c>
      <c r="J1356" s="19">
        <f t="shared" si="10"/>
        <v>98.36333333</v>
      </c>
      <c r="K1356" s="19"/>
      <c r="L1356" s="19">
        <f t="shared" si="11"/>
        <v>95.11333333</v>
      </c>
      <c r="M1356" s="19">
        <f t="shared" si="12"/>
        <v>100.0566667</v>
      </c>
      <c r="N1356" s="19">
        <f t="shared" si="13"/>
        <v>93.55666667</v>
      </c>
    </row>
    <row r="1357" ht="24.75" customHeight="1">
      <c r="A1357" s="21" t="s">
        <v>1320</v>
      </c>
      <c r="B1357" s="13">
        <f>IFERROR(__xludf.DUMMYFUNCTION("GOOGLEFINANCE(A1357,""PRICE"")"),317.8)</f>
        <v>317.8</v>
      </c>
      <c r="C1357" s="14">
        <f>IFERROR(__xludf.DUMMYFUNCTION("GOOGLEFINANCE(A1357,""PRICEOPEN"")"),310.7)</f>
        <v>310.7</v>
      </c>
      <c r="D1357" s="14">
        <f>IFERROR(__xludf.DUMMYFUNCTION("GOOGLEFINANCE(A1357,""HIGH"")"),317.9)</f>
        <v>317.9</v>
      </c>
      <c r="E1357" s="14">
        <f>IFERROR(__xludf.DUMMYFUNCTION("GOOGLEFINANCE(A1357,""LOW"")"),303.0)</f>
        <v>303</v>
      </c>
      <c r="F1357" s="15" t="str">
        <f t="shared" si="8"/>
        <v/>
      </c>
      <c r="G1357" s="16">
        <f>IFERROR(__xludf.DUMMYFUNCTION("GOOGLEFINANCE(A1357,""CLOSEYEST"")"),318.65)</f>
        <v>318.65</v>
      </c>
      <c r="H1357" s="17" t="str">
        <f t="shared" si="14"/>
        <v>GAP DOWN</v>
      </c>
      <c r="I1357" s="18">
        <f t="shared" si="9"/>
        <v>313.1833333</v>
      </c>
      <c r="J1357" s="19">
        <f t="shared" si="10"/>
        <v>323.3666667</v>
      </c>
      <c r="K1357" s="19"/>
      <c r="L1357" s="19">
        <f t="shared" si="11"/>
        <v>308.4666667</v>
      </c>
      <c r="M1357" s="19">
        <f t="shared" si="12"/>
        <v>328.0833333</v>
      </c>
      <c r="N1357" s="19">
        <f t="shared" si="13"/>
        <v>298.2833333</v>
      </c>
    </row>
    <row r="1358" ht="24.75" customHeight="1">
      <c r="A1358" s="21" t="s">
        <v>1321</v>
      </c>
      <c r="B1358" s="13" t="str">
        <f>IFERROR(__xludf.DUMMYFUNCTION("GOOGLEFINANCE(A1358,""PRICE"")"),"#N/A")</f>
        <v>#N/A</v>
      </c>
      <c r="C1358" s="14" t="str">
        <f>IFERROR(__xludf.DUMMYFUNCTION("GOOGLEFINANCE(A1358,""PRICEOPEN"")"),"#N/A")</f>
        <v>#N/A</v>
      </c>
      <c r="D1358" s="14" t="str">
        <f>IFERROR(__xludf.DUMMYFUNCTION("GOOGLEFINANCE(A1358,""HIGH"")"),"#N/A")</f>
        <v>#N/A</v>
      </c>
      <c r="E1358" s="14" t="str">
        <f>IFERROR(__xludf.DUMMYFUNCTION("GOOGLEFINANCE(A1358,""LOW"")"),"#N/A")</f>
        <v>#N/A</v>
      </c>
      <c r="F1358" s="15" t="str">
        <f t="shared" si="8"/>
        <v>#N/A</v>
      </c>
      <c r="G1358" s="16" t="str">
        <f>IFERROR(__xludf.DUMMYFUNCTION("GOOGLEFINANCE(A1358,""CLOSEYEST"")"),"#N/A")</f>
        <v>#N/A</v>
      </c>
      <c r="H1358" s="17" t="str">
        <f t="shared" si="14"/>
        <v>#N/A</v>
      </c>
      <c r="I1358" s="18" t="str">
        <f t="shared" si="9"/>
        <v>#N/A</v>
      </c>
      <c r="J1358" s="19" t="str">
        <f t="shared" si="10"/>
        <v>#N/A</v>
      </c>
      <c r="K1358" s="19"/>
      <c r="L1358" s="19" t="str">
        <f t="shared" si="11"/>
        <v>#N/A</v>
      </c>
      <c r="M1358" s="19" t="str">
        <f t="shared" si="12"/>
        <v>#N/A</v>
      </c>
      <c r="N1358" s="19" t="str">
        <f t="shared" si="13"/>
        <v>#N/A</v>
      </c>
    </row>
    <row r="1359" ht="24.75" customHeight="1">
      <c r="A1359" s="21" t="s">
        <v>1322</v>
      </c>
      <c r="B1359" s="13">
        <f>IFERROR(__xludf.DUMMYFUNCTION("GOOGLEFINANCE(A1359,""PRICE"")"),582.0)</f>
        <v>582</v>
      </c>
      <c r="C1359" s="14">
        <f>IFERROR(__xludf.DUMMYFUNCTION("GOOGLEFINANCE(A1359,""PRICEOPEN"")"),585.0)</f>
        <v>585</v>
      </c>
      <c r="D1359" s="14">
        <f>IFERROR(__xludf.DUMMYFUNCTION("GOOGLEFINANCE(A1359,""HIGH"")"),595.0)</f>
        <v>595</v>
      </c>
      <c r="E1359" s="14">
        <f>IFERROR(__xludf.DUMMYFUNCTION("GOOGLEFINANCE(A1359,""LOW"")"),582.0)</f>
        <v>582</v>
      </c>
      <c r="F1359" s="15" t="str">
        <f t="shared" si="8"/>
        <v/>
      </c>
      <c r="G1359" s="16">
        <f>IFERROR(__xludf.DUMMYFUNCTION("GOOGLEFINANCE(A1359,""CLOSEYEST"")"),587.4)</f>
        <v>587.4</v>
      </c>
      <c r="H1359" s="17" t="str">
        <f t="shared" si="14"/>
        <v/>
      </c>
      <c r="I1359" s="18">
        <f t="shared" si="9"/>
        <v>588.1333333</v>
      </c>
      <c r="J1359" s="19">
        <f t="shared" si="10"/>
        <v>594.2666667</v>
      </c>
      <c r="K1359" s="19"/>
      <c r="L1359" s="19">
        <f t="shared" si="11"/>
        <v>581.2666667</v>
      </c>
      <c r="M1359" s="19">
        <f t="shared" si="12"/>
        <v>601.1333333</v>
      </c>
      <c r="N1359" s="19">
        <f t="shared" si="13"/>
        <v>575.1333333</v>
      </c>
    </row>
    <row r="1360" ht="24.75" customHeight="1">
      <c r="A1360" s="21" t="s">
        <v>1323</v>
      </c>
      <c r="B1360" s="13">
        <f>IFERROR(__xludf.DUMMYFUNCTION("GOOGLEFINANCE(A1360,""PRICE"")"),59.72)</f>
        <v>59.72</v>
      </c>
      <c r="C1360" s="14">
        <f>IFERROR(__xludf.DUMMYFUNCTION("GOOGLEFINANCE(A1360,""PRICEOPEN"")"),59.71)</f>
        <v>59.71</v>
      </c>
      <c r="D1360" s="14">
        <f>IFERROR(__xludf.DUMMYFUNCTION("GOOGLEFINANCE(A1360,""HIGH"")"),61.5)</f>
        <v>61.5</v>
      </c>
      <c r="E1360" s="14">
        <f>IFERROR(__xludf.DUMMYFUNCTION("GOOGLEFINANCE(A1360,""LOW"")"),59.01)</f>
        <v>59.01</v>
      </c>
      <c r="F1360" s="15" t="str">
        <f t="shared" si="8"/>
        <v/>
      </c>
      <c r="G1360" s="16">
        <f>IFERROR(__xludf.DUMMYFUNCTION("GOOGLEFINANCE(A1360,""CLOSEYEST"")"),61.22)</f>
        <v>61.22</v>
      </c>
      <c r="H1360" s="17" t="str">
        <f t="shared" si="14"/>
        <v>GAP DOWN</v>
      </c>
      <c r="I1360" s="18">
        <f t="shared" si="9"/>
        <v>60.57666667</v>
      </c>
      <c r="J1360" s="19">
        <f t="shared" si="10"/>
        <v>62.14333333</v>
      </c>
      <c r="K1360" s="19"/>
      <c r="L1360" s="19">
        <f t="shared" si="11"/>
        <v>59.65333333</v>
      </c>
      <c r="M1360" s="19">
        <f t="shared" si="12"/>
        <v>63.06666667</v>
      </c>
      <c r="N1360" s="19">
        <f t="shared" si="13"/>
        <v>58.08666667</v>
      </c>
    </row>
    <row r="1361" ht="24.75" customHeight="1">
      <c r="A1361" s="21" t="s">
        <v>1324</v>
      </c>
      <c r="B1361" s="13">
        <f>IFERROR(__xludf.DUMMYFUNCTION("GOOGLEFINANCE(A1361,""PRICE"")"),348.4)</f>
        <v>348.4</v>
      </c>
      <c r="C1361" s="14">
        <f>IFERROR(__xludf.DUMMYFUNCTION("GOOGLEFINANCE(A1361,""PRICEOPEN"")"),336.95)</f>
        <v>336.95</v>
      </c>
      <c r="D1361" s="14">
        <f>IFERROR(__xludf.DUMMYFUNCTION("GOOGLEFINANCE(A1361,""HIGH"")"),348.5)</f>
        <v>348.5</v>
      </c>
      <c r="E1361" s="14">
        <f>IFERROR(__xludf.DUMMYFUNCTION("GOOGLEFINANCE(A1361,""LOW"")"),333.3)</f>
        <v>333.3</v>
      </c>
      <c r="F1361" s="15" t="str">
        <f t="shared" si="8"/>
        <v/>
      </c>
      <c r="G1361" s="16">
        <f>IFERROR(__xludf.DUMMYFUNCTION("GOOGLEFINANCE(A1361,""CLOSEYEST"")"),333.0)</f>
        <v>333</v>
      </c>
      <c r="H1361" s="17" t="str">
        <f t="shared" si="14"/>
        <v>GAP UP</v>
      </c>
      <c r="I1361" s="18">
        <f t="shared" si="9"/>
        <v>338.2666667</v>
      </c>
      <c r="J1361" s="19">
        <f t="shared" si="10"/>
        <v>343.2333333</v>
      </c>
      <c r="K1361" s="19"/>
      <c r="L1361" s="19">
        <f t="shared" si="11"/>
        <v>328.0333333</v>
      </c>
      <c r="M1361" s="19">
        <f t="shared" si="12"/>
        <v>353.4666667</v>
      </c>
      <c r="N1361" s="19">
        <f t="shared" si="13"/>
        <v>323.0666667</v>
      </c>
    </row>
    <row r="1362" ht="24.75" customHeight="1">
      <c r="A1362" s="21" t="s">
        <v>1325</v>
      </c>
      <c r="B1362" s="13">
        <f>IFERROR(__xludf.DUMMYFUNCTION("GOOGLEFINANCE(A1362,""PRICE"")"),1.73)</f>
        <v>1.73</v>
      </c>
      <c r="C1362" s="14">
        <f>IFERROR(__xludf.DUMMYFUNCTION("GOOGLEFINANCE(A1362,""PRICEOPEN"")"),1.67)</f>
        <v>1.67</v>
      </c>
      <c r="D1362" s="14">
        <f>IFERROR(__xludf.DUMMYFUNCTION("GOOGLEFINANCE(A1362,""HIGH"")"),1.73)</f>
        <v>1.73</v>
      </c>
      <c r="E1362" s="14">
        <f>IFERROR(__xludf.DUMMYFUNCTION("GOOGLEFINANCE(A1362,""LOW"")"),1.65)</f>
        <v>1.65</v>
      </c>
      <c r="F1362" s="15" t="str">
        <f t="shared" si="8"/>
        <v/>
      </c>
      <c r="G1362" s="16">
        <f>IFERROR(__xludf.DUMMYFUNCTION("GOOGLEFINANCE(A1362,""CLOSEYEST"")"),1.7)</f>
        <v>1.7</v>
      </c>
      <c r="H1362" s="17" t="str">
        <f t="shared" si="14"/>
        <v>GAP DOWN</v>
      </c>
      <c r="I1362" s="18">
        <f t="shared" si="9"/>
        <v>1.693333333</v>
      </c>
      <c r="J1362" s="19">
        <f t="shared" si="10"/>
        <v>1.736666667</v>
      </c>
      <c r="K1362" s="19"/>
      <c r="L1362" s="19">
        <f t="shared" si="11"/>
        <v>1.656666667</v>
      </c>
      <c r="M1362" s="19">
        <f t="shared" si="12"/>
        <v>1.773333333</v>
      </c>
      <c r="N1362" s="19">
        <f t="shared" si="13"/>
        <v>1.613333333</v>
      </c>
    </row>
    <row r="1363" ht="24.75" customHeight="1">
      <c r="A1363" s="21" t="s">
        <v>1326</v>
      </c>
      <c r="B1363" s="13">
        <f>IFERROR(__xludf.DUMMYFUNCTION("GOOGLEFINANCE(A1363,""PRICE"")"),1.94)</f>
        <v>1.94</v>
      </c>
      <c r="C1363" s="14">
        <f>IFERROR(__xludf.DUMMYFUNCTION("GOOGLEFINANCE(A1363,""PRICEOPEN"")"),1.92)</f>
        <v>1.92</v>
      </c>
      <c r="D1363" s="14">
        <f>IFERROR(__xludf.DUMMYFUNCTION("GOOGLEFINANCE(A1363,""HIGH"")"),1.95)</f>
        <v>1.95</v>
      </c>
      <c r="E1363" s="14">
        <f>IFERROR(__xludf.DUMMYFUNCTION("GOOGLEFINANCE(A1363,""LOW"")"),1.9)</f>
        <v>1.9</v>
      </c>
      <c r="F1363" s="15" t="str">
        <f t="shared" si="8"/>
        <v/>
      </c>
      <c r="G1363" s="16">
        <f>IFERROR(__xludf.DUMMYFUNCTION("GOOGLEFINANCE(A1363,""CLOSEYEST"")"),1.91)</f>
        <v>1.91</v>
      </c>
      <c r="H1363" s="17" t="str">
        <f t="shared" si="14"/>
        <v/>
      </c>
      <c r="I1363" s="18">
        <f t="shared" si="9"/>
        <v>1.92</v>
      </c>
      <c r="J1363" s="19">
        <f t="shared" si="10"/>
        <v>1.94</v>
      </c>
      <c r="K1363" s="19"/>
      <c r="L1363" s="19">
        <f t="shared" si="11"/>
        <v>1.89</v>
      </c>
      <c r="M1363" s="19">
        <f t="shared" si="12"/>
        <v>1.97</v>
      </c>
      <c r="N1363" s="19">
        <f t="shared" si="13"/>
        <v>1.87</v>
      </c>
    </row>
    <row r="1364" ht="24.75" customHeight="1">
      <c r="A1364" s="21" t="s">
        <v>1327</v>
      </c>
      <c r="B1364" s="13">
        <f>IFERROR(__xludf.DUMMYFUNCTION("GOOGLEFINANCE(A1364,""PRICE"")"),294.0)</f>
        <v>294</v>
      </c>
      <c r="C1364" s="14">
        <f>IFERROR(__xludf.DUMMYFUNCTION("GOOGLEFINANCE(A1364,""PRICEOPEN"")"),302.95)</f>
        <v>302.95</v>
      </c>
      <c r="D1364" s="14">
        <f>IFERROR(__xludf.DUMMYFUNCTION("GOOGLEFINANCE(A1364,""HIGH"")"),302.95)</f>
        <v>302.95</v>
      </c>
      <c r="E1364" s="14">
        <f>IFERROR(__xludf.DUMMYFUNCTION("GOOGLEFINANCE(A1364,""LOW"")"),292.4)</f>
        <v>292.4</v>
      </c>
      <c r="F1364" s="15" t="str">
        <f t="shared" si="8"/>
        <v>SELL</v>
      </c>
      <c r="G1364" s="16">
        <f>IFERROR(__xludf.DUMMYFUNCTION("GOOGLEFINANCE(A1364,""CLOSEYEST"")"),299.95)</f>
        <v>299.95</v>
      </c>
      <c r="H1364" s="17" t="str">
        <f t="shared" si="14"/>
        <v>GAP UP</v>
      </c>
      <c r="I1364" s="18">
        <f t="shared" si="9"/>
        <v>298.4333333</v>
      </c>
      <c r="J1364" s="19">
        <f t="shared" si="10"/>
        <v>304.4666667</v>
      </c>
      <c r="K1364" s="19"/>
      <c r="L1364" s="19">
        <f t="shared" si="11"/>
        <v>293.9166667</v>
      </c>
      <c r="M1364" s="19">
        <f t="shared" si="12"/>
        <v>308.9833333</v>
      </c>
      <c r="N1364" s="19">
        <f t="shared" si="13"/>
        <v>287.8833333</v>
      </c>
    </row>
    <row r="1365" ht="24.75" customHeight="1">
      <c r="A1365" s="21" t="s">
        <v>1328</v>
      </c>
      <c r="B1365" s="13">
        <f>IFERROR(__xludf.DUMMYFUNCTION("GOOGLEFINANCE(A1365,""PRICE"")"),40.22)</f>
        <v>40.22</v>
      </c>
      <c r="C1365" s="14">
        <f>IFERROR(__xludf.DUMMYFUNCTION("GOOGLEFINANCE(A1365,""PRICEOPEN"")"),40.3)</f>
        <v>40.3</v>
      </c>
      <c r="D1365" s="14">
        <f>IFERROR(__xludf.DUMMYFUNCTION("GOOGLEFINANCE(A1365,""HIGH"")"),40.62)</f>
        <v>40.62</v>
      </c>
      <c r="E1365" s="14">
        <f>IFERROR(__xludf.DUMMYFUNCTION("GOOGLEFINANCE(A1365,""LOW"")"),40.08)</f>
        <v>40.08</v>
      </c>
      <c r="F1365" s="15" t="str">
        <f t="shared" si="8"/>
        <v/>
      </c>
      <c r="G1365" s="16">
        <f>IFERROR(__xludf.DUMMYFUNCTION("GOOGLEFINANCE(A1365,""CLOSEYEST"")"),40.3)</f>
        <v>40.3</v>
      </c>
      <c r="H1365" s="17" t="str">
        <f t="shared" si="14"/>
        <v/>
      </c>
      <c r="I1365" s="18">
        <f t="shared" si="9"/>
        <v>40.33333333</v>
      </c>
      <c r="J1365" s="19">
        <f t="shared" si="10"/>
        <v>40.58666667</v>
      </c>
      <c r="K1365" s="19"/>
      <c r="L1365" s="19">
        <f t="shared" si="11"/>
        <v>40.04666667</v>
      </c>
      <c r="M1365" s="19">
        <f t="shared" si="12"/>
        <v>40.87333333</v>
      </c>
      <c r="N1365" s="19">
        <f t="shared" si="13"/>
        <v>39.79333333</v>
      </c>
    </row>
    <row r="1366" ht="24.75" customHeight="1">
      <c r="A1366" s="21" t="s">
        <v>1329</v>
      </c>
      <c r="B1366" s="13">
        <f>IFERROR(__xludf.DUMMYFUNCTION("GOOGLEFINANCE(A1366,""PRICE"")"),485.5)</f>
        <v>485.5</v>
      </c>
      <c r="C1366" s="14">
        <f>IFERROR(__xludf.DUMMYFUNCTION("GOOGLEFINANCE(A1366,""PRICEOPEN"")"),468.75)</f>
        <v>468.75</v>
      </c>
      <c r="D1366" s="14">
        <f>IFERROR(__xludf.DUMMYFUNCTION("GOOGLEFINANCE(A1366,""HIGH"")"),492.0)</f>
        <v>492</v>
      </c>
      <c r="E1366" s="14">
        <f>IFERROR(__xludf.DUMMYFUNCTION("GOOGLEFINANCE(A1366,""LOW"")"),468.75)</f>
        <v>468.75</v>
      </c>
      <c r="F1366" s="15" t="str">
        <f t="shared" si="8"/>
        <v>BUY</v>
      </c>
      <c r="G1366" s="16">
        <f>IFERROR(__xludf.DUMMYFUNCTION("GOOGLEFINANCE(A1366,""CLOSEYEST"")"),468.7)</f>
        <v>468.7</v>
      </c>
      <c r="H1366" s="17" t="str">
        <f t="shared" si="14"/>
        <v/>
      </c>
      <c r="I1366" s="18">
        <f t="shared" si="9"/>
        <v>476.4833333</v>
      </c>
      <c r="J1366" s="19">
        <f t="shared" si="10"/>
        <v>484.2166667</v>
      </c>
      <c r="K1366" s="19"/>
      <c r="L1366" s="19">
        <f t="shared" si="11"/>
        <v>460.9666667</v>
      </c>
      <c r="M1366" s="19">
        <f t="shared" si="12"/>
        <v>499.7333333</v>
      </c>
      <c r="N1366" s="19">
        <f t="shared" si="13"/>
        <v>453.2333333</v>
      </c>
    </row>
    <row r="1367" ht="24.75" customHeight="1">
      <c r="A1367" s="21" t="s">
        <v>1330</v>
      </c>
      <c r="B1367" s="13">
        <f>IFERROR(__xludf.DUMMYFUNCTION("GOOGLEFINANCE(A1367,""PRICE"")"),8.2)</f>
        <v>8.2</v>
      </c>
      <c r="C1367" s="14">
        <f>IFERROR(__xludf.DUMMYFUNCTION("GOOGLEFINANCE(A1367,""PRICEOPEN"")"),8.24)</f>
        <v>8.24</v>
      </c>
      <c r="D1367" s="14">
        <f>IFERROR(__xludf.DUMMYFUNCTION("GOOGLEFINANCE(A1367,""HIGH"")"),8.25)</f>
        <v>8.25</v>
      </c>
      <c r="E1367" s="14">
        <f>IFERROR(__xludf.DUMMYFUNCTION("GOOGLEFINANCE(A1367,""LOW"")"),8.14)</f>
        <v>8.14</v>
      </c>
      <c r="F1367" s="15" t="str">
        <f t="shared" si="8"/>
        <v/>
      </c>
      <c r="G1367" s="16">
        <f>IFERROR(__xludf.DUMMYFUNCTION("GOOGLEFINANCE(A1367,""CLOSEYEST"")"),8.22)</f>
        <v>8.22</v>
      </c>
      <c r="H1367" s="17" t="str">
        <f t="shared" si="14"/>
        <v/>
      </c>
      <c r="I1367" s="18">
        <f t="shared" si="9"/>
        <v>8.203333333</v>
      </c>
      <c r="J1367" s="19">
        <f t="shared" si="10"/>
        <v>8.266666667</v>
      </c>
      <c r="K1367" s="19"/>
      <c r="L1367" s="19">
        <f t="shared" si="11"/>
        <v>8.156666667</v>
      </c>
      <c r="M1367" s="19">
        <f t="shared" si="12"/>
        <v>8.313333333</v>
      </c>
      <c r="N1367" s="19">
        <f t="shared" si="13"/>
        <v>8.093333333</v>
      </c>
    </row>
    <row r="1368" ht="24.75" customHeight="1">
      <c r="A1368" s="21" t="s">
        <v>1331</v>
      </c>
      <c r="B1368" s="13">
        <f>IFERROR(__xludf.DUMMYFUNCTION("GOOGLEFINANCE(A1368,""PRICE"")"),182.99)</f>
        <v>182.99</v>
      </c>
      <c r="C1368" s="14">
        <f>IFERROR(__xludf.DUMMYFUNCTION("GOOGLEFINANCE(A1368,""PRICEOPEN"")"),182.0)</f>
        <v>182</v>
      </c>
      <c r="D1368" s="14">
        <f>IFERROR(__xludf.DUMMYFUNCTION("GOOGLEFINANCE(A1368,""HIGH"")"),182.99)</f>
        <v>182.99</v>
      </c>
      <c r="E1368" s="14">
        <f>IFERROR(__xludf.DUMMYFUNCTION("GOOGLEFINANCE(A1368,""LOW"")"),175.15)</f>
        <v>175.15</v>
      </c>
      <c r="F1368" s="15" t="str">
        <f t="shared" si="8"/>
        <v/>
      </c>
      <c r="G1368" s="16">
        <f>IFERROR(__xludf.DUMMYFUNCTION("GOOGLEFINANCE(A1368,""CLOSEYEST"")"),179.0)</f>
        <v>179</v>
      </c>
      <c r="H1368" s="17" t="str">
        <f t="shared" si="14"/>
        <v>GAP UP</v>
      </c>
      <c r="I1368" s="18">
        <f t="shared" si="9"/>
        <v>179.0466667</v>
      </c>
      <c r="J1368" s="19">
        <f t="shared" si="10"/>
        <v>182.9433333</v>
      </c>
      <c r="K1368" s="19"/>
      <c r="L1368" s="19">
        <f t="shared" si="11"/>
        <v>175.1033333</v>
      </c>
      <c r="M1368" s="19">
        <f t="shared" si="12"/>
        <v>186.8866667</v>
      </c>
      <c r="N1368" s="19">
        <f t="shared" si="13"/>
        <v>171.2066667</v>
      </c>
    </row>
    <row r="1369" ht="24.75" customHeight="1">
      <c r="A1369" s="21" t="s">
        <v>1332</v>
      </c>
      <c r="B1369" s="13">
        <f>IFERROR(__xludf.DUMMYFUNCTION("GOOGLEFINANCE(A1369,""PRICE"")"),135.0)</f>
        <v>135</v>
      </c>
      <c r="C1369" s="14">
        <f>IFERROR(__xludf.DUMMYFUNCTION("GOOGLEFINANCE(A1369,""PRICEOPEN"")"),131.81)</f>
        <v>131.81</v>
      </c>
      <c r="D1369" s="14">
        <f>IFERROR(__xludf.DUMMYFUNCTION("GOOGLEFINANCE(A1369,""HIGH"")"),138.34)</f>
        <v>138.34</v>
      </c>
      <c r="E1369" s="14">
        <f>IFERROR(__xludf.DUMMYFUNCTION("GOOGLEFINANCE(A1369,""LOW"")"),130.0)</f>
        <v>130</v>
      </c>
      <c r="F1369" s="15" t="str">
        <f t="shared" si="8"/>
        <v/>
      </c>
      <c r="G1369" s="16">
        <f>IFERROR(__xludf.DUMMYFUNCTION("GOOGLEFINANCE(A1369,""CLOSEYEST"")"),131.76)</f>
        <v>131.76</v>
      </c>
      <c r="H1369" s="17" t="str">
        <f t="shared" si="14"/>
        <v/>
      </c>
      <c r="I1369" s="18">
        <f t="shared" si="9"/>
        <v>133.3666667</v>
      </c>
      <c r="J1369" s="19">
        <f t="shared" si="10"/>
        <v>136.7333333</v>
      </c>
      <c r="K1369" s="19"/>
      <c r="L1369" s="19">
        <f t="shared" si="11"/>
        <v>128.3933333</v>
      </c>
      <c r="M1369" s="19">
        <f t="shared" si="12"/>
        <v>141.7066667</v>
      </c>
      <c r="N1369" s="19">
        <f t="shared" si="13"/>
        <v>125.0266667</v>
      </c>
    </row>
    <row r="1370" ht="24.75" customHeight="1">
      <c r="A1370" s="21" t="s">
        <v>1333</v>
      </c>
      <c r="B1370" s="13">
        <f>IFERROR(__xludf.DUMMYFUNCTION("GOOGLEFINANCE(A1370,""PRICE"")"),139.42)</f>
        <v>139.42</v>
      </c>
      <c r="C1370" s="14">
        <f>IFERROR(__xludf.DUMMYFUNCTION("GOOGLEFINANCE(A1370,""PRICEOPEN"")"),138.61)</f>
        <v>138.61</v>
      </c>
      <c r="D1370" s="14">
        <f>IFERROR(__xludf.DUMMYFUNCTION("GOOGLEFINANCE(A1370,""HIGH"")"),139.42)</f>
        <v>139.42</v>
      </c>
      <c r="E1370" s="14">
        <f>IFERROR(__xludf.DUMMYFUNCTION("GOOGLEFINANCE(A1370,""LOW"")"),136.42)</f>
        <v>136.42</v>
      </c>
      <c r="F1370" s="15" t="str">
        <f t="shared" si="8"/>
        <v/>
      </c>
      <c r="G1370" s="16">
        <f>IFERROR(__xludf.DUMMYFUNCTION("GOOGLEFINANCE(A1370,""CLOSEYEST"")"),139.42)</f>
        <v>139.42</v>
      </c>
      <c r="H1370" s="17" t="str">
        <f t="shared" si="14"/>
        <v/>
      </c>
      <c r="I1370" s="18">
        <f t="shared" si="9"/>
        <v>138.42</v>
      </c>
      <c r="J1370" s="19">
        <f t="shared" si="10"/>
        <v>140.42</v>
      </c>
      <c r="K1370" s="19"/>
      <c r="L1370" s="19">
        <f t="shared" si="11"/>
        <v>137.42</v>
      </c>
      <c r="M1370" s="19">
        <f t="shared" si="12"/>
        <v>141.42</v>
      </c>
      <c r="N1370" s="19">
        <f t="shared" si="13"/>
        <v>135.42</v>
      </c>
    </row>
    <row r="1371" ht="24.75" customHeight="1">
      <c r="A1371" s="21" t="s">
        <v>1334</v>
      </c>
      <c r="B1371" s="13">
        <f>IFERROR(__xludf.DUMMYFUNCTION("GOOGLEFINANCE(A1371,""PRICE"")"),28.29)</f>
        <v>28.29</v>
      </c>
      <c r="C1371" s="14">
        <f>IFERROR(__xludf.DUMMYFUNCTION("GOOGLEFINANCE(A1371,""PRICEOPEN"")"),26.95)</f>
        <v>26.95</v>
      </c>
      <c r="D1371" s="14">
        <f>IFERROR(__xludf.DUMMYFUNCTION("GOOGLEFINANCE(A1371,""HIGH"")"),28.29)</f>
        <v>28.29</v>
      </c>
      <c r="E1371" s="14">
        <f>IFERROR(__xludf.DUMMYFUNCTION("GOOGLEFINANCE(A1371,""LOW"")"),26.95)</f>
        <v>26.95</v>
      </c>
      <c r="F1371" s="15" t="str">
        <f t="shared" si="8"/>
        <v>BUY</v>
      </c>
      <c r="G1371" s="16">
        <f>IFERROR(__xludf.DUMMYFUNCTION("GOOGLEFINANCE(A1371,""CLOSEYEST"")"),26.95)</f>
        <v>26.95</v>
      </c>
      <c r="H1371" s="17" t="str">
        <f t="shared" si="14"/>
        <v/>
      </c>
      <c r="I1371" s="18">
        <f t="shared" si="9"/>
        <v>27.39666667</v>
      </c>
      <c r="J1371" s="19">
        <f t="shared" si="10"/>
        <v>27.84333333</v>
      </c>
      <c r="K1371" s="19"/>
      <c r="L1371" s="19">
        <f t="shared" si="11"/>
        <v>26.50333333</v>
      </c>
      <c r="M1371" s="19">
        <f t="shared" si="12"/>
        <v>28.73666667</v>
      </c>
      <c r="N1371" s="19">
        <f t="shared" si="13"/>
        <v>26.05666667</v>
      </c>
    </row>
    <row r="1372" ht="24.75" customHeight="1">
      <c r="A1372" s="21" t="s">
        <v>1335</v>
      </c>
      <c r="B1372" s="13">
        <f>IFERROR(__xludf.DUMMYFUNCTION("GOOGLEFINANCE(A1372,""PRICE"")"),0.57)</f>
        <v>0.57</v>
      </c>
      <c r="C1372" s="14">
        <f>IFERROR(__xludf.DUMMYFUNCTION("GOOGLEFINANCE(A1372,""PRICEOPEN"")"),0.55)</f>
        <v>0.55</v>
      </c>
      <c r="D1372" s="14">
        <f>IFERROR(__xludf.DUMMYFUNCTION("GOOGLEFINANCE(A1372,""HIGH"")"),0.57)</f>
        <v>0.57</v>
      </c>
      <c r="E1372" s="14">
        <f>IFERROR(__xludf.DUMMYFUNCTION("GOOGLEFINANCE(A1372,""LOW"")"),0.55)</f>
        <v>0.55</v>
      </c>
      <c r="F1372" s="15" t="str">
        <f t="shared" si="8"/>
        <v>BUY</v>
      </c>
      <c r="G1372" s="16">
        <f>IFERROR(__xludf.DUMMYFUNCTION("GOOGLEFINANCE(A1372,""CLOSEYEST"")"),0.55)</f>
        <v>0.55</v>
      </c>
      <c r="H1372" s="17" t="str">
        <f t="shared" si="14"/>
        <v/>
      </c>
      <c r="I1372" s="18">
        <f t="shared" si="9"/>
        <v>0.5566666667</v>
      </c>
      <c r="J1372" s="19">
        <f t="shared" si="10"/>
        <v>0.5633333333</v>
      </c>
      <c r="K1372" s="19"/>
      <c r="L1372" s="19">
        <f t="shared" si="11"/>
        <v>0.5433333333</v>
      </c>
      <c r="M1372" s="19">
        <f t="shared" si="12"/>
        <v>0.5766666667</v>
      </c>
      <c r="N1372" s="19">
        <f t="shared" si="13"/>
        <v>0.5366666667</v>
      </c>
    </row>
    <row r="1373" ht="24.75" customHeight="1">
      <c r="A1373" s="21" t="s">
        <v>1336</v>
      </c>
      <c r="B1373" s="13">
        <f>IFERROR(__xludf.DUMMYFUNCTION("GOOGLEFINANCE(A1373,""PRICE"")"),252.5)</f>
        <v>252.5</v>
      </c>
      <c r="C1373" s="14">
        <f>IFERROR(__xludf.DUMMYFUNCTION("GOOGLEFINANCE(A1373,""PRICEOPEN"")"),253.0)</f>
        <v>253</v>
      </c>
      <c r="D1373" s="14">
        <f>IFERROR(__xludf.DUMMYFUNCTION("GOOGLEFINANCE(A1373,""HIGH"")"),257.0)</f>
        <v>257</v>
      </c>
      <c r="E1373" s="14">
        <f>IFERROR(__xludf.DUMMYFUNCTION("GOOGLEFINANCE(A1373,""LOW"")"),249.0)</f>
        <v>249</v>
      </c>
      <c r="F1373" s="15" t="str">
        <f t="shared" si="8"/>
        <v/>
      </c>
      <c r="G1373" s="16">
        <f>IFERROR(__xludf.DUMMYFUNCTION("GOOGLEFINANCE(A1373,""CLOSEYEST"")"),249.45)</f>
        <v>249.45</v>
      </c>
      <c r="H1373" s="17" t="str">
        <f t="shared" si="14"/>
        <v>GAP UP</v>
      </c>
      <c r="I1373" s="18">
        <f t="shared" si="9"/>
        <v>251.8166667</v>
      </c>
      <c r="J1373" s="19">
        <f t="shared" si="10"/>
        <v>254.6333333</v>
      </c>
      <c r="K1373" s="19"/>
      <c r="L1373" s="19">
        <f t="shared" si="11"/>
        <v>246.6333333</v>
      </c>
      <c r="M1373" s="19">
        <f t="shared" si="12"/>
        <v>259.8166667</v>
      </c>
      <c r="N1373" s="19">
        <f t="shared" si="13"/>
        <v>243.8166667</v>
      </c>
    </row>
    <row r="1374" ht="24.75" customHeight="1">
      <c r="A1374" s="21" t="s">
        <v>1337</v>
      </c>
      <c r="B1374" s="13">
        <f>IFERROR(__xludf.DUMMYFUNCTION("GOOGLEFINANCE(A1374,""PRICE"")"),57.98)</f>
        <v>57.98</v>
      </c>
      <c r="C1374" s="14">
        <f>IFERROR(__xludf.DUMMYFUNCTION("GOOGLEFINANCE(A1374,""PRICEOPEN"")"),58.2)</f>
        <v>58.2</v>
      </c>
      <c r="D1374" s="14">
        <f>IFERROR(__xludf.DUMMYFUNCTION("GOOGLEFINANCE(A1374,""HIGH"")"),58.22)</f>
        <v>58.22</v>
      </c>
      <c r="E1374" s="14">
        <f>IFERROR(__xludf.DUMMYFUNCTION("GOOGLEFINANCE(A1374,""LOW"")"),56.36)</f>
        <v>56.36</v>
      </c>
      <c r="F1374" s="15" t="str">
        <f t="shared" si="8"/>
        <v/>
      </c>
      <c r="G1374" s="16">
        <f>IFERROR(__xludf.DUMMYFUNCTION("GOOGLEFINANCE(A1374,""CLOSEYEST"")"),57.3)</f>
        <v>57.3</v>
      </c>
      <c r="H1374" s="17" t="str">
        <f t="shared" si="14"/>
        <v>GAP UP</v>
      </c>
      <c r="I1374" s="18">
        <f t="shared" si="9"/>
        <v>57.29333333</v>
      </c>
      <c r="J1374" s="19">
        <f t="shared" si="10"/>
        <v>58.22666667</v>
      </c>
      <c r="K1374" s="19"/>
      <c r="L1374" s="19">
        <f t="shared" si="11"/>
        <v>56.36666667</v>
      </c>
      <c r="M1374" s="19">
        <f t="shared" si="12"/>
        <v>59.15333333</v>
      </c>
      <c r="N1374" s="19">
        <f t="shared" si="13"/>
        <v>55.43333333</v>
      </c>
    </row>
    <row r="1375" ht="24.75" customHeight="1">
      <c r="A1375" s="21" t="s">
        <v>1338</v>
      </c>
      <c r="B1375" s="13">
        <f>IFERROR(__xludf.DUMMYFUNCTION("GOOGLEFINANCE(A1375,""PRICE"")"),41.74)</f>
        <v>41.74</v>
      </c>
      <c r="C1375" s="14">
        <f>IFERROR(__xludf.DUMMYFUNCTION("GOOGLEFINANCE(A1375,""PRICEOPEN"")"),41.55)</f>
        <v>41.55</v>
      </c>
      <c r="D1375" s="14">
        <f>IFERROR(__xludf.DUMMYFUNCTION("GOOGLEFINANCE(A1375,""HIGH"")"),42.76)</f>
        <v>42.76</v>
      </c>
      <c r="E1375" s="14">
        <f>IFERROR(__xludf.DUMMYFUNCTION("GOOGLEFINANCE(A1375,""LOW"")"),41.1)</f>
        <v>41.1</v>
      </c>
      <c r="F1375" s="15" t="str">
        <f t="shared" si="8"/>
        <v/>
      </c>
      <c r="G1375" s="16">
        <f>IFERROR(__xludf.DUMMYFUNCTION("GOOGLEFINANCE(A1375,""CLOSEYEST"")"),41.55)</f>
        <v>41.55</v>
      </c>
      <c r="H1375" s="17" t="str">
        <f t="shared" si="14"/>
        <v/>
      </c>
      <c r="I1375" s="18">
        <f t="shared" si="9"/>
        <v>41.80333333</v>
      </c>
      <c r="J1375" s="19">
        <f t="shared" si="10"/>
        <v>42.50666667</v>
      </c>
      <c r="K1375" s="19"/>
      <c r="L1375" s="19">
        <f t="shared" si="11"/>
        <v>40.84666667</v>
      </c>
      <c r="M1375" s="19">
        <f t="shared" si="12"/>
        <v>43.46333333</v>
      </c>
      <c r="N1375" s="19">
        <f t="shared" si="13"/>
        <v>40.14333333</v>
      </c>
    </row>
    <row r="1376" ht="24.75" customHeight="1">
      <c r="A1376" s="21" t="s">
        <v>1339</v>
      </c>
      <c r="B1376" s="13">
        <f>IFERROR(__xludf.DUMMYFUNCTION("GOOGLEFINANCE(A1376,""PRICE"")"),1.38)</f>
        <v>1.38</v>
      </c>
      <c r="C1376" s="14">
        <f>IFERROR(__xludf.DUMMYFUNCTION("GOOGLEFINANCE(A1376,""PRICEOPEN"")"),1.37)</f>
        <v>1.37</v>
      </c>
      <c r="D1376" s="14">
        <f>IFERROR(__xludf.DUMMYFUNCTION("GOOGLEFINANCE(A1376,""HIGH"")"),1.38)</f>
        <v>1.38</v>
      </c>
      <c r="E1376" s="14">
        <f>IFERROR(__xludf.DUMMYFUNCTION("GOOGLEFINANCE(A1376,""LOW"")"),1.33)</f>
        <v>1.33</v>
      </c>
      <c r="F1376" s="15" t="str">
        <f t="shared" si="8"/>
        <v/>
      </c>
      <c r="G1376" s="16">
        <f>IFERROR(__xludf.DUMMYFUNCTION("GOOGLEFINANCE(A1376,""CLOSEYEST"")"),1.36)</f>
        <v>1.36</v>
      </c>
      <c r="H1376" s="17" t="str">
        <f t="shared" si="14"/>
        <v/>
      </c>
      <c r="I1376" s="18">
        <f t="shared" si="9"/>
        <v>1.356666667</v>
      </c>
      <c r="J1376" s="19">
        <f t="shared" si="10"/>
        <v>1.383333333</v>
      </c>
      <c r="K1376" s="19"/>
      <c r="L1376" s="19">
        <f t="shared" si="11"/>
        <v>1.333333333</v>
      </c>
      <c r="M1376" s="19">
        <f t="shared" si="12"/>
        <v>1.406666667</v>
      </c>
      <c r="N1376" s="19">
        <f t="shared" si="13"/>
        <v>1.306666667</v>
      </c>
    </row>
    <row r="1377" ht="24.75" customHeight="1">
      <c r="A1377" s="21" t="s">
        <v>1340</v>
      </c>
      <c r="B1377" s="13">
        <f>IFERROR(__xludf.DUMMYFUNCTION("GOOGLEFINANCE(A1377,""PRICE"")"),4.0)</f>
        <v>4</v>
      </c>
      <c r="C1377" s="14">
        <f>IFERROR(__xludf.DUMMYFUNCTION("GOOGLEFINANCE(A1377,""PRICEOPEN"")"),4.13)</f>
        <v>4.13</v>
      </c>
      <c r="D1377" s="14">
        <f>IFERROR(__xludf.DUMMYFUNCTION("GOOGLEFINANCE(A1377,""HIGH"")"),4.13)</f>
        <v>4.13</v>
      </c>
      <c r="E1377" s="14">
        <f>IFERROR(__xludf.DUMMYFUNCTION("GOOGLEFINANCE(A1377,""LOW"")"),4.0)</f>
        <v>4</v>
      </c>
      <c r="F1377" s="15" t="str">
        <f t="shared" si="8"/>
        <v>SELL</v>
      </c>
      <c r="G1377" s="16">
        <f>IFERROR(__xludf.DUMMYFUNCTION("GOOGLEFINANCE(A1377,""CLOSEYEST"")"),4.13)</f>
        <v>4.13</v>
      </c>
      <c r="H1377" s="17" t="str">
        <f t="shared" si="14"/>
        <v/>
      </c>
      <c r="I1377" s="18">
        <f t="shared" si="9"/>
        <v>4.086666667</v>
      </c>
      <c r="J1377" s="19">
        <f t="shared" si="10"/>
        <v>4.173333333</v>
      </c>
      <c r="K1377" s="19"/>
      <c r="L1377" s="19">
        <f t="shared" si="11"/>
        <v>4.043333333</v>
      </c>
      <c r="M1377" s="19">
        <f t="shared" si="12"/>
        <v>4.216666667</v>
      </c>
      <c r="N1377" s="19">
        <f t="shared" si="13"/>
        <v>3.956666667</v>
      </c>
    </row>
    <row r="1378" ht="24.75" customHeight="1">
      <c r="A1378" s="21" t="s">
        <v>1341</v>
      </c>
      <c r="B1378" s="13">
        <f>IFERROR(__xludf.DUMMYFUNCTION("GOOGLEFINANCE(A1378,""PRICE"")"),10.38)</f>
        <v>10.38</v>
      </c>
      <c r="C1378" s="14">
        <f>IFERROR(__xludf.DUMMYFUNCTION("GOOGLEFINANCE(A1378,""PRICEOPEN"")"),10.6)</f>
        <v>10.6</v>
      </c>
      <c r="D1378" s="14">
        <f>IFERROR(__xludf.DUMMYFUNCTION("GOOGLEFINANCE(A1378,""HIGH"")"),10.6)</f>
        <v>10.6</v>
      </c>
      <c r="E1378" s="14">
        <f>IFERROR(__xludf.DUMMYFUNCTION("GOOGLEFINANCE(A1378,""LOW"")"),10.3)</f>
        <v>10.3</v>
      </c>
      <c r="F1378" s="15" t="str">
        <f t="shared" si="8"/>
        <v>SELL</v>
      </c>
      <c r="G1378" s="16">
        <f>IFERROR(__xludf.DUMMYFUNCTION("GOOGLEFINANCE(A1378,""CLOSEYEST"")"),10.4)</f>
        <v>10.4</v>
      </c>
      <c r="H1378" s="17" t="str">
        <f t="shared" si="14"/>
        <v>GAP UP</v>
      </c>
      <c r="I1378" s="18">
        <f t="shared" si="9"/>
        <v>10.43333333</v>
      </c>
      <c r="J1378" s="19">
        <f t="shared" si="10"/>
        <v>10.56666667</v>
      </c>
      <c r="K1378" s="19"/>
      <c r="L1378" s="19">
        <f t="shared" si="11"/>
        <v>10.26666667</v>
      </c>
      <c r="M1378" s="19">
        <f t="shared" si="12"/>
        <v>10.73333333</v>
      </c>
      <c r="N1378" s="19">
        <f t="shared" si="13"/>
        <v>10.13333333</v>
      </c>
    </row>
    <row r="1379" ht="24.75" customHeight="1">
      <c r="A1379" s="21" t="s">
        <v>1342</v>
      </c>
      <c r="B1379" s="13">
        <f>IFERROR(__xludf.DUMMYFUNCTION("GOOGLEFINANCE(A1379,""PRICE"")"),613.5)</f>
        <v>613.5</v>
      </c>
      <c r="C1379" s="14">
        <f>IFERROR(__xludf.DUMMYFUNCTION("GOOGLEFINANCE(A1379,""PRICEOPEN"")"),620.75)</f>
        <v>620.75</v>
      </c>
      <c r="D1379" s="14">
        <f>IFERROR(__xludf.DUMMYFUNCTION("GOOGLEFINANCE(A1379,""HIGH"")"),626.75)</f>
        <v>626.75</v>
      </c>
      <c r="E1379" s="14">
        <f>IFERROR(__xludf.DUMMYFUNCTION("GOOGLEFINANCE(A1379,""LOW"")"),611.0)</f>
        <v>611</v>
      </c>
      <c r="F1379" s="15" t="str">
        <f t="shared" si="8"/>
        <v/>
      </c>
      <c r="G1379" s="16">
        <f>IFERROR(__xludf.DUMMYFUNCTION("GOOGLEFINANCE(A1379,""CLOSEYEST"")"),622.25)</f>
        <v>622.25</v>
      </c>
      <c r="H1379" s="17" t="str">
        <f t="shared" si="14"/>
        <v/>
      </c>
      <c r="I1379" s="18">
        <f t="shared" si="9"/>
        <v>620</v>
      </c>
      <c r="J1379" s="19">
        <f t="shared" si="10"/>
        <v>629</v>
      </c>
      <c r="K1379" s="19"/>
      <c r="L1379" s="19">
        <f t="shared" si="11"/>
        <v>613.25</v>
      </c>
      <c r="M1379" s="19">
        <f t="shared" si="12"/>
        <v>635.75</v>
      </c>
      <c r="N1379" s="19">
        <f t="shared" si="13"/>
        <v>604.25</v>
      </c>
    </row>
    <row r="1380" ht="24.75" customHeight="1">
      <c r="A1380" s="21" t="s">
        <v>1343</v>
      </c>
      <c r="B1380" s="13">
        <f>IFERROR(__xludf.DUMMYFUNCTION("GOOGLEFINANCE(A1380,""PRICE"")"),76.0)</f>
        <v>76</v>
      </c>
      <c r="C1380" s="14">
        <f>IFERROR(__xludf.DUMMYFUNCTION("GOOGLEFINANCE(A1380,""PRICEOPEN"")"),75.4)</f>
        <v>75.4</v>
      </c>
      <c r="D1380" s="14">
        <f>IFERROR(__xludf.DUMMYFUNCTION("GOOGLEFINANCE(A1380,""HIGH"")"),76.35)</f>
        <v>76.35</v>
      </c>
      <c r="E1380" s="14">
        <f>IFERROR(__xludf.DUMMYFUNCTION("GOOGLEFINANCE(A1380,""LOW"")"),73.62)</f>
        <v>73.62</v>
      </c>
      <c r="F1380" s="15" t="str">
        <f t="shared" si="8"/>
        <v/>
      </c>
      <c r="G1380" s="16">
        <f>IFERROR(__xludf.DUMMYFUNCTION("GOOGLEFINANCE(A1380,""CLOSEYEST"")"),74.28)</f>
        <v>74.28</v>
      </c>
      <c r="H1380" s="17" t="str">
        <f t="shared" si="14"/>
        <v>GAP UP</v>
      </c>
      <c r="I1380" s="18">
        <f t="shared" si="9"/>
        <v>74.75</v>
      </c>
      <c r="J1380" s="19">
        <f t="shared" si="10"/>
        <v>75.88</v>
      </c>
      <c r="K1380" s="19"/>
      <c r="L1380" s="19">
        <f t="shared" si="11"/>
        <v>73.15</v>
      </c>
      <c r="M1380" s="19">
        <f t="shared" si="12"/>
        <v>77.48</v>
      </c>
      <c r="N1380" s="19">
        <f t="shared" si="13"/>
        <v>72.02</v>
      </c>
    </row>
    <row r="1381" ht="24.75" customHeight="1">
      <c r="A1381" s="21" t="s">
        <v>1344</v>
      </c>
      <c r="B1381" s="13" t="str">
        <f>IFERROR(__xludf.DUMMYFUNCTION("GOOGLEFINANCE(A1381,""PRICE"")"),"#N/A")</f>
        <v>#N/A</v>
      </c>
      <c r="C1381" s="14" t="str">
        <f>IFERROR(__xludf.DUMMYFUNCTION("GOOGLEFINANCE(A1381,""PRICEOPEN"")"),"#N/A")</f>
        <v>#N/A</v>
      </c>
      <c r="D1381" s="14" t="str">
        <f>IFERROR(__xludf.DUMMYFUNCTION("GOOGLEFINANCE(A1381,""HIGH"")"),"#N/A")</f>
        <v>#N/A</v>
      </c>
      <c r="E1381" s="14" t="str">
        <f>IFERROR(__xludf.DUMMYFUNCTION("GOOGLEFINANCE(A1381,""LOW"")"),"#N/A")</f>
        <v>#N/A</v>
      </c>
      <c r="F1381" s="15" t="str">
        <f t="shared" si="8"/>
        <v>#N/A</v>
      </c>
      <c r="G1381" s="16" t="str">
        <f>IFERROR(__xludf.DUMMYFUNCTION("GOOGLEFINANCE(A1381,""CLOSEYEST"")"),"#N/A")</f>
        <v>#N/A</v>
      </c>
      <c r="H1381" s="17" t="str">
        <f t="shared" si="14"/>
        <v>#N/A</v>
      </c>
      <c r="I1381" s="18" t="str">
        <f t="shared" si="9"/>
        <v>#N/A</v>
      </c>
      <c r="J1381" s="19" t="str">
        <f t="shared" si="10"/>
        <v>#N/A</v>
      </c>
      <c r="K1381" s="19"/>
      <c r="L1381" s="19" t="str">
        <f t="shared" si="11"/>
        <v>#N/A</v>
      </c>
      <c r="M1381" s="19" t="str">
        <f t="shared" si="12"/>
        <v>#N/A</v>
      </c>
      <c r="N1381" s="19" t="str">
        <f t="shared" si="13"/>
        <v>#N/A</v>
      </c>
    </row>
    <row r="1382" ht="24.75" customHeight="1">
      <c r="A1382" s="21" t="s">
        <v>1345</v>
      </c>
      <c r="B1382" s="13">
        <f>IFERROR(__xludf.DUMMYFUNCTION("GOOGLEFINANCE(A1382,""PRICE"")"),55.1)</f>
        <v>55.1</v>
      </c>
      <c r="C1382" s="14">
        <f>IFERROR(__xludf.DUMMYFUNCTION("GOOGLEFINANCE(A1382,""PRICEOPEN"")"),55.49)</f>
        <v>55.49</v>
      </c>
      <c r="D1382" s="14">
        <f>IFERROR(__xludf.DUMMYFUNCTION("GOOGLEFINANCE(A1382,""HIGH"")"),56.45)</f>
        <v>56.45</v>
      </c>
      <c r="E1382" s="14">
        <f>IFERROR(__xludf.DUMMYFUNCTION("GOOGLEFINANCE(A1382,""LOW"")"),54.62)</f>
        <v>54.62</v>
      </c>
      <c r="F1382" s="15" t="str">
        <f t="shared" si="8"/>
        <v/>
      </c>
      <c r="G1382" s="16">
        <f>IFERROR(__xludf.DUMMYFUNCTION("GOOGLEFINANCE(A1382,""CLOSEYEST"")"),55.49)</f>
        <v>55.49</v>
      </c>
      <c r="H1382" s="17" t="str">
        <f t="shared" si="14"/>
        <v/>
      </c>
      <c r="I1382" s="18">
        <f t="shared" si="9"/>
        <v>55.52</v>
      </c>
      <c r="J1382" s="19">
        <f t="shared" si="10"/>
        <v>56.42</v>
      </c>
      <c r="K1382" s="19"/>
      <c r="L1382" s="19">
        <f t="shared" si="11"/>
        <v>54.59</v>
      </c>
      <c r="M1382" s="19">
        <f t="shared" si="12"/>
        <v>57.35</v>
      </c>
      <c r="N1382" s="19">
        <f t="shared" si="13"/>
        <v>53.69</v>
      </c>
    </row>
    <row r="1383" ht="24.75" customHeight="1">
      <c r="A1383" s="21" t="s">
        <v>1346</v>
      </c>
      <c r="B1383" s="13">
        <f>IFERROR(__xludf.DUMMYFUNCTION("GOOGLEFINANCE(A1383,""PRICE"")"),9.59)</f>
        <v>9.59</v>
      </c>
      <c r="C1383" s="14">
        <f>IFERROR(__xludf.DUMMYFUNCTION("GOOGLEFINANCE(A1383,""PRICEOPEN"")"),9.5)</f>
        <v>9.5</v>
      </c>
      <c r="D1383" s="14">
        <f>IFERROR(__xludf.DUMMYFUNCTION("GOOGLEFINANCE(A1383,""HIGH"")"),9.68)</f>
        <v>9.68</v>
      </c>
      <c r="E1383" s="14">
        <f>IFERROR(__xludf.DUMMYFUNCTION("GOOGLEFINANCE(A1383,""LOW"")"),9.13)</f>
        <v>9.13</v>
      </c>
      <c r="F1383" s="15" t="str">
        <f t="shared" si="8"/>
        <v/>
      </c>
      <c r="G1383" s="16">
        <f>IFERROR(__xludf.DUMMYFUNCTION("GOOGLEFINANCE(A1383,""CLOSEYEST"")"),9.57)</f>
        <v>9.57</v>
      </c>
      <c r="H1383" s="17" t="str">
        <f t="shared" si="14"/>
        <v/>
      </c>
      <c r="I1383" s="18">
        <f t="shared" si="9"/>
        <v>9.46</v>
      </c>
      <c r="J1383" s="19">
        <f t="shared" si="10"/>
        <v>9.79</v>
      </c>
      <c r="K1383" s="19"/>
      <c r="L1383" s="19">
        <f t="shared" si="11"/>
        <v>9.24</v>
      </c>
      <c r="M1383" s="19">
        <f t="shared" si="12"/>
        <v>10.01</v>
      </c>
      <c r="N1383" s="19">
        <f t="shared" si="13"/>
        <v>8.91</v>
      </c>
    </row>
    <row r="1384" ht="24.75" customHeight="1">
      <c r="A1384" s="21" t="s">
        <v>1347</v>
      </c>
      <c r="B1384" s="13" t="str">
        <f>IFERROR(__xludf.DUMMYFUNCTION("GOOGLEFINANCE(A1384,""PRICE"")"),"#N/A")</f>
        <v>#N/A</v>
      </c>
      <c r="C1384" s="14" t="str">
        <f>IFERROR(__xludf.DUMMYFUNCTION("GOOGLEFINANCE(A1384,""PRICEOPEN"")"),"#N/A")</f>
        <v>#N/A</v>
      </c>
      <c r="D1384" s="14" t="str">
        <f>IFERROR(__xludf.DUMMYFUNCTION("GOOGLEFINANCE(A1384,""HIGH"")"),"#N/A")</f>
        <v>#N/A</v>
      </c>
      <c r="E1384" s="14" t="str">
        <f>IFERROR(__xludf.DUMMYFUNCTION("GOOGLEFINANCE(A1384,""LOW"")"),"#N/A")</f>
        <v>#N/A</v>
      </c>
      <c r="F1384" s="15" t="str">
        <f t="shared" si="8"/>
        <v>#N/A</v>
      </c>
      <c r="G1384" s="16" t="str">
        <f>IFERROR(__xludf.DUMMYFUNCTION("GOOGLEFINANCE(A1384,""CLOSEYEST"")"),"#N/A")</f>
        <v>#N/A</v>
      </c>
      <c r="H1384" s="17" t="str">
        <f t="shared" si="14"/>
        <v>#N/A</v>
      </c>
      <c r="I1384" s="18" t="str">
        <f t="shared" si="9"/>
        <v>#N/A</v>
      </c>
      <c r="J1384" s="19" t="str">
        <f t="shared" si="10"/>
        <v>#N/A</v>
      </c>
      <c r="K1384" s="19"/>
      <c r="L1384" s="19" t="str">
        <f t="shared" si="11"/>
        <v>#N/A</v>
      </c>
      <c r="M1384" s="19" t="str">
        <f t="shared" si="12"/>
        <v>#N/A</v>
      </c>
      <c r="N1384" s="19" t="str">
        <f t="shared" si="13"/>
        <v>#N/A</v>
      </c>
    </row>
    <row r="1385" ht="24.75" customHeight="1">
      <c r="A1385" s="21" t="s">
        <v>1348</v>
      </c>
      <c r="B1385" s="13">
        <f>IFERROR(__xludf.DUMMYFUNCTION("GOOGLEFINANCE(A1385,""PRICE"")"),283.7)</f>
        <v>283.7</v>
      </c>
      <c r="C1385" s="14">
        <f>IFERROR(__xludf.DUMMYFUNCTION("GOOGLEFINANCE(A1385,""PRICEOPEN"")"),285.35)</f>
        <v>285.35</v>
      </c>
      <c r="D1385" s="14">
        <f>IFERROR(__xludf.DUMMYFUNCTION("GOOGLEFINANCE(A1385,""HIGH"")"),286.9)</f>
        <v>286.9</v>
      </c>
      <c r="E1385" s="14">
        <f>IFERROR(__xludf.DUMMYFUNCTION("GOOGLEFINANCE(A1385,""LOW"")"),281.35)</f>
        <v>281.35</v>
      </c>
      <c r="F1385" s="15" t="str">
        <f t="shared" si="8"/>
        <v/>
      </c>
      <c r="G1385" s="16">
        <f>IFERROR(__xludf.DUMMYFUNCTION("GOOGLEFINANCE(A1385,""CLOSEYEST"")"),282.85)</f>
        <v>282.85</v>
      </c>
      <c r="H1385" s="17" t="str">
        <f t="shared" si="14"/>
        <v/>
      </c>
      <c r="I1385" s="18">
        <f t="shared" si="9"/>
        <v>283.7</v>
      </c>
      <c r="J1385" s="19">
        <f t="shared" si="10"/>
        <v>286.05</v>
      </c>
      <c r="K1385" s="19"/>
      <c r="L1385" s="19">
        <f t="shared" si="11"/>
        <v>280.5</v>
      </c>
      <c r="M1385" s="19">
        <f t="shared" si="12"/>
        <v>289.25</v>
      </c>
      <c r="N1385" s="19">
        <f t="shared" si="13"/>
        <v>278.15</v>
      </c>
    </row>
    <row r="1386" ht="24.75" customHeight="1">
      <c r="A1386" s="21" t="s">
        <v>1349</v>
      </c>
      <c r="B1386" s="13">
        <f>IFERROR(__xludf.DUMMYFUNCTION("GOOGLEFINANCE(A1386,""PRICE"")"),850.0)</f>
        <v>850</v>
      </c>
      <c r="C1386" s="14">
        <f>IFERROR(__xludf.DUMMYFUNCTION("GOOGLEFINANCE(A1386,""PRICEOPEN"")"),846.85)</f>
        <v>846.85</v>
      </c>
      <c r="D1386" s="14">
        <f>IFERROR(__xludf.DUMMYFUNCTION("GOOGLEFINANCE(A1386,""HIGH"")"),852.8)</f>
        <v>852.8</v>
      </c>
      <c r="E1386" s="14">
        <f>IFERROR(__xludf.DUMMYFUNCTION("GOOGLEFINANCE(A1386,""LOW"")"),836.1)</f>
        <v>836.1</v>
      </c>
      <c r="F1386" s="15" t="str">
        <f t="shared" si="8"/>
        <v/>
      </c>
      <c r="G1386" s="16">
        <f>IFERROR(__xludf.DUMMYFUNCTION("GOOGLEFINANCE(A1386,""CLOSEYEST"")"),846.85)</f>
        <v>846.85</v>
      </c>
      <c r="H1386" s="17" t="str">
        <f t="shared" si="14"/>
        <v/>
      </c>
      <c r="I1386" s="18">
        <f t="shared" si="9"/>
        <v>845.25</v>
      </c>
      <c r="J1386" s="19">
        <f t="shared" si="10"/>
        <v>854.4</v>
      </c>
      <c r="K1386" s="19"/>
      <c r="L1386" s="19">
        <f t="shared" si="11"/>
        <v>837.7</v>
      </c>
      <c r="M1386" s="19">
        <f t="shared" si="12"/>
        <v>861.95</v>
      </c>
      <c r="N1386" s="19">
        <f t="shared" si="13"/>
        <v>828.55</v>
      </c>
    </row>
    <row r="1387" ht="24.75" customHeight="1">
      <c r="A1387" s="21" t="s">
        <v>1350</v>
      </c>
      <c r="B1387" s="13">
        <f>IFERROR(__xludf.DUMMYFUNCTION("GOOGLEFINANCE(A1387,""PRICE"")"),252.0)</f>
        <v>252</v>
      </c>
      <c r="C1387" s="14">
        <f>IFERROR(__xludf.DUMMYFUNCTION("GOOGLEFINANCE(A1387,""PRICEOPEN"")"),255.0)</f>
        <v>255</v>
      </c>
      <c r="D1387" s="14">
        <f>IFERROR(__xludf.DUMMYFUNCTION("GOOGLEFINANCE(A1387,""HIGH"")"),257.48)</f>
        <v>257.48</v>
      </c>
      <c r="E1387" s="14">
        <f>IFERROR(__xludf.DUMMYFUNCTION("GOOGLEFINANCE(A1387,""LOW"")"),247.0)</f>
        <v>247</v>
      </c>
      <c r="F1387" s="15" t="str">
        <f t="shared" si="8"/>
        <v/>
      </c>
      <c r="G1387" s="16">
        <f>IFERROR(__xludf.DUMMYFUNCTION("GOOGLEFINANCE(A1387,""CLOSEYEST"")"),250.63)</f>
        <v>250.63</v>
      </c>
      <c r="H1387" s="17" t="str">
        <f t="shared" si="14"/>
        <v>GAP UP</v>
      </c>
      <c r="I1387" s="18">
        <f t="shared" si="9"/>
        <v>251.7033333</v>
      </c>
      <c r="J1387" s="19">
        <f t="shared" si="10"/>
        <v>256.4066667</v>
      </c>
      <c r="K1387" s="19"/>
      <c r="L1387" s="19">
        <f t="shared" si="11"/>
        <v>245.9266667</v>
      </c>
      <c r="M1387" s="19">
        <f t="shared" si="12"/>
        <v>262.1833333</v>
      </c>
      <c r="N1387" s="19">
        <f t="shared" si="13"/>
        <v>241.2233333</v>
      </c>
    </row>
    <row r="1388" ht="24.75" customHeight="1">
      <c r="A1388" s="21" t="s">
        <v>1351</v>
      </c>
      <c r="B1388" s="13">
        <f>IFERROR(__xludf.DUMMYFUNCTION("GOOGLEFINANCE(A1388,""PRICE"")"),605.0)</f>
        <v>605</v>
      </c>
      <c r="C1388" s="14">
        <f>IFERROR(__xludf.DUMMYFUNCTION("GOOGLEFINANCE(A1388,""PRICEOPEN"")"),574.35)</f>
        <v>574.35</v>
      </c>
      <c r="D1388" s="14">
        <f>IFERROR(__xludf.DUMMYFUNCTION("GOOGLEFINANCE(A1388,""HIGH"")"),613.0)</f>
        <v>613</v>
      </c>
      <c r="E1388" s="14">
        <f>IFERROR(__xludf.DUMMYFUNCTION("GOOGLEFINANCE(A1388,""LOW"")"),571.6)</f>
        <v>571.6</v>
      </c>
      <c r="F1388" s="15" t="str">
        <f t="shared" si="8"/>
        <v/>
      </c>
      <c r="G1388" s="16">
        <f>IFERROR(__xludf.DUMMYFUNCTION("GOOGLEFINANCE(A1388,""CLOSEYEST"")"),572.25)</f>
        <v>572.25</v>
      </c>
      <c r="H1388" s="17" t="str">
        <f t="shared" si="14"/>
        <v/>
      </c>
      <c r="I1388" s="18">
        <f t="shared" si="9"/>
        <v>585.6166667</v>
      </c>
      <c r="J1388" s="19">
        <f t="shared" si="10"/>
        <v>599.6333333</v>
      </c>
      <c r="K1388" s="19"/>
      <c r="L1388" s="19">
        <f t="shared" si="11"/>
        <v>558.2333333</v>
      </c>
      <c r="M1388" s="19">
        <f t="shared" si="12"/>
        <v>627.0166667</v>
      </c>
      <c r="N1388" s="19">
        <f t="shared" si="13"/>
        <v>544.2166667</v>
      </c>
    </row>
    <row r="1389" ht="24.75" customHeight="1">
      <c r="A1389" s="21" t="s">
        <v>1352</v>
      </c>
      <c r="B1389" s="13">
        <f>IFERROR(__xludf.DUMMYFUNCTION("GOOGLEFINANCE(A1389,""PRICE"")"),1045.1)</f>
        <v>1045.1</v>
      </c>
      <c r="C1389" s="14">
        <f>IFERROR(__xludf.DUMMYFUNCTION("GOOGLEFINANCE(A1389,""PRICEOPEN"")"),1047.0)</f>
        <v>1047</v>
      </c>
      <c r="D1389" s="14">
        <f>IFERROR(__xludf.DUMMYFUNCTION("GOOGLEFINANCE(A1389,""HIGH"")"),1062.0)</f>
        <v>1062</v>
      </c>
      <c r="E1389" s="14">
        <f>IFERROR(__xludf.DUMMYFUNCTION("GOOGLEFINANCE(A1389,""LOW"")"),1021.0)</f>
        <v>1021</v>
      </c>
      <c r="F1389" s="15" t="str">
        <f t="shared" si="8"/>
        <v/>
      </c>
      <c r="G1389" s="16">
        <f>IFERROR(__xludf.DUMMYFUNCTION("GOOGLEFINANCE(A1389,""CLOSEYEST"")"),1043.0)</f>
        <v>1043</v>
      </c>
      <c r="H1389" s="17" t="str">
        <f t="shared" si="14"/>
        <v/>
      </c>
      <c r="I1389" s="18">
        <f t="shared" si="9"/>
        <v>1042</v>
      </c>
      <c r="J1389" s="19">
        <f t="shared" si="10"/>
        <v>1063</v>
      </c>
      <c r="K1389" s="19"/>
      <c r="L1389" s="19">
        <f t="shared" si="11"/>
        <v>1022</v>
      </c>
      <c r="M1389" s="19">
        <f t="shared" si="12"/>
        <v>1083</v>
      </c>
      <c r="N1389" s="19">
        <f t="shared" si="13"/>
        <v>1001</v>
      </c>
    </row>
    <row r="1390" ht="24.75" customHeight="1">
      <c r="A1390" s="21" t="s">
        <v>1353</v>
      </c>
      <c r="B1390" s="13" t="str">
        <f>IFERROR(__xludf.DUMMYFUNCTION("GOOGLEFINANCE(A1390,""PRICE"")"),"#N/A")</f>
        <v>#N/A</v>
      </c>
      <c r="C1390" s="14" t="str">
        <f>IFERROR(__xludf.DUMMYFUNCTION("GOOGLEFINANCE(A1390,""PRICEOPEN"")"),"#N/A")</f>
        <v>#N/A</v>
      </c>
      <c r="D1390" s="14" t="str">
        <f>IFERROR(__xludf.DUMMYFUNCTION("GOOGLEFINANCE(A1390,""HIGH"")"),"#N/A")</f>
        <v>#N/A</v>
      </c>
      <c r="E1390" s="14" t="str">
        <f>IFERROR(__xludf.DUMMYFUNCTION("GOOGLEFINANCE(A1390,""LOW"")"),"#N/A")</f>
        <v>#N/A</v>
      </c>
      <c r="F1390" s="15" t="str">
        <f t="shared" si="8"/>
        <v>#N/A</v>
      </c>
      <c r="G1390" s="16" t="str">
        <f>IFERROR(__xludf.DUMMYFUNCTION("GOOGLEFINANCE(A1390,""CLOSEYEST"")"),"#N/A")</f>
        <v>#N/A</v>
      </c>
      <c r="H1390" s="17" t="str">
        <f t="shared" si="14"/>
        <v>#N/A</v>
      </c>
      <c r="I1390" s="18" t="str">
        <f t="shared" si="9"/>
        <v>#N/A</v>
      </c>
      <c r="J1390" s="19" t="str">
        <f t="shared" si="10"/>
        <v>#N/A</v>
      </c>
      <c r="K1390" s="19"/>
      <c r="L1390" s="19" t="str">
        <f t="shared" si="11"/>
        <v>#N/A</v>
      </c>
      <c r="M1390" s="19" t="str">
        <f t="shared" si="12"/>
        <v>#N/A</v>
      </c>
      <c r="N1390" s="19" t="str">
        <f t="shared" si="13"/>
        <v>#N/A</v>
      </c>
    </row>
    <row r="1391" ht="24.75" customHeight="1">
      <c r="A1391" s="21" t="s">
        <v>1354</v>
      </c>
      <c r="B1391" s="13" t="str">
        <f>IFERROR(__xludf.DUMMYFUNCTION("GOOGLEFINANCE(A1391,""PRICE"")"),"#N/A")</f>
        <v>#N/A</v>
      </c>
      <c r="C1391" s="14" t="str">
        <f>IFERROR(__xludf.DUMMYFUNCTION("GOOGLEFINANCE(A1391,""PRICEOPEN"")"),"#N/A")</f>
        <v>#N/A</v>
      </c>
      <c r="D1391" s="14" t="str">
        <f>IFERROR(__xludf.DUMMYFUNCTION("GOOGLEFINANCE(A1391,""HIGH"")"),"#N/A")</f>
        <v>#N/A</v>
      </c>
      <c r="E1391" s="14" t="str">
        <f>IFERROR(__xludf.DUMMYFUNCTION("GOOGLEFINANCE(A1391,""LOW"")"),"#N/A")</f>
        <v>#N/A</v>
      </c>
      <c r="F1391" s="15" t="str">
        <f t="shared" si="8"/>
        <v>#N/A</v>
      </c>
      <c r="G1391" s="16" t="str">
        <f>IFERROR(__xludf.DUMMYFUNCTION("GOOGLEFINANCE(A1391,""CLOSEYEST"")"),"#N/A")</f>
        <v>#N/A</v>
      </c>
      <c r="H1391" s="17" t="str">
        <f t="shared" si="14"/>
        <v>#N/A</v>
      </c>
      <c r="I1391" s="18" t="str">
        <f t="shared" si="9"/>
        <v>#N/A</v>
      </c>
      <c r="J1391" s="19" t="str">
        <f t="shared" si="10"/>
        <v>#N/A</v>
      </c>
      <c r="K1391" s="19"/>
      <c r="L1391" s="19" t="str">
        <f t="shared" si="11"/>
        <v>#N/A</v>
      </c>
      <c r="M1391" s="19" t="str">
        <f t="shared" si="12"/>
        <v>#N/A</v>
      </c>
      <c r="N1391" s="19" t="str">
        <f t="shared" si="13"/>
        <v>#N/A</v>
      </c>
    </row>
    <row r="1392" ht="24.75" customHeight="1">
      <c r="A1392" s="21" t="s">
        <v>1355</v>
      </c>
      <c r="B1392" s="13">
        <f>IFERROR(__xludf.DUMMYFUNCTION("GOOGLEFINANCE(A1392,""PRICE"")"),181.5)</f>
        <v>181.5</v>
      </c>
      <c r="C1392" s="14">
        <f>IFERROR(__xludf.DUMMYFUNCTION("GOOGLEFINANCE(A1392,""PRICEOPEN"")"),174.01)</f>
        <v>174.01</v>
      </c>
      <c r="D1392" s="14">
        <f>IFERROR(__xludf.DUMMYFUNCTION("GOOGLEFINANCE(A1392,""HIGH"")"),183.5)</f>
        <v>183.5</v>
      </c>
      <c r="E1392" s="14">
        <f>IFERROR(__xludf.DUMMYFUNCTION("GOOGLEFINANCE(A1392,""LOW"")"),174.01)</f>
        <v>174.01</v>
      </c>
      <c r="F1392" s="15" t="str">
        <f t="shared" si="8"/>
        <v>BUY</v>
      </c>
      <c r="G1392" s="16">
        <f>IFERROR(__xludf.DUMMYFUNCTION("GOOGLEFINANCE(A1392,""CLOSEYEST"")"),175.86)</f>
        <v>175.86</v>
      </c>
      <c r="H1392" s="17" t="str">
        <f t="shared" si="14"/>
        <v>GAP DOWN</v>
      </c>
      <c r="I1392" s="18">
        <f t="shared" si="9"/>
        <v>177.79</v>
      </c>
      <c r="J1392" s="19">
        <f t="shared" si="10"/>
        <v>181.57</v>
      </c>
      <c r="K1392" s="19"/>
      <c r="L1392" s="19">
        <f t="shared" si="11"/>
        <v>172.08</v>
      </c>
      <c r="M1392" s="19">
        <f t="shared" si="12"/>
        <v>187.28</v>
      </c>
      <c r="N1392" s="19">
        <f t="shared" si="13"/>
        <v>168.3</v>
      </c>
    </row>
    <row r="1393" ht="24.75" customHeight="1">
      <c r="A1393" s="21" t="s">
        <v>1356</v>
      </c>
      <c r="B1393" s="13" t="str">
        <f>IFERROR(__xludf.DUMMYFUNCTION("GOOGLEFINANCE(A1393,""PRICE"")"),"#N/A")</f>
        <v>#N/A</v>
      </c>
      <c r="C1393" s="14" t="str">
        <f>IFERROR(__xludf.DUMMYFUNCTION("GOOGLEFINANCE(A1393,""PRICEOPEN"")"),"#N/A")</f>
        <v>#N/A</v>
      </c>
      <c r="D1393" s="14" t="str">
        <f>IFERROR(__xludf.DUMMYFUNCTION("GOOGLEFINANCE(A1393,""HIGH"")"),"#N/A")</f>
        <v>#N/A</v>
      </c>
      <c r="E1393" s="14" t="str">
        <f>IFERROR(__xludf.DUMMYFUNCTION("GOOGLEFINANCE(A1393,""LOW"")"),"#N/A")</f>
        <v>#N/A</v>
      </c>
      <c r="F1393" s="15" t="str">
        <f t="shared" si="8"/>
        <v>#N/A</v>
      </c>
      <c r="G1393" s="16" t="str">
        <f>IFERROR(__xludf.DUMMYFUNCTION("GOOGLEFINANCE(A1393,""CLOSEYEST"")"),"#N/A")</f>
        <v>#N/A</v>
      </c>
      <c r="H1393" s="17" t="str">
        <f t="shared" si="14"/>
        <v>#N/A</v>
      </c>
      <c r="I1393" s="18" t="str">
        <f t="shared" si="9"/>
        <v>#N/A</v>
      </c>
      <c r="J1393" s="19" t="str">
        <f t="shared" si="10"/>
        <v>#N/A</v>
      </c>
      <c r="K1393" s="19"/>
      <c r="L1393" s="19" t="str">
        <f t="shared" si="11"/>
        <v>#N/A</v>
      </c>
      <c r="M1393" s="19" t="str">
        <f t="shared" si="12"/>
        <v>#N/A</v>
      </c>
      <c r="N1393" s="19" t="str">
        <f t="shared" si="13"/>
        <v>#N/A</v>
      </c>
    </row>
    <row r="1394" ht="24.75" customHeight="1">
      <c r="A1394" s="21" t="s">
        <v>1357</v>
      </c>
      <c r="B1394" s="13">
        <f>IFERROR(__xludf.DUMMYFUNCTION("GOOGLEFINANCE(A1394,""PRICE"")"),362.0)</f>
        <v>362</v>
      </c>
      <c r="C1394" s="14">
        <f>IFERROR(__xludf.DUMMYFUNCTION("GOOGLEFINANCE(A1394,""PRICEOPEN"")"),369.9)</f>
        <v>369.9</v>
      </c>
      <c r="D1394" s="14">
        <f>IFERROR(__xludf.DUMMYFUNCTION("GOOGLEFINANCE(A1394,""HIGH"")"),369.95)</f>
        <v>369.95</v>
      </c>
      <c r="E1394" s="14">
        <f>IFERROR(__xludf.DUMMYFUNCTION("GOOGLEFINANCE(A1394,""LOW"")"),357.15)</f>
        <v>357.15</v>
      </c>
      <c r="F1394" s="15" t="str">
        <f t="shared" si="8"/>
        <v/>
      </c>
      <c r="G1394" s="16">
        <f>IFERROR(__xludf.DUMMYFUNCTION("GOOGLEFINANCE(A1394,""CLOSEYEST"")"),366.8)</f>
        <v>366.8</v>
      </c>
      <c r="H1394" s="17" t="str">
        <f t="shared" si="14"/>
        <v/>
      </c>
      <c r="I1394" s="18">
        <f t="shared" si="9"/>
        <v>364.6333333</v>
      </c>
      <c r="J1394" s="19">
        <f t="shared" si="10"/>
        <v>372.1166667</v>
      </c>
      <c r="K1394" s="19"/>
      <c r="L1394" s="19">
        <f t="shared" si="11"/>
        <v>359.3166667</v>
      </c>
      <c r="M1394" s="19">
        <f t="shared" si="12"/>
        <v>377.4333333</v>
      </c>
      <c r="N1394" s="19">
        <f t="shared" si="13"/>
        <v>351.8333333</v>
      </c>
    </row>
    <row r="1395" ht="24.75" customHeight="1">
      <c r="A1395" s="21" t="s">
        <v>1358</v>
      </c>
      <c r="B1395" s="13">
        <f>IFERROR(__xludf.DUMMYFUNCTION("GOOGLEFINANCE(A1395,""PRICE"")"),45.27)</f>
        <v>45.27</v>
      </c>
      <c r="C1395" s="14">
        <f>IFERROR(__xludf.DUMMYFUNCTION("GOOGLEFINANCE(A1395,""PRICEOPEN"")"),45.27)</f>
        <v>45.27</v>
      </c>
      <c r="D1395" s="14">
        <f>IFERROR(__xludf.DUMMYFUNCTION("GOOGLEFINANCE(A1395,""HIGH"")"),45.27)</f>
        <v>45.27</v>
      </c>
      <c r="E1395" s="14">
        <f>IFERROR(__xludf.DUMMYFUNCTION("GOOGLEFINANCE(A1395,""LOW"")"),45.27)</f>
        <v>45.27</v>
      </c>
      <c r="F1395" s="15" t="str">
        <f t="shared" si="8"/>
        <v>SELL</v>
      </c>
      <c r="G1395" s="16">
        <f>IFERROR(__xludf.DUMMYFUNCTION("GOOGLEFINANCE(A1395,""CLOSEYEST"")"),43.12)</f>
        <v>43.12</v>
      </c>
      <c r="H1395" s="17" t="str">
        <f t="shared" si="14"/>
        <v>GAP UP</v>
      </c>
      <c r="I1395" s="18">
        <f t="shared" si="9"/>
        <v>44.55333333</v>
      </c>
      <c r="J1395" s="19">
        <f t="shared" si="10"/>
        <v>43.83666667</v>
      </c>
      <c r="K1395" s="19"/>
      <c r="L1395" s="19">
        <f t="shared" si="11"/>
        <v>43.83666667</v>
      </c>
      <c r="M1395" s="19">
        <f t="shared" si="12"/>
        <v>44.55333333</v>
      </c>
      <c r="N1395" s="19">
        <f t="shared" si="13"/>
        <v>44.55333333</v>
      </c>
    </row>
    <row r="1396" ht="24.75" customHeight="1">
      <c r="A1396" s="21" t="s">
        <v>1359</v>
      </c>
      <c r="B1396" s="13">
        <f>IFERROR(__xludf.DUMMYFUNCTION("GOOGLEFINANCE(A1396,""PRICE"")"),17.51)</f>
        <v>17.51</v>
      </c>
      <c r="C1396" s="14">
        <f>IFERROR(__xludf.DUMMYFUNCTION("GOOGLEFINANCE(A1396,""PRICEOPEN"")"),16.66)</f>
        <v>16.66</v>
      </c>
      <c r="D1396" s="14">
        <f>IFERROR(__xludf.DUMMYFUNCTION("GOOGLEFINANCE(A1396,""HIGH"")"),17.51)</f>
        <v>17.51</v>
      </c>
      <c r="E1396" s="14">
        <f>IFERROR(__xludf.DUMMYFUNCTION("GOOGLEFINANCE(A1396,""LOW"")"),16.66)</f>
        <v>16.66</v>
      </c>
      <c r="F1396" s="15" t="str">
        <f t="shared" si="8"/>
        <v>BUY</v>
      </c>
      <c r="G1396" s="16">
        <f>IFERROR(__xludf.DUMMYFUNCTION("GOOGLEFINANCE(A1396,""CLOSEYEST"")"),16.68)</f>
        <v>16.68</v>
      </c>
      <c r="H1396" s="17" t="str">
        <f t="shared" si="14"/>
        <v/>
      </c>
      <c r="I1396" s="18">
        <f t="shared" si="9"/>
        <v>16.95</v>
      </c>
      <c r="J1396" s="19">
        <f t="shared" si="10"/>
        <v>17.24</v>
      </c>
      <c r="K1396" s="19"/>
      <c r="L1396" s="19">
        <f t="shared" si="11"/>
        <v>16.39</v>
      </c>
      <c r="M1396" s="19">
        <f t="shared" si="12"/>
        <v>17.8</v>
      </c>
      <c r="N1396" s="19">
        <f t="shared" si="13"/>
        <v>16.1</v>
      </c>
    </row>
    <row r="1397" ht="24.75" customHeight="1">
      <c r="A1397" s="21" t="s">
        <v>1360</v>
      </c>
      <c r="B1397" s="13">
        <f>IFERROR(__xludf.DUMMYFUNCTION("GOOGLEFINANCE(A1397,""PRICE"")"),287.0)</f>
        <v>287</v>
      </c>
      <c r="C1397" s="14">
        <f>IFERROR(__xludf.DUMMYFUNCTION("GOOGLEFINANCE(A1397,""PRICEOPEN"")"),291.15)</f>
        <v>291.15</v>
      </c>
      <c r="D1397" s="14">
        <f>IFERROR(__xludf.DUMMYFUNCTION("GOOGLEFINANCE(A1397,""HIGH"")"),293.95)</f>
        <v>293.95</v>
      </c>
      <c r="E1397" s="14">
        <f>IFERROR(__xludf.DUMMYFUNCTION("GOOGLEFINANCE(A1397,""LOW"")"),281.5)</f>
        <v>281.5</v>
      </c>
      <c r="F1397" s="15" t="str">
        <f t="shared" si="8"/>
        <v/>
      </c>
      <c r="G1397" s="16">
        <f>IFERROR(__xludf.DUMMYFUNCTION("GOOGLEFINANCE(A1397,""CLOSEYEST"")"),291.7)</f>
        <v>291.7</v>
      </c>
      <c r="H1397" s="17" t="str">
        <f t="shared" si="14"/>
        <v/>
      </c>
      <c r="I1397" s="18">
        <f t="shared" si="9"/>
        <v>289.05</v>
      </c>
      <c r="J1397" s="19">
        <f t="shared" si="10"/>
        <v>296.6</v>
      </c>
      <c r="K1397" s="19"/>
      <c r="L1397" s="19">
        <f t="shared" si="11"/>
        <v>284.15</v>
      </c>
      <c r="M1397" s="19">
        <f t="shared" si="12"/>
        <v>301.5</v>
      </c>
      <c r="N1397" s="19">
        <f t="shared" si="13"/>
        <v>276.6</v>
      </c>
    </row>
    <row r="1398" ht="24.75" customHeight="1">
      <c r="A1398" s="21" t="s">
        <v>1361</v>
      </c>
      <c r="B1398" s="13">
        <f>IFERROR(__xludf.DUMMYFUNCTION("GOOGLEFINANCE(A1398,""PRICE"")"),17.52)</f>
        <v>17.52</v>
      </c>
      <c r="C1398" s="14">
        <f>IFERROR(__xludf.DUMMYFUNCTION("GOOGLEFINANCE(A1398,""PRICEOPEN"")"),17.52)</f>
        <v>17.52</v>
      </c>
      <c r="D1398" s="14">
        <f>IFERROR(__xludf.DUMMYFUNCTION("GOOGLEFINANCE(A1398,""HIGH"")"),17.52)</f>
        <v>17.52</v>
      </c>
      <c r="E1398" s="14">
        <f>IFERROR(__xludf.DUMMYFUNCTION("GOOGLEFINANCE(A1398,""LOW"")"),17.52)</f>
        <v>17.52</v>
      </c>
      <c r="F1398" s="15" t="str">
        <f t="shared" si="8"/>
        <v>SELL</v>
      </c>
      <c r="G1398" s="16">
        <f>IFERROR(__xludf.DUMMYFUNCTION("GOOGLEFINANCE(A1398,""CLOSEYEST"")"),17.18)</f>
        <v>17.18</v>
      </c>
      <c r="H1398" s="17" t="str">
        <f t="shared" si="14"/>
        <v>GAP UP</v>
      </c>
      <c r="I1398" s="18">
        <f t="shared" si="9"/>
        <v>17.40666667</v>
      </c>
      <c r="J1398" s="19">
        <f t="shared" si="10"/>
        <v>17.29333333</v>
      </c>
      <c r="K1398" s="19"/>
      <c r="L1398" s="19">
        <f t="shared" si="11"/>
        <v>17.29333333</v>
      </c>
      <c r="M1398" s="19">
        <f t="shared" si="12"/>
        <v>17.40666667</v>
      </c>
      <c r="N1398" s="19">
        <f t="shared" si="13"/>
        <v>17.40666667</v>
      </c>
    </row>
    <row r="1399" ht="24.75" customHeight="1">
      <c r="A1399" s="21" t="s">
        <v>1362</v>
      </c>
      <c r="B1399" s="13">
        <f>IFERROR(__xludf.DUMMYFUNCTION("GOOGLEFINANCE(A1399,""PRICE"")"),534.15)</f>
        <v>534.15</v>
      </c>
      <c r="C1399" s="14">
        <f>IFERROR(__xludf.DUMMYFUNCTION("GOOGLEFINANCE(A1399,""PRICEOPEN"")"),525.2)</f>
        <v>525.2</v>
      </c>
      <c r="D1399" s="14">
        <f>IFERROR(__xludf.DUMMYFUNCTION("GOOGLEFINANCE(A1399,""HIGH"")"),540.8)</f>
        <v>540.8</v>
      </c>
      <c r="E1399" s="14">
        <f>IFERROR(__xludf.DUMMYFUNCTION("GOOGLEFINANCE(A1399,""LOW"")"),523.7)</f>
        <v>523.7</v>
      </c>
      <c r="F1399" s="15" t="str">
        <f t="shared" si="8"/>
        <v/>
      </c>
      <c r="G1399" s="16">
        <f>IFERROR(__xludf.DUMMYFUNCTION("GOOGLEFINANCE(A1399,""CLOSEYEST"")"),528.35)</f>
        <v>528.35</v>
      </c>
      <c r="H1399" s="17" t="str">
        <f t="shared" si="14"/>
        <v/>
      </c>
      <c r="I1399" s="18">
        <f t="shared" si="9"/>
        <v>530.95</v>
      </c>
      <c r="J1399" s="19">
        <f t="shared" si="10"/>
        <v>538.2</v>
      </c>
      <c r="K1399" s="19"/>
      <c r="L1399" s="19">
        <f t="shared" si="11"/>
        <v>521.1</v>
      </c>
      <c r="M1399" s="19">
        <f t="shared" si="12"/>
        <v>548.05</v>
      </c>
      <c r="N1399" s="19">
        <f t="shared" si="13"/>
        <v>513.85</v>
      </c>
    </row>
    <row r="1400" ht="24.75" customHeight="1">
      <c r="A1400" s="21" t="s">
        <v>1363</v>
      </c>
      <c r="B1400" s="13">
        <f>IFERROR(__xludf.DUMMYFUNCTION("GOOGLEFINANCE(A1400,""PRICE"")"),123.78)</f>
        <v>123.78</v>
      </c>
      <c r="C1400" s="14">
        <f>IFERROR(__xludf.DUMMYFUNCTION("GOOGLEFINANCE(A1400,""PRICEOPEN"")"),124.99)</f>
        <v>124.99</v>
      </c>
      <c r="D1400" s="14">
        <f>IFERROR(__xludf.DUMMYFUNCTION("GOOGLEFINANCE(A1400,""HIGH"")"),124.99)</f>
        <v>124.99</v>
      </c>
      <c r="E1400" s="14">
        <f>IFERROR(__xludf.DUMMYFUNCTION("GOOGLEFINANCE(A1400,""LOW"")"),121.2)</f>
        <v>121.2</v>
      </c>
      <c r="F1400" s="15" t="str">
        <f t="shared" si="8"/>
        <v>SELL</v>
      </c>
      <c r="G1400" s="16">
        <f>IFERROR(__xludf.DUMMYFUNCTION("GOOGLEFINANCE(A1400,""CLOSEYEST"")"),123.89)</f>
        <v>123.89</v>
      </c>
      <c r="H1400" s="17" t="str">
        <f t="shared" si="14"/>
        <v/>
      </c>
      <c r="I1400" s="18">
        <f t="shared" si="9"/>
        <v>123.36</v>
      </c>
      <c r="J1400" s="19">
        <f t="shared" si="10"/>
        <v>125.52</v>
      </c>
      <c r="K1400" s="19"/>
      <c r="L1400" s="19">
        <f t="shared" si="11"/>
        <v>121.73</v>
      </c>
      <c r="M1400" s="19">
        <f t="shared" si="12"/>
        <v>127.15</v>
      </c>
      <c r="N1400" s="19">
        <f t="shared" si="13"/>
        <v>119.57</v>
      </c>
    </row>
    <row r="1401" ht="24.75" customHeight="1">
      <c r="A1401" s="21" t="s">
        <v>1364</v>
      </c>
      <c r="B1401" s="13">
        <f>IFERROR(__xludf.DUMMYFUNCTION("GOOGLEFINANCE(A1401,""PRICE"")"),121.43)</f>
        <v>121.43</v>
      </c>
      <c r="C1401" s="14">
        <f>IFERROR(__xludf.DUMMYFUNCTION("GOOGLEFINANCE(A1401,""PRICEOPEN"")"),121.95)</f>
        <v>121.95</v>
      </c>
      <c r="D1401" s="14">
        <f>IFERROR(__xludf.DUMMYFUNCTION("GOOGLEFINANCE(A1401,""HIGH"")"),122.05)</f>
        <v>122.05</v>
      </c>
      <c r="E1401" s="14">
        <f>IFERROR(__xludf.DUMMYFUNCTION("GOOGLEFINANCE(A1401,""LOW"")"),121.43)</f>
        <v>121.43</v>
      </c>
      <c r="F1401" s="15" t="str">
        <f t="shared" si="8"/>
        <v/>
      </c>
      <c r="G1401" s="16">
        <f>IFERROR(__xludf.DUMMYFUNCTION("GOOGLEFINANCE(A1401,""CLOSEYEST"")"),121.89)</f>
        <v>121.89</v>
      </c>
      <c r="H1401" s="17" t="str">
        <f t="shared" si="14"/>
        <v/>
      </c>
      <c r="I1401" s="18">
        <f t="shared" si="9"/>
        <v>121.79</v>
      </c>
      <c r="J1401" s="19">
        <f t="shared" si="10"/>
        <v>122.15</v>
      </c>
      <c r="K1401" s="19"/>
      <c r="L1401" s="19">
        <f t="shared" si="11"/>
        <v>121.53</v>
      </c>
      <c r="M1401" s="19">
        <f t="shared" si="12"/>
        <v>122.41</v>
      </c>
      <c r="N1401" s="19">
        <f t="shared" si="13"/>
        <v>121.17</v>
      </c>
    </row>
    <row r="1402" ht="24.75" customHeight="1">
      <c r="A1402" s="21" t="s">
        <v>1365</v>
      </c>
      <c r="B1402" s="13">
        <f>IFERROR(__xludf.DUMMYFUNCTION("GOOGLEFINANCE(A1402,""PRICE"")"),1018.9)</f>
        <v>1018.9</v>
      </c>
      <c r="C1402" s="14">
        <f>IFERROR(__xludf.DUMMYFUNCTION("GOOGLEFINANCE(A1402,""PRICEOPEN"")"),1045.95)</f>
        <v>1045.95</v>
      </c>
      <c r="D1402" s="14">
        <f>IFERROR(__xludf.DUMMYFUNCTION("GOOGLEFINANCE(A1402,""HIGH"")"),1069.0)</f>
        <v>1069</v>
      </c>
      <c r="E1402" s="14">
        <f>IFERROR(__xludf.DUMMYFUNCTION("GOOGLEFINANCE(A1402,""LOW"")"),1011.25)</f>
        <v>1011.25</v>
      </c>
      <c r="F1402" s="15" t="str">
        <f t="shared" si="8"/>
        <v/>
      </c>
      <c r="G1402" s="16">
        <f>IFERROR(__xludf.DUMMYFUNCTION("GOOGLEFINANCE(A1402,""CLOSEYEST"")"),1011.25)</f>
        <v>1011.25</v>
      </c>
      <c r="H1402" s="17" t="str">
        <f t="shared" si="14"/>
        <v>GAP UP</v>
      </c>
      <c r="I1402" s="18">
        <f t="shared" si="9"/>
        <v>1030.5</v>
      </c>
      <c r="J1402" s="19">
        <f t="shared" si="10"/>
        <v>1049.75</v>
      </c>
      <c r="K1402" s="19"/>
      <c r="L1402" s="19">
        <f t="shared" si="11"/>
        <v>992</v>
      </c>
      <c r="M1402" s="19">
        <f t="shared" si="12"/>
        <v>1088.25</v>
      </c>
      <c r="N1402" s="19">
        <f t="shared" si="13"/>
        <v>972.75</v>
      </c>
    </row>
    <row r="1403" ht="24.75" customHeight="1">
      <c r="A1403" s="21" t="s">
        <v>1366</v>
      </c>
      <c r="B1403" s="13">
        <f>IFERROR(__xludf.DUMMYFUNCTION("GOOGLEFINANCE(A1403,""PRICE"")"),115.53)</f>
        <v>115.53</v>
      </c>
      <c r="C1403" s="14">
        <f>IFERROR(__xludf.DUMMYFUNCTION("GOOGLEFINANCE(A1403,""PRICEOPEN"")"),114.85)</f>
        <v>114.85</v>
      </c>
      <c r="D1403" s="14">
        <f>IFERROR(__xludf.DUMMYFUNCTION("GOOGLEFINANCE(A1403,""HIGH"")"),116.0)</f>
        <v>116</v>
      </c>
      <c r="E1403" s="14">
        <f>IFERROR(__xludf.DUMMYFUNCTION("GOOGLEFINANCE(A1403,""LOW"")"),113.55)</f>
        <v>113.55</v>
      </c>
      <c r="F1403" s="15" t="str">
        <f t="shared" si="8"/>
        <v/>
      </c>
      <c r="G1403" s="16">
        <f>IFERROR(__xludf.DUMMYFUNCTION("GOOGLEFINANCE(A1403,""CLOSEYEST"")"),113.39)</f>
        <v>113.39</v>
      </c>
      <c r="H1403" s="17" t="str">
        <f t="shared" si="14"/>
        <v>GAP UP</v>
      </c>
      <c r="I1403" s="18">
        <f t="shared" si="9"/>
        <v>114.3133333</v>
      </c>
      <c r="J1403" s="19">
        <f t="shared" si="10"/>
        <v>115.0766667</v>
      </c>
      <c r="K1403" s="19"/>
      <c r="L1403" s="19">
        <f t="shared" si="11"/>
        <v>112.6266667</v>
      </c>
      <c r="M1403" s="19">
        <f t="shared" si="12"/>
        <v>116.7633333</v>
      </c>
      <c r="N1403" s="19">
        <f t="shared" si="13"/>
        <v>111.8633333</v>
      </c>
    </row>
    <row r="1404" ht="24.75" customHeight="1">
      <c r="A1404" s="21" t="s">
        <v>1367</v>
      </c>
      <c r="B1404" s="13">
        <f>IFERROR(__xludf.DUMMYFUNCTION("GOOGLEFINANCE(A1404,""PRICE"")"),286.0)</f>
        <v>286</v>
      </c>
      <c r="C1404" s="14">
        <f>IFERROR(__xludf.DUMMYFUNCTION("GOOGLEFINANCE(A1404,""PRICEOPEN"")"),288.65)</f>
        <v>288.65</v>
      </c>
      <c r="D1404" s="14">
        <f>IFERROR(__xludf.DUMMYFUNCTION("GOOGLEFINANCE(A1404,""HIGH"")"),288.65)</f>
        <v>288.65</v>
      </c>
      <c r="E1404" s="14">
        <f>IFERROR(__xludf.DUMMYFUNCTION("GOOGLEFINANCE(A1404,""LOW"")"),284.1)</f>
        <v>284.1</v>
      </c>
      <c r="F1404" s="15" t="str">
        <f t="shared" si="8"/>
        <v>SELL</v>
      </c>
      <c r="G1404" s="16">
        <f>IFERROR(__xludf.DUMMYFUNCTION("GOOGLEFINANCE(A1404,""CLOSEYEST"")"),287.65)</f>
        <v>287.65</v>
      </c>
      <c r="H1404" s="17" t="str">
        <f t="shared" si="14"/>
        <v/>
      </c>
      <c r="I1404" s="18">
        <f t="shared" si="9"/>
        <v>286.8</v>
      </c>
      <c r="J1404" s="19">
        <f t="shared" si="10"/>
        <v>289.5</v>
      </c>
      <c r="K1404" s="19"/>
      <c r="L1404" s="19">
        <f t="shared" si="11"/>
        <v>284.95</v>
      </c>
      <c r="M1404" s="19">
        <f t="shared" si="12"/>
        <v>291.35</v>
      </c>
      <c r="N1404" s="19">
        <f t="shared" si="13"/>
        <v>282.25</v>
      </c>
    </row>
    <row r="1405" ht="24.75" customHeight="1">
      <c r="A1405" s="21" t="s">
        <v>1368</v>
      </c>
      <c r="B1405" s="13">
        <f>IFERROR(__xludf.DUMMYFUNCTION("GOOGLEFINANCE(A1405,""PRICE"")"),13.0)</f>
        <v>13</v>
      </c>
      <c r="C1405" s="14">
        <f>IFERROR(__xludf.DUMMYFUNCTION("GOOGLEFINANCE(A1405,""PRICEOPEN"")"),12.79)</f>
        <v>12.79</v>
      </c>
      <c r="D1405" s="14">
        <f>IFERROR(__xludf.DUMMYFUNCTION("GOOGLEFINANCE(A1405,""HIGH"")"),13.13)</f>
        <v>13.13</v>
      </c>
      <c r="E1405" s="14">
        <f>IFERROR(__xludf.DUMMYFUNCTION("GOOGLEFINANCE(A1405,""LOW"")"),12.45)</f>
        <v>12.45</v>
      </c>
      <c r="F1405" s="15" t="str">
        <f t="shared" si="8"/>
        <v/>
      </c>
      <c r="G1405" s="16">
        <f>IFERROR(__xludf.DUMMYFUNCTION("GOOGLEFINANCE(A1405,""CLOSEYEST"")"),12.51)</f>
        <v>12.51</v>
      </c>
      <c r="H1405" s="17" t="str">
        <f t="shared" si="14"/>
        <v>GAP UP</v>
      </c>
      <c r="I1405" s="18">
        <f t="shared" si="9"/>
        <v>12.69666667</v>
      </c>
      <c r="J1405" s="19">
        <f t="shared" si="10"/>
        <v>12.94333333</v>
      </c>
      <c r="K1405" s="19"/>
      <c r="L1405" s="19">
        <f t="shared" si="11"/>
        <v>12.26333333</v>
      </c>
      <c r="M1405" s="19">
        <f t="shared" si="12"/>
        <v>13.37666667</v>
      </c>
      <c r="N1405" s="19">
        <f t="shared" si="13"/>
        <v>12.01666667</v>
      </c>
    </row>
    <row r="1406" ht="24.75" customHeight="1">
      <c r="A1406" s="21" t="s">
        <v>1369</v>
      </c>
      <c r="B1406" s="13" t="str">
        <f>IFERROR(__xludf.DUMMYFUNCTION("GOOGLEFINANCE(A1406,""PRICE"")"),"#N/A")</f>
        <v>#N/A</v>
      </c>
      <c r="C1406" s="14" t="str">
        <f>IFERROR(__xludf.DUMMYFUNCTION("GOOGLEFINANCE(A1406,""PRICEOPEN"")"),"#N/A")</f>
        <v>#N/A</v>
      </c>
      <c r="D1406" s="14" t="str">
        <f>IFERROR(__xludf.DUMMYFUNCTION("GOOGLEFINANCE(A1406,""HIGH"")"),"#N/A")</f>
        <v>#N/A</v>
      </c>
      <c r="E1406" s="14" t="str">
        <f>IFERROR(__xludf.DUMMYFUNCTION("GOOGLEFINANCE(A1406,""LOW"")"),"#N/A")</f>
        <v>#N/A</v>
      </c>
      <c r="F1406" s="15" t="str">
        <f t="shared" si="8"/>
        <v>#N/A</v>
      </c>
      <c r="G1406" s="16" t="str">
        <f>IFERROR(__xludf.DUMMYFUNCTION("GOOGLEFINANCE(A1406,""CLOSEYEST"")"),"#N/A")</f>
        <v>#N/A</v>
      </c>
      <c r="H1406" s="17" t="str">
        <f t="shared" si="14"/>
        <v>#N/A</v>
      </c>
      <c r="I1406" s="18" t="str">
        <f t="shared" si="9"/>
        <v>#N/A</v>
      </c>
      <c r="J1406" s="19" t="str">
        <f t="shared" si="10"/>
        <v>#N/A</v>
      </c>
      <c r="K1406" s="19"/>
      <c r="L1406" s="19" t="str">
        <f t="shared" si="11"/>
        <v>#N/A</v>
      </c>
      <c r="M1406" s="19" t="str">
        <f t="shared" si="12"/>
        <v>#N/A</v>
      </c>
      <c r="N1406" s="19" t="str">
        <f t="shared" si="13"/>
        <v>#N/A</v>
      </c>
    </row>
    <row r="1407" ht="24.75" customHeight="1">
      <c r="A1407" s="21" t="s">
        <v>1370</v>
      </c>
      <c r="B1407" s="13" t="str">
        <f>IFERROR(__xludf.DUMMYFUNCTION("GOOGLEFINANCE(A1407,""PRICE"")"),"#N/A")</f>
        <v>#N/A</v>
      </c>
      <c r="C1407" s="14" t="str">
        <f>IFERROR(__xludf.DUMMYFUNCTION("GOOGLEFINANCE(A1407,""PRICEOPEN"")"),"#N/A")</f>
        <v>#N/A</v>
      </c>
      <c r="D1407" s="14" t="str">
        <f>IFERROR(__xludf.DUMMYFUNCTION("GOOGLEFINANCE(A1407,""HIGH"")"),"#N/A")</f>
        <v>#N/A</v>
      </c>
      <c r="E1407" s="14" t="str">
        <f>IFERROR(__xludf.DUMMYFUNCTION("GOOGLEFINANCE(A1407,""LOW"")"),"#N/A")</f>
        <v>#N/A</v>
      </c>
      <c r="F1407" s="15" t="str">
        <f t="shared" si="8"/>
        <v>#N/A</v>
      </c>
      <c r="G1407" s="16" t="str">
        <f>IFERROR(__xludf.DUMMYFUNCTION("GOOGLEFINANCE(A1407,""CLOSEYEST"")"),"#N/A")</f>
        <v>#N/A</v>
      </c>
      <c r="H1407" s="17" t="str">
        <f t="shared" si="14"/>
        <v>#N/A</v>
      </c>
      <c r="I1407" s="18" t="str">
        <f t="shared" si="9"/>
        <v>#N/A</v>
      </c>
      <c r="J1407" s="19" t="str">
        <f t="shared" si="10"/>
        <v>#N/A</v>
      </c>
      <c r="K1407" s="19"/>
      <c r="L1407" s="19" t="str">
        <f t="shared" si="11"/>
        <v>#N/A</v>
      </c>
      <c r="M1407" s="19" t="str">
        <f t="shared" si="12"/>
        <v>#N/A</v>
      </c>
      <c r="N1407" s="19" t="str">
        <f t="shared" si="13"/>
        <v>#N/A</v>
      </c>
    </row>
    <row r="1408" ht="24.75" customHeight="1">
      <c r="A1408" s="21" t="s">
        <v>1371</v>
      </c>
      <c r="B1408" s="13">
        <f>IFERROR(__xludf.DUMMYFUNCTION("GOOGLEFINANCE(A1408,""PRICE"")"),17.4)</f>
        <v>17.4</v>
      </c>
      <c r="C1408" s="14">
        <f>IFERROR(__xludf.DUMMYFUNCTION("GOOGLEFINANCE(A1408,""PRICEOPEN"")"),16.92)</f>
        <v>16.92</v>
      </c>
      <c r="D1408" s="14">
        <f>IFERROR(__xludf.DUMMYFUNCTION("GOOGLEFINANCE(A1408,""HIGH"")"),17.4)</f>
        <v>17.4</v>
      </c>
      <c r="E1408" s="14">
        <f>IFERROR(__xludf.DUMMYFUNCTION("GOOGLEFINANCE(A1408,""LOW"")"),16.89)</f>
        <v>16.89</v>
      </c>
      <c r="F1408" s="15" t="str">
        <f t="shared" si="8"/>
        <v/>
      </c>
      <c r="G1408" s="16">
        <f>IFERROR(__xludf.DUMMYFUNCTION("GOOGLEFINANCE(A1408,""CLOSEYEST"")"),16.58)</f>
        <v>16.58</v>
      </c>
      <c r="H1408" s="17" t="str">
        <f t="shared" si="14"/>
        <v>GAP UP</v>
      </c>
      <c r="I1408" s="18">
        <f t="shared" si="9"/>
        <v>16.95666667</v>
      </c>
      <c r="J1408" s="19">
        <f t="shared" si="10"/>
        <v>17.02333333</v>
      </c>
      <c r="K1408" s="19"/>
      <c r="L1408" s="19">
        <f t="shared" si="11"/>
        <v>16.51333333</v>
      </c>
      <c r="M1408" s="19">
        <f t="shared" si="12"/>
        <v>17.46666667</v>
      </c>
      <c r="N1408" s="19">
        <f t="shared" si="13"/>
        <v>16.44666667</v>
      </c>
    </row>
    <row r="1409" ht="24.75" customHeight="1">
      <c r="A1409" s="21" t="s">
        <v>1372</v>
      </c>
      <c r="B1409" s="13">
        <f>IFERROR(__xludf.DUMMYFUNCTION("GOOGLEFINANCE(A1409,""PRICE"")"),66.94)</f>
        <v>66.94</v>
      </c>
      <c r="C1409" s="14">
        <f>IFERROR(__xludf.DUMMYFUNCTION("GOOGLEFINANCE(A1409,""PRICEOPEN"")"),65.0)</f>
        <v>65</v>
      </c>
      <c r="D1409" s="14">
        <f>IFERROR(__xludf.DUMMYFUNCTION("GOOGLEFINANCE(A1409,""HIGH"")"),66.94)</f>
        <v>66.94</v>
      </c>
      <c r="E1409" s="14">
        <f>IFERROR(__xludf.DUMMYFUNCTION("GOOGLEFINANCE(A1409,""LOW"")"),64.0)</f>
        <v>64</v>
      </c>
      <c r="F1409" s="15" t="str">
        <f t="shared" si="8"/>
        <v/>
      </c>
      <c r="G1409" s="16">
        <f>IFERROR(__xludf.DUMMYFUNCTION("GOOGLEFINANCE(A1409,""CLOSEYEST"")"),65.08)</f>
        <v>65.08</v>
      </c>
      <c r="H1409" s="17" t="str">
        <f t="shared" si="14"/>
        <v/>
      </c>
      <c r="I1409" s="18">
        <f t="shared" si="9"/>
        <v>65.34</v>
      </c>
      <c r="J1409" s="19">
        <f t="shared" si="10"/>
        <v>66.68</v>
      </c>
      <c r="K1409" s="19"/>
      <c r="L1409" s="19">
        <f t="shared" si="11"/>
        <v>63.74</v>
      </c>
      <c r="M1409" s="19">
        <f t="shared" si="12"/>
        <v>68.28</v>
      </c>
      <c r="N1409" s="19">
        <f t="shared" si="13"/>
        <v>62.4</v>
      </c>
    </row>
    <row r="1410" ht="24.75" customHeight="1">
      <c r="A1410" s="21" t="s">
        <v>1373</v>
      </c>
      <c r="B1410" s="13">
        <f>IFERROR(__xludf.DUMMYFUNCTION("GOOGLEFINANCE(A1410,""PRICE"")"),115.5)</f>
        <v>115.5</v>
      </c>
      <c r="C1410" s="14">
        <f>IFERROR(__xludf.DUMMYFUNCTION("GOOGLEFINANCE(A1410,""PRICEOPEN"")"),113.9)</f>
        <v>113.9</v>
      </c>
      <c r="D1410" s="14">
        <f>IFERROR(__xludf.DUMMYFUNCTION("GOOGLEFINANCE(A1410,""HIGH"")"),116.0)</f>
        <v>116</v>
      </c>
      <c r="E1410" s="14">
        <f>IFERROR(__xludf.DUMMYFUNCTION("GOOGLEFINANCE(A1410,""LOW"")"),112.21)</f>
        <v>112.21</v>
      </c>
      <c r="F1410" s="15" t="str">
        <f t="shared" si="8"/>
        <v/>
      </c>
      <c r="G1410" s="16">
        <f>IFERROR(__xludf.DUMMYFUNCTION("GOOGLEFINANCE(A1410,""CLOSEYEST"")"),113.9)</f>
        <v>113.9</v>
      </c>
      <c r="H1410" s="17" t="str">
        <f t="shared" si="14"/>
        <v/>
      </c>
      <c r="I1410" s="18">
        <f t="shared" si="9"/>
        <v>114.0366667</v>
      </c>
      <c r="J1410" s="19">
        <f t="shared" si="10"/>
        <v>115.8633333</v>
      </c>
      <c r="K1410" s="19"/>
      <c r="L1410" s="19">
        <f t="shared" si="11"/>
        <v>112.0733333</v>
      </c>
      <c r="M1410" s="19">
        <f t="shared" si="12"/>
        <v>117.8266667</v>
      </c>
      <c r="N1410" s="19">
        <f t="shared" si="13"/>
        <v>110.2466667</v>
      </c>
    </row>
    <row r="1411" ht="24.75" customHeight="1">
      <c r="A1411" s="21" t="s">
        <v>1374</v>
      </c>
      <c r="B1411" s="13">
        <f>IFERROR(__xludf.DUMMYFUNCTION("GOOGLEFINANCE(A1411,""PRICE"")"),8.3)</f>
        <v>8.3</v>
      </c>
      <c r="C1411" s="14">
        <f>IFERROR(__xludf.DUMMYFUNCTION("GOOGLEFINANCE(A1411,""PRICEOPEN"")"),8.29)</f>
        <v>8.29</v>
      </c>
      <c r="D1411" s="14">
        <f>IFERROR(__xludf.DUMMYFUNCTION("GOOGLEFINANCE(A1411,""HIGH"")"),8.4)</f>
        <v>8.4</v>
      </c>
      <c r="E1411" s="14">
        <f>IFERROR(__xludf.DUMMYFUNCTION("GOOGLEFINANCE(A1411,""LOW"")"),7.92)</f>
        <v>7.92</v>
      </c>
      <c r="F1411" s="15" t="str">
        <f t="shared" si="8"/>
        <v/>
      </c>
      <c r="G1411" s="16">
        <f>IFERROR(__xludf.DUMMYFUNCTION("GOOGLEFINANCE(A1411,""CLOSEYEST"")"),8.2)</f>
        <v>8.2</v>
      </c>
      <c r="H1411" s="17" t="str">
        <f t="shared" si="14"/>
        <v>GAP UP</v>
      </c>
      <c r="I1411" s="18">
        <f t="shared" si="9"/>
        <v>8.173333333</v>
      </c>
      <c r="J1411" s="19">
        <f t="shared" si="10"/>
        <v>8.426666667</v>
      </c>
      <c r="K1411" s="19"/>
      <c r="L1411" s="19">
        <f t="shared" si="11"/>
        <v>7.946666667</v>
      </c>
      <c r="M1411" s="19">
        <f t="shared" si="12"/>
        <v>8.653333333</v>
      </c>
      <c r="N1411" s="19">
        <f t="shared" si="13"/>
        <v>7.693333333</v>
      </c>
    </row>
    <row r="1412" ht="24.75" customHeight="1">
      <c r="A1412" s="21" t="s">
        <v>1375</v>
      </c>
      <c r="B1412" s="13">
        <f>IFERROR(__xludf.DUMMYFUNCTION("GOOGLEFINANCE(A1412,""PRICE"")"),1795.0)</f>
        <v>1795</v>
      </c>
      <c r="C1412" s="14">
        <f>IFERROR(__xludf.DUMMYFUNCTION("GOOGLEFINANCE(A1412,""PRICEOPEN"")"),1740.0)</f>
        <v>1740</v>
      </c>
      <c r="D1412" s="14">
        <f>IFERROR(__xludf.DUMMYFUNCTION("GOOGLEFINANCE(A1412,""HIGH"")"),1809.7)</f>
        <v>1809.7</v>
      </c>
      <c r="E1412" s="14">
        <f>IFERROR(__xludf.DUMMYFUNCTION("GOOGLEFINANCE(A1412,""LOW"")"),1701.5)</f>
        <v>1701.5</v>
      </c>
      <c r="F1412" s="15" t="str">
        <f t="shared" si="8"/>
        <v/>
      </c>
      <c r="G1412" s="16">
        <f>IFERROR(__xludf.DUMMYFUNCTION("GOOGLEFINANCE(A1412,""CLOSEYEST"")"),1723.6)</f>
        <v>1723.6</v>
      </c>
      <c r="H1412" s="17" t="str">
        <f t="shared" si="14"/>
        <v/>
      </c>
      <c r="I1412" s="18">
        <f t="shared" si="9"/>
        <v>1744.933333</v>
      </c>
      <c r="J1412" s="19">
        <f t="shared" si="10"/>
        <v>1788.366667</v>
      </c>
      <c r="K1412" s="19"/>
      <c r="L1412" s="19">
        <f t="shared" si="11"/>
        <v>1680.166667</v>
      </c>
      <c r="M1412" s="19">
        <f t="shared" si="12"/>
        <v>1853.133333</v>
      </c>
      <c r="N1412" s="19">
        <f t="shared" si="13"/>
        <v>1636.733333</v>
      </c>
    </row>
    <row r="1413" ht="24.75" customHeight="1">
      <c r="A1413" s="21" t="s">
        <v>1376</v>
      </c>
      <c r="B1413" s="13" t="str">
        <f>IFERROR(__xludf.DUMMYFUNCTION("GOOGLEFINANCE(A1413,""PRICE"")"),"#N/A")</f>
        <v>#N/A</v>
      </c>
      <c r="C1413" s="14" t="str">
        <f>IFERROR(__xludf.DUMMYFUNCTION("GOOGLEFINANCE(A1413,""PRICEOPEN"")"),"#N/A")</f>
        <v>#N/A</v>
      </c>
      <c r="D1413" s="14" t="str">
        <f>IFERROR(__xludf.DUMMYFUNCTION("GOOGLEFINANCE(A1413,""HIGH"")"),"#N/A")</f>
        <v>#N/A</v>
      </c>
      <c r="E1413" s="14" t="str">
        <f>IFERROR(__xludf.DUMMYFUNCTION("GOOGLEFINANCE(A1413,""LOW"")"),"#N/A")</f>
        <v>#N/A</v>
      </c>
      <c r="F1413" s="15" t="str">
        <f t="shared" si="8"/>
        <v>#N/A</v>
      </c>
      <c r="G1413" s="16" t="str">
        <f>IFERROR(__xludf.DUMMYFUNCTION("GOOGLEFINANCE(A1413,""CLOSEYEST"")"),"#N/A")</f>
        <v>#N/A</v>
      </c>
      <c r="H1413" s="17" t="str">
        <f t="shared" si="14"/>
        <v>#N/A</v>
      </c>
      <c r="I1413" s="18" t="str">
        <f t="shared" si="9"/>
        <v>#N/A</v>
      </c>
      <c r="J1413" s="19" t="str">
        <f t="shared" si="10"/>
        <v>#N/A</v>
      </c>
      <c r="K1413" s="19"/>
      <c r="L1413" s="19" t="str">
        <f t="shared" si="11"/>
        <v>#N/A</v>
      </c>
      <c r="M1413" s="19" t="str">
        <f t="shared" si="12"/>
        <v>#N/A</v>
      </c>
      <c r="N1413" s="19" t="str">
        <f t="shared" si="13"/>
        <v>#N/A</v>
      </c>
    </row>
    <row r="1414" ht="24.75" customHeight="1">
      <c r="A1414" s="21" t="s">
        <v>1377</v>
      </c>
      <c r="B1414" s="13">
        <f>IFERROR(__xludf.DUMMYFUNCTION("GOOGLEFINANCE(A1414,""PRICE"")"),3.0)</f>
        <v>3</v>
      </c>
      <c r="C1414" s="14">
        <f>IFERROR(__xludf.DUMMYFUNCTION("GOOGLEFINANCE(A1414,""PRICEOPEN"")"),3.09)</f>
        <v>3.09</v>
      </c>
      <c r="D1414" s="14">
        <f>IFERROR(__xludf.DUMMYFUNCTION("GOOGLEFINANCE(A1414,""HIGH"")"),3.09)</f>
        <v>3.09</v>
      </c>
      <c r="E1414" s="14">
        <f>IFERROR(__xludf.DUMMYFUNCTION("GOOGLEFINANCE(A1414,""LOW"")"),2.91)</f>
        <v>2.91</v>
      </c>
      <c r="F1414" s="15" t="str">
        <f t="shared" si="8"/>
        <v>SELL</v>
      </c>
      <c r="G1414" s="16">
        <f>IFERROR(__xludf.DUMMYFUNCTION("GOOGLEFINANCE(A1414,""CLOSEYEST"")"),3.04)</f>
        <v>3.04</v>
      </c>
      <c r="H1414" s="17" t="str">
        <f t="shared" si="14"/>
        <v>GAP UP</v>
      </c>
      <c r="I1414" s="18">
        <f t="shared" si="9"/>
        <v>3.013333333</v>
      </c>
      <c r="J1414" s="19">
        <f t="shared" si="10"/>
        <v>3.116666667</v>
      </c>
      <c r="K1414" s="19"/>
      <c r="L1414" s="19">
        <f t="shared" si="11"/>
        <v>2.936666667</v>
      </c>
      <c r="M1414" s="19">
        <f t="shared" si="12"/>
        <v>3.193333333</v>
      </c>
      <c r="N1414" s="19">
        <f t="shared" si="13"/>
        <v>2.833333333</v>
      </c>
    </row>
    <row r="1415" ht="24.75" customHeight="1">
      <c r="A1415" s="21" t="s">
        <v>1378</v>
      </c>
      <c r="B1415" s="13" t="str">
        <f>IFERROR(__xludf.DUMMYFUNCTION("GOOGLEFINANCE(A1415,""PRICE"")"),"#N/A")</f>
        <v>#N/A</v>
      </c>
      <c r="C1415" s="14" t="str">
        <f>IFERROR(__xludf.DUMMYFUNCTION("GOOGLEFINANCE(A1415,""PRICEOPEN"")"),"#N/A")</f>
        <v>#N/A</v>
      </c>
      <c r="D1415" s="14" t="str">
        <f>IFERROR(__xludf.DUMMYFUNCTION("GOOGLEFINANCE(A1415,""HIGH"")"),"#N/A")</f>
        <v>#N/A</v>
      </c>
      <c r="E1415" s="14" t="str">
        <f>IFERROR(__xludf.DUMMYFUNCTION("GOOGLEFINANCE(A1415,""LOW"")"),"#N/A")</f>
        <v>#N/A</v>
      </c>
      <c r="F1415" s="15" t="str">
        <f t="shared" si="8"/>
        <v>#N/A</v>
      </c>
      <c r="G1415" s="16" t="str">
        <f>IFERROR(__xludf.DUMMYFUNCTION("GOOGLEFINANCE(A1415,""CLOSEYEST"")"),"#N/A")</f>
        <v>#N/A</v>
      </c>
      <c r="H1415" s="17" t="str">
        <f t="shared" si="14"/>
        <v>#N/A</v>
      </c>
      <c r="I1415" s="18" t="str">
        <f t="shared" si="9"/>
        <v>#N/A</v>
      </c>
      <c r="J1415" s="19" t="str">
        <f t="shared" si="10"/>
        <v>#N/A</v>
      </c>
      <c r="K1415" s="19"/>
      <c r="L1415" s="19" t="str">
        <f t="shared" si="11"/>
        <v>#N/A</v>
      </c>
      <c r="M1415" s="19" t="str">
        <f t="shared" si="12"/>
        <v>#N/A</v>
      </c>
      <c r="N1415" s="19" t="str">
        <f t="shared" si="13"/>
        <v>#N/A</v>
      </c>
    </row>
    <row r="1416" ht="24.75" customHeight="1">
      <c r="A1416" s="21" t="s">
        <v>1379</v>
      </c>
      <c r="B1416" s="13">
        <f>IFERROR(__xludf.DUMMYFUNCTION("GOOGLEFINANCE(A1416,""PRICE"")"),14.9)</f>
        <v>14.9</v>
      </c>
      <c r="C1416" s="14">
        <f>IFERROR(__xludf.DUMMYFUNCTION("GOOGLEFINANCE(A1416,""PRICEOPEN"")"),14.0)</f>
        <v>14</v>
      </c>
      <c r="D1416" s="14">
        <f>IFERROR(__xludf.DUMMYFUNCTION("GOOGLEFINANCE(A1416,""HIGH"")"),15.49)</f>
        <v>15.49</v>
      </c>
      <c r="E1416" s="14">
        <f>IFERROR(__xludf.DUMMYFUNCTION("GOOGLEFINANCE(A1416,""LOW"")"),14.0)</f>
        <v>14</v>
      </c>
      <c r="F1416" s="15" t="str">
        <f t="shared" si="8"/>
        <v>BUY</v>
      </c>
      <c r="G1416" s="16">
        <f>IFERROR(__xludf.DUMMYFUNCTION("GOOGLEFINANCE(A1416,""CLOSEYEST"")"),13.94)</f>
        <v>13.94</v>
      </c>
      <c r="H1416" s="17" t="str">
        <f t="shared" si="14"/>
        <v/>
      </c>
      <c r="I1416" s="18">
        <f t="shared" si="9"/>
        <v>14.47666667</v>
      </c>
      <c r="J1416" s="19">
        <f t="shared" si="10"/>
        <v>14.95333333</v>
      </c>
      <c r="K1416" s="19"/>
      <c r="L1416" s="19">
        <f t="shared" si="11"/>
        <v>13.46333333</v>
      </c>
      <c r="M1416" s="19">
        <f t="shared" si="12"/>
        <v>15.96666667</v>
      </c>
      <c r="N1416" s="19">
        <f t="shared" si="13"/>
        <v>12.98666667</v>
      </c>
    </row>
    <row r="1417" ht="24.75" customHeight="1">
      <c r="A1417" s="21" t="s">
        <v>1380</v>
      </c>
      <c r="B1417" s="13">
        <f>IFERROR(__xludf.DUMMYFUNCTION("GOOGLEFINANCE(A1417,""PRICE"")"),78.6)</f>
        <v>78.6</v>
      </c>
      <c r="C1417" s="14">
        <f>IFERROR(__xludf.DUMMYFUNCTION("GOOGLEFINANCE(A1417,""PRICEOPEN"")"),77.0)</f>
        <v>77</v>
      </c>
      <c r="D1417" s="14">
        <f>IFERROR(__xludf.DUMMYFUNCTION("GOOGLEFINANCE(A1417,""HIGH"")"),78.8)</f>
        <v>78.8</v>
      </c>
      <c r="E1417" s="14">
        <f>IFERROR(__xludf.DUMMYFUNCTION("GOOGLEFINANCE(A1417,""LOW"")"),76.6)</f>
        <v>76.6</v>
      </c>
      <c r="F1417" s="15" t="str">
        <f t="shared" si="8"/>
        <v/>
      </c>
      <c r="G1417" s="16">
        <f>IFERROR(__xludf.DUMMYFUNCTION("GOOGLEFINANCE(A1417,""CLOSEYEST"")"),77.4)</f>
        <v>77.4</v>
      </c>
      <c r="H1417" s="17" t="str">
        <f t="shared" si="14"/>
        <v/>
      </c>
      <c r="I1417" s="18">
        <f t="shared" si="9"/>
        <v>77.6</v>
      </c>
      <c r="J1417" s="19">
        <f t="shared" si="10"/>
        <v>78.6</v>
      </c>
      <c r="K1417" s="19"/>
      <c r="L1417" s="19">
        <f t="shared" si="11"/>
        <v>76.4</v>
      </c>
      <c r="M1417" s="19">
        <f t="shared" si="12"/>
        <v>79.8</v>
      </c>
      <c r="N1417" s="19">
        <f t="shared" si="13"/>
        <v>75.4</v>
      </c>
    </row>
    <row r="1418" ht="24.75" customHeight="1">
      <c r="A1418" s="21" t="s">
        <v>1381</v>
      </c>
      <c r="B1418" s="13">
        <f>IFERROR(__xludf.DUMMYFUNCTION("GOOGLEFINANCE(A1418,""PRICE"")"),50.17)</f>
        <v>50.17</v>
      </c>
      <c r="C1418" s="14">
        <f>IFERROR(__xludf.DUMMYFUNCTION("GOOGLEFINANCE(A1418,""PRICEOPEN"")"),46.2)</f>
        <v>46.2</v>
      </c>
      <c r="D1418" s="14">
        <f>IFERROR(__xludf.DUMMYFUNCTION("GOOGLEFINANCE(A1418,""HIGH"")"),50.17)</f>
        <v>50.17</v>
      </c>
      <c r="E1418" s="14">
        <f>IFERROR(__xludf.DUMMYFUNCTION("GOOGLEFINANCE(A1418,""LOW"")"),46.2)</f>
        <v>46.2</v>
      </c>
      <c r="F1418" s="15" t="str">
        <f t="shared" si="8"/>
        <v>BUY</v>
      </c>
      <c r="G1418" s="16">
        <f>IFERROR(__xludf.DUMMYFUNCTION("GOOGLEFINANCE(A1418,""CLOSEYEST"")"),47.79)</f>
        <v>47.79</v>
      </c>
      <c r="H1418" s="17" t="str">
        <f t="shared" si="14"/>
        <v>GAP DOWN</v>
      </c>
      <c r="I1418" s="18">
        <f t="shared" si="9"/>
        <v>48.05333333</v>
      </c>
      <c r="J1418" s="19">
        <f t="shared" si="10"/>
        <v>49.90666667</v>
      </c>
      <c r="K1418" s="19"/>
      <c r="L1418" s="19">
        <f t="shared" si="11"/>
        <v>45.93666667</v>
      </c>
      <c r="M1418" s="19">
        <f t="shared" si="12"/>
        <v>52.02333333</v>
      </c>
      <c r="N1418" s="19">
        <f t="shared" si="13"/>
        <v>44.08333333</v>
      </c>
    </row>
    <row r="1419" ht="24.75" customHeight="1">
      <c r="A1419" s="21" t="s">
        <v>1382</v>
      </c>
      <c r="B1419" s="13">
        <f>IFERROR(__xludf.DUMMYFUNCTION("GOOGLEFINANCE(A1419,""PRICE"")"),0.05)</f>
        <v>0.05</v>
      </c>
      <c r="C1419" s="14">
        <f>IFERROR(__xludf.DUMMYFUNCTION("GOOGLEFINANCE(A1419,""PRICEOPEN"")"),0.05)</f>
        <v>0.05</v>
      </c>
      <c r="D1419" s="14">
        <f>IFERROR(__xludf.DUMMYFUNCTION("GOOGLEFINANCE(A1419,""HIGH"")"),0.05)</f>
        <v>0.05</v>
      </c>
      <c r="E1419" s="14">
        <f>IFERROR(__xludf.DUMMYFUNCTION("GOOGLEFINANCE(A1419,""LOW"")"),0.05)</f>
        <v>0.05</v>
      </c>
      <c r="F1419" s="15" t="str">
        <f t="shared" si="8"/>
        <v>SELL</v>
      </c>
      <c r="G1419" s="16">
        <f>IFERROR(__xludf.DUMMYFUNCTION("GOOGLEFINANCE(A1419,""CLOSEYEST"")"),0.04)</f>
        <v>0.04</v>
      </c>
      <c r="H1419" s="17" t="str">
        <f t="shared" si="14"/>
        <v>GAP UP</v>
      </c>
      <c r="I1419" s="18">
        <f t="shared" si="9"/>
        <v>0.04666666667</v>
      </c>
      <c r="J1419" s="19">
        <f t="shared" si="10"/>
        <v>0.04333333333</v>
      </c>
      <c r="K1419" s="19"/>
      <c r="L1419" s="19">
        <f t="shared" si="11"/>
        <v>0.04333333333</v>
      </c>
      <c r="M1419" s="19">
        <f t="shared" si="12"/>
        <v>0.04666666667</v>
      </c>
      <c r="N1419" s="19">
        <f t="shared" si="13"/>
        <v>0.04666666667</v>
      </c>
    </row>
    <row r="1420" ht="24.75" customHeight="1">
      <c r="A1420" s="21" t="s">
        <v>1383</v>
      </c>
      <c r="B1420" s="13">
        <f>IFERROR(__xludf.DUMMYFUNCTION("GOOGLEFINANCE(A1420,""PRICE"")"),1170.6)</f>
        <v>1170.6</v>
      </c>
      <c r="C1420" s="14">
        <f>IFERROR(__xludf.DUMMYFUNCTION("GOOGLEFINANCE(A1420,""PRICEOPEN"")"),1177.3)</f>
        <v>1177.3</v>
      </c>
      <c r="D1420" s="14">
        <f>IFERROR(__xludf.DUMMYFUNCTION("GOOGLEFINANCE(A1420,""HIGH"")"),1210.9)</f>
        <v>1210.9</v>
      </c>
      <c r="E1420" s="14">
        <f>IFERROR(__xludf.DUMMYFUNCTION("GOOGLEFINANCE(A1420,""LOW"")"),1154.2)</f>
        <v>1154.2</v>
      </c>
      <c r="F1420" s="15" t="str">
        <f t="shared" si="8"/>
        <v/>
      </c>
      <c r="G1420" s="16">
        <f>IFERROR(__xludf.DUMMYFUNCTION("GOOGLEFINANCE(A1420,""CLOSEYEST"")"),1177.3)</f>
        <v>1177.3</v>
      </c>
      <c r="H1420" s="17" t="str">
        <f t="shared" si="14"/>
        <v/>
      </c>
      <c r="I1420" s="18">
        <f t="shared" si="9"/>
        <v>1180.8</v>
      </c>
      <c r="J1420" s="19">
        <f t="shared" si="10"/>
        <v>1207.4</v>
      </c>
      <c r="K1420" s="19"/>
      <c r="L1420" s="19">
        <f t="shared" si="11"/>
        <v>1150.7</v>
      </c>
      <c r="M1420" s="19">
        <f t="shared" si="12"/>
        <v>1237.5</v>
      </c>
      <c r="N1420" s="19">
        <f t="shared" si="13"/>
        <v>1124.1</v>
      </c>
    </row>
    <row r="1421" ht="24.75" customHeight="1">
      <c r="A1421" s="21" t="s">
        <v>1384</v>
      </c>
      <c r="B1421" s="13">
        <f>IFERROR(__xludf.DUMMYFUNCTION("GOOGLEFINANCE(A1421,""PRICE"")"),48.35)</f>
        <v>48.35</v>
      </c>
      <c r="C1421" s="14">
        <f>IFERROR(__xludf.DUMMYFUNCTION("GOOGLEFINANCE(A1421,""PRICEOPEN"")"),46.3)</f>
        <v>46.3</v>
      </c>
      <c r="D1421" s="14">
        <f>IFERROR(__xludf.DUMMYFUNCTION("GOOGLEFINANCE(A1421,""HIGH"")"),48.51)</f>
        <v>48.51</v>
      </c>
      <c r="E1421" s="14">
        <f>IFERROR(__xludf.DUMMYFUNCTION("GOOGLEFINANCE(A1421,""LOW"")"),46.3)</f>
        <v>46.3</v>
      </c>
      <c r="F1421" s="15" t="str">
        <f t="shared" si="8"/>
        <v>BUY</v>
      </c>
      <c r="G1421" s="16">
        <f>IFERROR(__xludf.DUMMYFUNCTION("GOOGLEFINANCE(A1421,""CLOSEYEST"")"),46.2)</f>
        <v>46.2</v>
      </c>
      <c r="H1421" s="17" t="str">
        <f t="shared" si="14"/>
        <v/>
      </c>
      <c r="I1421" s="18">
        <f t="shared" si="9"/>
        <v>47.00333333</v>
      </c>
      <c r="J1421" s="19">
        <f t="shared" si="10"/>
        <v>47.70666667</v>
      </c>
      <c r="K1421" s="19"/>
      <c r="L1421" s="19">
        <f t="shared" si="11"/>
        <v>45.49666667</v>
      </c>
      <c r="M1421" s="19">
        <f t="shared" si="12"/>
        <v>49.21333333</v>
      </c>
      <c r="N1421" s="19">
        <f t="shared" si="13"/>
        <v>44.79333333</v>
      </c>
    </row>
    <row r="1422" ht="24.75" customHeight="1">
      <c r="A1422" s="21" t="s">
        <v>1385</v>
      </c>
      <c r="B1422" s="13">
        <f>IFERROR(__xludf.DUMMYFUNCTION("GOOGLEFINANCE(A1422,""PRICE"")"),26.74)</f>
        <v>26.74</v>
      </c>
      <c r="C1422" s="14" t="str">
        <f>IFERROR(__xludf.DUMMYFUNCTION("GOOGLEFINANCE(A1422,""PRICEOPEN"")"),"#N/A")</f>
        <v>#N/A</v>
      </c>
      <c r="D1422" s="14" t="str">
        <f>IFERROR(__xludf.DUMMYFUNCTION("GOOGLEFINANCE(A1422,""HIGH"")"),"#N/A")</f>
        <v>#N/A</v>
      </c>
      <c r="E1422" s="14" t="str">
        <f>IFERROR(__xludf.DUMMYFUNCTION("GOOGLEFINANCE(A1422,""LOW"")"),"#N/A")</f>
        <v>#N/A</v>
      </c>
      <c r="F1422" s="15" t="str">
        <f t="shared" si="8"/>
        <v>#N/A</v>
      </c>
      <c r="G1422" s="16">
        <f>IFERROR(__xludf.DUMMYFUNCTION("GOOGLEFINANCE(A1422,""CLOSEYEST"")"),27.15)</f>
        <v>27.15</v>
      </c>
      <c r="H1422" s="17" t="str">
        <f t="shared" si="14"/>
        <v>#N/A</v>
      </c>
      <c r="I1422" s="18" t="str">
        <f t="shared" si="9"/>
        <v>#N/A</v>
      </c>
      <c r="J1422" s="19" t="str">
        <f t="shared" si="10"/>
        <v>#N/A</v>
      </c>
      <c r="K1422" s="19"/>
      <c r="L1422" s="19" t="str">
        <f t="shared" si="11"/>
        <v>#N/A</v>
      </c>
      <c r="M1422" s="19" t="str">
        <f t="shared" si="12"/>
        <v>#N/A</v>
      </c>
      <c r="N1422" s="19" t="str">
        <f t="shared" si="13"/>
        <v>#N/A</v>
      </c>
    </row>
    <row r="1423" ht="24.75" customHeight="1">
      <c r="A1423" s="21" t="s">
        <v>1386</v>
      </c>
      <c r="B1423" s="13">
        <f>IFERROR(__xludf.DUMMYFUNCTION("GOOGLEFINANCE(A1423,""PRICE"")"),468.0)</f>
        <v>468</v>
      </c>
      <c r="C1423" s="14">
        <f>IFERROR(__xludf.DUMMYFUNCTION("GOOGLEFINANCE(A1423,""PRICEOPEN"")"),461.0)</f>
        <v>461</v>
      </c>
      <c r="D1423" s="14">
        <f>IFERROR(__xludf.DUMMYFUNCTION("GOOGLEFINANCE(A1423,""HIGH"")"),469.0)</f>
        <v>469</v>
      </c>
      <c r="E1423" s="14">
        <f>IFERROR(__xludf.DUMMYFUNCTION("GOOGLEFINANCE(A1423,""LOW"")"),461.0)</f>
        <v>461</v>
      </c>
      <c r="F1423" s="15" t="str">
        <f t="shared" si="8"/>
        <v>BUY</v>
      </c>
      <c r="G1423" s="16">
        <f>IFERROR(__xludf.DUMMYFUNCTION("GOOGLEFINANCE(A1423,""CLOSEYEST"")"),460.3)</f>
        <v>460.3</v>
      </c>
      <c r="H1423" s="17" t="str">
        <f t="shared" si="14"/>
        <v/>
      </c>
      <c r="I1423" s="18">
        <f t="shared" si="9"/>
        <v>463.4333333</v>
      </c>
      <c r="J1423" s="19">
        <f t="shared" si="10"/>
        <v>465.8666667</v>
      </c>
      <c r="K1423" s="19"/>
      <c r="L1423" s="19">
        <f t="shared" si="11"/>
        <v>457.8666667</v>
      </c>
      <c r="M1423" s="19">
        <f t="shared" si="12"/>
        <v>471.4333333</v>
      </c>
      <c r="N1423" s="19">
        <f t="shared" si="13"/>
        <v>455.4333333</v>
      </c>
    </row>
    <row r="1424" ht="24.75" customHeight="1">
      <c r="A1424" s="21" t="s">
        <v>1387</v>
      </c>
      <c r="B1424" s="13">
        <f>IFERROR(__xludf.DUMMYFUNCTION("GOOGLEFINANCE(A1424,""PRICE"")"),310.65)</f>
        <v>310.65</v>
      </c>
      <c r="C1424" s="14">
        <f>IFERROR(__xludf.DUMMYFUNCTION("GOOGLEFINANCE(A1424,""PRICEOPEN"")"),304.95)</f>
        <v>304.95</v>
      </c>
      <c r="D1424" s="14">
        <f>IFERROR(__xludf.DUMMYFUNCTION("GOOGLEFINANCE(A1424,""HIGH"")"),313.95)</f>
        <v>313.95</v>
      </c>
      <c r="E1424" s="14">
        <f>IFERROR(__xludf.DUMMYFUNCTION("GOOGLEFINANCE(A1424,""LOW"")"),300.65)</f>
        <v>300.65</v>
      </c>
      <c r="F1424" s="15" t="str">
        <f t="shared" si="8"/>
        <v/>
      </c>
      <c r="G1424" s="16">
        <f>IFERROR(__xludf.DUMMYFUNCTION("GOOGLEFINANCE(A1424,""CLOSEYEST"")"),307.15)</f>
        <v>307.15</v>
      </c>
      <c r="H1424" s="17" t="str">
        <f t="shared" si="14"/>
        <v/>
      </c>
      <c r="I1424" s="18">
        <f t="shared" si="9"/>
        <v>307.25</v>
      </c>
      <c r="J1424" s="19">
        <f t="shared" si="10"/>
        <v>313.85</v>
      </c>
      <c r="K1424" s="19"/>
      <c r="L1424" s="19">
        <f t="shared" si="11"/>
        <v>300.55</v>
      </c>
      <c r="M1424" s="19">
        <f t="shared" si="12"/>
        <v>320.55</v>
      </c>
      <c r="N1424" s="19">
        <f t="shared" si="13"/>
        <v>293.95</v>
      </c>
    </row>
    <row r="1425" ht="24.75" customHeight="1">
      <c r="A1425" s="21" t="s">
        <v>1388</v>
      </c>
      <c r="B1425" s="13">
        <f>IFERROR(__xludf.DUMMYFUNCTION("GOOGLEFINANCE(A1425,""PRICE"")"),34.09)</f>
        <v>34.09</v>
      </c>
      <c r="C1425" s="14">
        <f>IFERROR(__xludf.DUMMYFUNCTION("GOOGLEFINANCE(A1425,""PRICEOPEN"")"),34.19)</f>
        <v>34.19</v>
      </c>
      <c r="D1425" s="14">
        <f>IFERROR(__xludf.DUMMYFUNCTION("GOOGLEFINANCE(A1425,""HIGH"")"),34.51)</f>
        <v>34.51</v>
      </c>
      <c r="E1425" s="14">
        <f>IFERROR(__xludf.DUMMYFUNCTION("GOOGLEFINANCE(A1425,""LOW"")"),33.76)</f>
        <v>33.76</v>
      </c>
      <c r="F1425" s="15" t="str">
        <f t="shared" si="8"/>
        <v/>
      </c>
      <c r="G1425" s="16">
        <f>IFERROR(__xludf.DUMMYFUNCTION("GOOGLEFINANCE(A1425,""CLOSEYEST"")"),33.98)</f>
        <v>33.98</v>
      </c>
      <c r="H1425" s="17" t="str">
        <f t="shared" si="14"/>
        <v/>
      </c>
      <c r="I1425" s="18">
        <f t="shared" si="9"/>
        <v>34.08333333</v>
      </c>
      <c r="J1425" s="19">
        <f t="shared" si="10"/>
        <v>34.40666667</v>
      </c>
      <c r="K1425" s="19"/>
      <c r="L1425" s="19">
        <f t="shared" si="11"/>
        <v>33.65666667</v>
      </c>
      <c r="M1425" s="19">
        <f t="shared" si="12"/>
        <v>34.83333333</v>
      </c>
      <c r="N1425" s="19">
        <f t="shared" si="13"/>
        <v>33.33333333</v>
      </c>
    </row>
    <row r="1426" ht="24.75" customHeight="1">
      <c r="A1426" s="21" t="s">
        <v>1389</v>
      </c>
      <c r="B1426" s="13">
        <f>IFERROR(__xludf.DUMMYFUNCTION("GOOGLEFINANCE(A1426,""PRICE"")"),1347.3)</f>
        <v>1347.3</v>
      </c>
      <c r="C1426" s="14">
        <f>IFERROR(__xludf.DUMMYFUNCTION("GOOGLEFINANCE(A1426,""PRICEOPEN"")"),1364.1)</f>
        <v>1364.1</v>
      </c>
      <c r="D1426" s="14">
        <f>IFERROR(__xludf.DUMMYFUNCTION("GOOGLEFINANCE(A1426,""HIGH"")"),1369.7)</f>
        <v>1369.7</v>
      </c>
      <c r="E1426" s="14">
        <f>IFERROR(__xludf.DUMMYFUNCTION("GOOGLEFINANCE(A1426,""LOW"")"),1344.6)</f>
        <v>1344.6</v>
      </c>
      <c r="F1426" s="15" t="str">
        <f t="shared" si="8"/>
        <v/>
      </c>
      <c r="G1426" s="16">
        <f>IFERROR(__xludf.DUMMYFUNCTION("GOOGLEFINANCE(A1426,""CLOSEYEST"")"),1341.4)</f>
        <v>1341.4</v>
      </c>
      <c r="H1426" s="17" t="str">
        <f t="shared" si="14"/>
        <v>GAP UP</v>
      </c>
      <c r="I1426" s="18">
        <f t="shared" si="9"/>
        <v>1351.9</v>
      </c>
      <c r="J1426" s="19">
        <f t="shared" si="10"/>
        <v>1359.2</v>
      </c>
      <c r="K1426" s="19"/>
      <c r="L1426" s="19">
        <f t="shared" si="11"/>
        <v>1334.1</v>
      </c>
      <c r="M1426" s="19">
        <f t="shared" si="12"/>
        <v>1377</v>
      </c>
      <c r="N1426" s="19">
        <f t="shared" si="13"/>
        <v>1326.8</v>
      </c>
    </row>
    <row r="1427" ht="24.75" customHeight="1">
      <c r="A1427" s="21" t="s">
        <v>1390</v>
      </c>
      <c r="B1427" s="13">
        <f>IFERROR(__xludf.DUMMYFUNCTION("GOOGLEFINANCE(A1427,""PRICE"")"),150.5)</f>
        <v>150.5</v>
      </c>
      <c r="C1427" s="14">
        <f>IFERROR(__xludf.DUMMYFUNCTION("GOOGLEFINANCE(A1427,""PRICEOPEN"")"),146.6)</f>
        <v>146.6</v>
      </c>
      <c r="D1427" s="14">
        <f>IFERROR(__xludf.DUMMYFUNCTION("GOOGLEFINANCE(A1427,""HIGH"")"),150.95)</f>
        <v>150.95</v>
      </c>
      <c r="E1427" s="14">
        <f>IFERROR(__xludf.DUMMYFUNCTION("GOOGLEFINANCE(A1427,""LOW"")"),142.1)</f>
        <v>142.1</v>
      </c>
      <c r="F1427" s="15" t="str">
        <f t="shared" si="8"/>
        <v/>
      </c>
      <c r="G1427" s="16">
        <f>IFERROR(__xludf.DUMMYFUNCTION("GOOGLEFINANCE(A1427,""CLOSEYEST"")"),148.86)</f>
        <v>148.86</v>
      </c>
      <c r="H1427" s="17" t="str">
        <f t="shared" si="14"/>
        <v>GAP DOWN</v>
      </c>
      <c r="I1427" s="18">
        <f t="shared" si="9"/>
        <v>147.3033333</v>
      </c>
      <c r="J1427" s="19">
        <f t="shared" si="10"/>
        <v>152.5066667</v>
      </c>
      <c r="K1427" s="19"/>
      <c r="L1427" s="19">
        <f t="shared" si="11"/>
        <v>143.6566667</v>
      </c>
      <c r="M1427" s="19">
        <f t="shared" si="12"/>
        <v>156.1533333</v>
      </c>
      <c r="N1427" s="19">
        <f t="shared" si="13"/>
        <v>138.4533333</v>
      </c>
    </row>
    <row r="1428" ht="24.75" customHeight="1">
      <c r="A1428" s="21" t="s">
        <v>1391</v>
      </c>
      <c r="B1428" s="13">
        <f>IFERROR(__xludf.DUMMYFUNCTION("GOOGLEFINANCE(A1428,""PRICE"")"),374.0)</f>
        <v>374</v>
      </c>
      <c r="C1428" s="14">
        <f>IFERROR(__xludf.DUMMYFUNCTION("GOOGLEFINANCE(A1428,""PRICEOPEN"")"),377.75)</f>
        <v>377.75</v>
      </c>
      <c r="D1428" s="14">
        <f>IFERROR(__xludf.DUMMYFUNCTION("GOOGLEFINANCE(A1428,""HIGH"")"),379.15)</f>
        <v>379.15</v>
      </c>
      <c r="E1428" s="14">
        <f>IFERROR(__xludf.DUMMYFUNCTION("GOOGLEFINANCE(A1428,""LOW"")"),366.5)</f>
        <v>366.5</v>
      </c>
      <c r="F1428" s="15" t="str">
        <f t="shared" si="8"/>
        <v/>
      </c>
      <c r="G1428" s="16">
        <f>IFERROR(__xludf.DUMMYFUNCTION("GOOGLEFINANCE(A1428,""CLOSEYEST"")"),375.95)</f>
        <v>375.95</v>
      </c>
      <c r="H1428" s="17" t="str">
        <f t="shared" si="14"/>
        <v/>
      </c>
      <c r="I1428" s="18">
        <f t="shared" si="9"/>
        <v>373.8666667</v>
      </c>
      <c r="J1428" s="19">
        <f t="shared" si="10"/>
        <v>381.2333333</v>
      </c>
      <c r="K1428" s="19"/>
      <c r="L1428" s="19">
        <f t="shared" si="11"/>
        <v>368.5833333</v>
      </c>
      <c r="M1428" s="19">
        <f t="shared" si="12"/>
        <v>386.5166667</v>
      </c>
      <c r="N1428" s="19">
        <f t="shared" si="13"/>
        <v>361.2166667</v>
      </c>
    </row>
    <row r="1429" ht="24.75" customHeight="1">
      <c r="A1429" s="21" t="s">
        <v>1392</v>
      </c>
      <c r="B1429" s="13">
        <f>IFERROR(__xludf.DUMMYFUNCTION("GOOGLEFINANCE(A1429,""PRICE"")"),3.6)</f>
        <v>3.6</v>
      </c>
      <c r="C1429" s="14">
        <f>IFERROR(__xludf.DUMMYFUNCTION("GOOGLEFINANCE(A1429,""PRICEOPEN"")"),3.52)</f>
        <v>3.52</v>
      </c>
      <c r="D1429" s="14">
        <f>IFERROR(__xludf.DUMMYFUNCTION("GOOGLEFINANCE(A1429,""HIGH"")"),3.66)</f>
        <v>3.66</v>
      </c>
      <c r="E1429" s="14">
        <f>IFERROR(__xludf.DUMMYFUNCTION("GOOGLEFINANCE(A1429,""LOW"")"),3.51)</f>
        <v>3.51</v>
      </c>
      <c r="F1429" s="15" t="str">
        <f t="shared" si="8"/>
        <v/>
      </c>
      <c r="G1429" s="16">
        <f>IFERROR(__xludf.DUMMYFUNCTION("GOOGLEFINANCE(A1429,""CLOSEYEST"")"),3.56)</f>
        <v>3.56</v>
      </c>
      <c r="H1429" s="17" t="str">
        <f t="shared" si="14"/>
        <v>GAP DOWN</v>
      </c>
      <c r="I1429" s="18">
        <f t="shared" si="9"/>
        <v>3.576666667</v>
      </c>
      <c r="J1429" s="19">
        <f t="shared" si="10"/>
        <v>3.643333333</v>
      </c>
      <c r="K1429" s="19"/>
      <c r="L1429" s="19">
        <f t="shared" si="11"/>
        <v>3.493333333</v>
      </c>
      <c r="M1429" s="19">
        <f t="shared" si="12"/>
        <v>3.726666667</v>
      </c>
      <c r="N1429" s="19">
        <f t="shared" si="13"/>
        <v>3.426666667</v>
      </c>
    </row>
    <row r="1430" ht="24.75" customHeight="1">
      <c r="A1430" s="21" t="s">
        <v>1393</v>
      </c>
      <c r="B1430" s="13">
        <f>IFERROR(__xludf.DUMMYFUNCTION("GOOGLEFINANCE(A1430,""PRICE"")"),73.3)</f>
        <v>73.3</v>
      </c>
      <c r="C1430" s="14">
        <f>IFERROR(__xludf.DUMMYFUNCTION("GOOGLEFINANCE(A1430,""PRICEOPEN"")"),72.4)</f>
        <v>72.4</v>
      </c>
      <c r="D1430" s="14">
        <f>IFERROR(__xludf.DUMMYFUNCTION("GOOGLEFINANCE(A1430,""HIGH"")"),73.9)</f>
        <v>73.9</v>
      </c>
      <c r="E1430" s="14">
        <f>IFERROR(__xludf.DUMMYFUNCTION("GOOGLEFINANCE(A1430,""LOW"")"),70.6)</f>
        <v>70.6</v>
      </c>
      <c r="F1430" s="15" t="str">
        <f t="shared" si="8"/>
        <v/>
      </c>
      <c r="G1430" s="16">
        <f>IFERROR(__xludf.DUMMYFUNCTION("GOOGLEFINANCE(A1430,""CLOSEYEST"")"),71.46)</f>
        <v>71.46</v>
      </c>
      <c r="H1430" s="17" t="str">
        <f t="shared" si="14"/>
        <v>GAP UP</v>
      </c>
      <c r="I1430" s="18">
        <f t="shared" si="9"/>
        <v>71.98666667</v>
      </c>
      <c r="J1430" s="19">
        <f t="shared" si="10"/>
        <v>73.37333333</v>
      </c>
      <c r="K1430" s="19"/>
      <c r="L1430" s="19">
        <f t="shared" si="11"/>
        <v>70.07333333</v>
      </c>
      <c r="M1430" s="19">
        <f t="shared" si="12"/>
        <v>75.28666667</v>
      </c>
      <c r="N1430" s="19">
        <f t="shared" si="13"/>
        <v>68.68666667</v>
      </c>
    </row>
    <row r="1431" ht="24.75" customHeight="1">
      <c r="A1431" s="21" t="s">
        <v>1394</v>
      </c>
      <c r="B1431" s="13">
        <f>IFERROR(__xludf.DUMMYFUNCTION("GOOGLEFINANCE(A1431,""PRICE"")"),4.19)</f>
        <v>4.19</v>
      </c>
      <c r="C1431" s="14">
        <f>IFERROR(__xludf.DUMMYFUNCTION("GOOGLEFINANCE(A1431,""PRICEOPEN"")"),4.26)</f>
        <v>4.26</v>
      </c>
      <c r="D1431" s="14">
        <f>IFERROR(__xludf.DUMMYFUNCTION("GOOGLEFINANCE(A1431,""HIGH"")"),4.29)</f>
        <v>4.29</v>
      </c>
      <c r="E1431" s="14">
        <f>IFERROR(__xludf.DUMMYFUNCTION("GOOGLEFINANCE(A1431,""LOW"")"),4.1)</f>
        <v>4.1</v>
      </c>
      <c r="F1431" s="15" t="str">
        <f t="shared" si="8"/>
        <v/>
      </c>
      <c r="G1431" s="16">
        <f>IFERROR(__xludf.DUMMYFUNCTION("GOOGLEFINANCE(A1431,""CLOSEYEST"")"),4.19)</f>
        <v>4.19</v>
      </c>
      <c r="H1431" s="17" t="str">
        <f t="shared" si="14"/>
        <v>GAP UP</v>
      </c>
      <c r="I1431" s="18">
        <f t="shared" si="9"/>
        <v>4.193333333</v>
      </c>
      <c r="J1431" s="19">
        <f t="shared" si="10"/>
        <v>4.286666667</v>
      </c>
      <c r="K1431" s="19"/>
      <c r="L1431" s="19">
        <f t="shared" si="11"/>
        <v>4.096666667</v>
      </c>
      <c r="M1431" s="19">
        <f t="shared" si="12"/>
        <v>4.383333333</v>
      </c>
      <c r="N1431" s="19">
        <f t="shared" si="13"/>
        <v>4.003333333</v>
      </c>
    </row>
    <row r="1432" ht="24.75" customHeight="1">
      <c r="A1432" s="21" t="s">
        <v>1395</v>
      </c>
      <c r="B1432" s="13">
        <f>IFERROR(__xludf.DUMMYFUNCTION("GOOGLEFINANCE(A1432,""PRICE"")"),4.84)</f>
        <v>4.84</v>
      </c>
      <c r="C1432" s="14">
        <f>IFERROR(__xludf.DUMMYFUNCTION("GOOGLEFINANCE(A1432,""PRICEOPEN"")"),4.71)</f>
        <v>4.71</v>
      </c>
      <c r="D1432" s="14">
        <f>IFERROR(__xludf.DUMMYFUNCTION("GOOGLEFINANCE(A1432,""HIGH"")"),4.89)</f>
        <v>4.89</v>
      </c>
      <c r="E1432" s="14">
        <f>IFERROR(__xludf.DUMMYFUNCTION("GOOGLEFINANCE(A1432,""LOW"")"),4.66)</f>
        <v>4.66</v>
      </c>
      <c r="F1432" s="15" t="str">
        <f t="shared" si="8"/>
        <v/>
      </c>
      <c r="G1432" s="16">
        <f>IFERROR(__xludf.DUMMYFUNCTION("GOOGLEFINANCE(A1432,""CLOSEYEST"")"),4.71)</f>
        <v>4.71</v>
      </c>
      <c r="H1432" s="17" t="str">
        <f t="shared" si="14"/>
        <v/>
      </c>
      <c r="I1432" s="18">
        <f t="shared" si="9"/>
        <v>4.753333333</v>
      </c>
      <c r="J1432" s="19">
        <f t="shared" si="10"/>
        <v>4.846666667</v>
      </c>
      <c r="K1432" s="19"/>
      <c r="L1432" s="19">
        <f t="shared" si="11"/>
        <v>4.616666667</v>
      </c>
      <c r="M1432" s="19">
        <f t="shared" si="12"/>
        <v>4.983333333</v>
      </c>
      <c r="N1432" s="19">
        <f t="shared" si="13"/>
        <v>4.523333333</v>
      </c>
    </row>
    <row r="1433" ht="24.75" customHeight="1">
      <c r="A1433" s="21" t="s">
        <v>1396</v>
      </c>
      <c r="B1433" s="13">
        <f>IFERROR(__xludf.DUMMYFUNCTION("GOOGLEFINANCE(A1433,""PRICE"")"),146.6)</f>
        <v>146.6</v>
      </c>
      <c r="C1433" s="14">
        <f>IFERROR(__xludf.DUMMYFUNCTION("GOOGLEFINANCE(A1433,""PRICEOPEN"")"),145.99)</f>
        <v>145.99</v>
      </c>
      <c r="D1433" s="14">
        <f>IFERROR(__xludf.DUMMYFUNCTION("GOOGLEFINANCE(A1433,""HIGH"")"),151.25)</f>
        <v>151.25</v>
      </c>
      <c r="E1433" s="14">
        <f>IFERROR(__xludf.DUMMYFUNCTION("GOOGLEFINANCE(A1433,""LOW"")"),144.78)</f>
        <v>144.78</v>
      </c>
      <c r="F1433" s="15" t="str">
        <f t="shared" si="8"/>
        <v/>
      </c>
      <c r="G1433" s="16">
        <f>IFERROR(__xludf.DUMMYFUNCTION("GOOGLEFINANCE(A1433,""CLOSEYEST"")"),146.57)</f>
        <v>146.57</v>
      </c>
      <c r="H1433" s="17" t="str">
        <f t="shared" si="14"/>
        <v/>
      </c>
      <c r="I1433" s="18">
        <f t="shared" si="9"/>
        <v>147.5333333</v>
      </c>
      <c r="J1433" s="19">
        <f t="shared" si="10"/>
        <v>150.2866667</v>
      </c>
      <c r="K1433" s="19"/>
      <c r="L1433" s="19">
        <f t="shared" si="11"/>
        <v>143.8166667</v>
      </c>
      <c r="M1433" s="19">
        <f t="shared" si="12"/>
        <v>154.0033333</v>
      </c>
      <c r="N1433" s="19">
        <f t="shared" si="13"/>
        <v>141.0633333</v>
      </c>
    </row>
    <row r="1434" ht="24.75" customHeight="1">
      <c r="A1434" s="21" t="s">
        <v>1397</v>
      </c>
      <c r="B1434" s="13">
        <f>IFERROR(__xludf.DUMMYFUNCTION("GOOGLEFINANCE(A1434,""PRICE"")"),195.5)</f>
        <v>195.5</v>
      </c>
      <c r="C1434" s="14">
        <f>IFERROR(__xludf.DUMMYFUNCTION("GOOGLEFINANCE(A1434,""PRICEOPEN"")"),199.9)</f>
        <v>199.9</v>
      </c>
      <c r="D1434" s="14">
        <f>IFERROR(__xludf.DUMMYFUNCTION("GOOGLEFINANCE(A1434,""HIGH"")"),199.9)</f>
        <v>199.9</v>
      </c>
      <c r="E1434" s="14">
        <f>IFERROR(__xludf.DUMMYFUNCTION("GOOGLEFINANCE(A1434,""LOW"")"),191.91)</f>
        <v>191.91</v>
      </c>
      <c r="F1434" s="15" t="str">
        <f t="shared" si="8"/>
        <v>SELL</v>
      </c>
      <c r="G1434" s="16">
        <f>IFERROR(__xludf.DUMMYFUNCTION("GOOGLEFINANCE(A1434,""CLOSEYEST"")"),195.12)</f>
        <v>195.12</v>
      </c>
      <c r="H1434" s="17" t="str">
        <f t="shared" si="14"/>
        <v>GAP UP</v>
      </c>
      <c r="I1434" s="18">
        <f t="shared" si="9"/>
        <v>195.6433333</v>
      </c>
      <c r="J1434" s="19">
        <f t="shared" si="10"/>
        <v>199.3766667</v>
      </c>
      <c r="K1434" s="19"/>
      <c r="L1434" s="19">
        <f t="shared" si="11"/>
        <v>191.3866667</v>
      </c>
      <c r="M1434" s="19">
        <f t="shared" si="12"/>
        <v>203.6333333</v>
      </c>
      <c r="N1434" s="19">
        <f t="shared" si="13"/>
        <v>187.6533333</v>
      </c>
    </row>
    <row r="1435" ht="24.75" customHeight="1">
      <c r="A1435" s="21" t="s">
        <v>1398</v>
      </c>
      <c r="B1435" s="13">
        <f>IFERROR(__xludf.DUMMYFUNCTION("GOOGLEFINANCE(A1435,""PRICE"")"),33.05)</f>
        <v>33.05</v>
      </c>
      <c r="C1435" s="14">
        <f>IFERROR(__xludf.DUMMYFUNCTION("GOOGLEFINANCE(A1435,""PRICEOPEN"")"),32.19)</f>
        <v>32.19</v>
      </c>
      <c r="D1435" s="14">
        <f>IFERROR(__xludf.DUMMYFUNCTION("GOOGLEFINANCE(A1435,""HIGH"")"),33.7)</f>
        <v>33.7</v>
      </c>
      <c r="E1435" s="14">
        <f>IFERROR(__xludf.DUMMYFUNCTION("GOOGLEFINANCE(A1435,""LOW"")"),32.19)</f>
        <v>32.19</v>
      </c>
      <c r="F1435" s="15" t="str">
        <f t="shared" si="8"/>
        <v>BUY</v>
      </c>
      <c r="G1435" s="16">
        <f>IFERROR(__xludf.DUMMYFUNCTION("GOOGLEFINANCE(A1435,""CLOSEYEST"")"),32.19)</f>
        <v>32.19</v>
      </c>
      <c r="H1435" s="17" t="str">
        <f t="shared" si="14"/>
        <v/>
      </c>
      <c r="I1435" s="18">
        <f t="shared" si="9"/>
        <v>32.69333333</v>
      </c>
      <c r="J1435" s="19">
        <f t="shared" si="10"/>
        <v>33.19666667</v>
      </c>
      <c r="K1435" s="19"/>
      <c r="L1435" s="19">
        <f t="shared" si="11"/>
        <v>31.68666667</v>
      </c>
      <c r="M1435" s="19">
        <f t="shared" si="12"/>
        <v>34.20333333</v>
      </c>
      <c r="N1435" s="19">
        <f t="shared" si="13"/>
        <v>31.18333333</v>
      </c>
    </row>
    <row r="1436" ht="24.75" customHeight="1">
      <c r="A1436" s="21" t="s">
        <v>1399</v>
      </c>
      <c r="B1436" s="13">
        <f>IFERROR(__xludf.DUMMYFUNCTION("GOOGLEFINANCE(A1436,""PRICE"")"),11.79)</f>
        <v>11.79</v>
      </c>
      <c r="C1436" s="14">
        <f>IFERROR(__xludf.DUMMYFUNCTION("GOOGLEFINANCE(A1436,""PRICEOPEN"")"),11.8)</f>
        <v>11.8</v>
      </c>
      <c r="D1436" s="14">
        <f>IFERROR(__xludf.DUMMYFUNCTION("GOOGLEFINANCE(A1436,""HIGH"")"),11.8)</f>
        <v>11.8</v>
      </c>
      <c r="E1436" s="14">
        <f>IFERROR(__xludf.DUMMYFUNCTION("GOOGLEFINANCE(A1436,""LOW"")"),11.7)</f>
        <v>11.7</v>
      </c>
      <c r="F1436" s="15" t="str">
        <f t="shared" si="8"/>
        <v>SELL</v>
      </c>
      <c r="G1436" s="16">
        <f>IFERROR(__xludf.DUMMYFUNCTION("GOOGLEFINANCE(A1436,""CLOSEYEST"")"),11.8)</f>
        <v>11.8</v>
      </c>
      <c r="H1436" s="17" t="str">
        <f t="shared" si="14"/>
        <v/>
      </c>
      <c r="I1436" s="18">
        <f t="shared" si="9"/>
        <v>11.76666667</v>
      </c>
      <c r="J1436" s="19">
        <f t="shared" si="10"/>
        <v>11.83333333</v>
      </c>
      <c r="K1436" s="19"/>
      <c r="L1436" s="19">
        <f t="shared" si="11"/>
        <v>11.73333333</v>
      </c>
      <c r="M1436" s="19">
        <f t="shared" si="12"/>
        <v>11.86666667</v>
      </c>
      <c r="N1436" s="19">
        <f t="shared" si="13"/>
        <v>11.66666667</v>
      </c>
    </row>
    <row r="1437" ht="24.75" customHeight="1">
      <c r="A1437" s="21" t="s">
        <v>1400</v>
      </c>
      <c r="B1437" s="13">
        <f>IFERROR(__xludf.DUMMYFUNCTION("GOOGLEFINANCE(A1437,""PRICE"")"),4.6)</f>
        <v>4.6</v>
      </c>
      <c r="C1437" s="14">
        <f>IFERROR(__xludf.DUMMYFUNCTION("GOOGLEFINANCE(A1437,""PRICEOPEN"")"),4.58)</f>
        <v>4.58</v>
      </c>
      <c r="D1437" s="14">
        <f>IFERROR(__xludf.DUMMYFUNCTION("GOOGLEFINANCE(A1437,""HIGH"")"),4.7)</f>
        <v>4.7</v>
      </c>
      <c r="E1437" s="14">
        <f>IFERROR(__xludf.DUMMYFUNCTION("GOOGLEFINANCE(A1437,""LOW"")"),4.54)</f>
        <v>4.54</v>
      </c>
      <c r="F1437" s="15" t="str">
        <f t="shared" si="8"/>
        <v/>
      </c>
      <c r="G1437" s="16">
        <f>IFERROR(__xludf.DUMMYFUNCTION("GOOGLEFINANCE(A1437,""CLOSEYEST"")"),4.64)</f>
        <v>4.64</v>
      </c>
      <c r="H1437" s="17" t="str">
        <f t="shared" si="14"/>
        <v>GAP DOWN</v>
      </c>
      <c r="I1437" s="18">
        <f t="shared" si="9"/>
        <v>4.626666667</v>
      </c>
      <c r="J1437" s="19">
        <f t="shared" si="10"/>
        <v>4.713333333</v>
      </c>
      <c r="K1437" s="19"/>
      <c r="L1437" s="19">
        <f t="shared" si="11"/>
        <v>4.553333333</v>
      </c>
      <c r="M1437" s="19">
        <f t="shared" si="12"/>
        <v>4.786666667</v>
      </c>
      <c r="N1437" s="19">
        <f t="shared" si="13"/>
        <v>4.466666667</v>
      </c>
    </row>
    <row r="1438" ht="24.75" customHeight="1">
      <c r="A1438" s="21" t="s">
        <v>1401</v>
      </c>
      <c r="B1438" s="13">
        <f>IFERROR(__xludf.DUMMYFUNCTION("GOOGLEFINANCE(A1438,""PRICE"")"),174.98)</f>
        <v>174.98</v>
      </c>
      <c r="C1438" s="14">
        <f>IFERROR(__xludf.DUMMYFUNCTION("GOOGLEFINANCE(A1438,""PRICEOPEN"")"),168.6)</f>
        <v>168.6</v>
      </c>
      <c r="D1438" s="14">
        <f>IFERROR(__xludf.DUMMYFUNCTION("GOOGLEFINANCE(A1438,""HIGH"")"),177.8)</f>
        <v>177.8</v>
      </c>
      <c r="E1438" s="14">
        <f>IFERROR(__xludf.DUMMYFUNCTION("GOOGLEFINANCE(A1438,""LOW"")"),168.31)</f>
        <v>168.31</v>
      </c>
      <c r="F1438" s="15" t="str">
        <f t="shared" si="8"/>
        <v/>
      </c>
      <c r="G1438" s="16">
        <f>IFERROR(__xludf.DUMMYFUNCTION("GOOGLEFINANCE(A1438,""CLOSEYEST"")"),168.95)</f>
        <v>168.95</v>
      </c>
      <c r="H1438" s="17" t="str">
        <f t="shared" si="14"/>
        <v/>
      </c>
      <c r="I1438" s="18">
        <f t="shared" si="9"/>
        <v>171.6866667</v>
      </c>
      <c r="J1438" s="19">
        <f t="shared" si="10"/>
        <v>175.0633333</v>
      </c>
      <c r="K1438" s="19"/>
      <c r="L1438" s="19">
        <f t="shared" si="11"/>
        <v>165.5733333</v>
      </c>
      <c r="M1438" s="19">
        <f t="shared" si="12"/>
        <v>181.1766667</v>
      </c>
      <c r="N1438" s="19">
        <f t="shared" si="13"/>
        <v>162.1966667</v>
      </c>
    </row>
    <row r="1439" ht="24.75" customHeight="1">
      <c r="A1439" s="21" t="s">
        <v>1402</v>
      </c>
      <c r="B1439" s="13">
        <f>IFERROR(__xludf.DUMMYFUNCTION("GOOGLEFINANCE(A1439,""PRICE"")"),15.89)</f>
        <v>15.89</v>
      </c>
      <c r="C1439" s="14">
        <f>IFERROR(__xludf.DUMMYFUNCTION("GOOGLEFINANCE(A1439,""PRICEOPEN"")"),15.7)</f>
        <v>15.7</v>
      </c>
      <c r="D1439" s="14">
        <f>IFERROR(__xludf.DUMMYFUNCTION("GOOGLEFINANCE(A1439,""HIGH"")"),15.91)</f>
        <v>15.91</v>
      </c>
      <c r="E1439" s="14">
        <f>IFERROR(__xludf.DUMMYFUNCTION("GOOGLEFINANCE(A1439,""LOW"")"),15.63)</f>
        <v>15.63</v>
      </c>
      <c r="F1439" s="15" t="str">
        <f t="shared" si="8"/>
        <v/>
      </c>
      <c r="G1439" s="16">
        <f>IFERROR(__xludf.DUMMYFUNCTION("GOOGLEFINANCE(A1439,""CLOSEYEST"")"),15.67)</f>
        <v>15.67</v>
      </c>
      <c r="H1439" s="17" t="str">
        <f t="shared" si="14"/>
        <v/>
      </c>
      <c r="I1439" s="18">
        <f t="shared" si="9"/>
        <v>15.73666667</v>
      </c>
      <c r="J1439" s="19">
        <f t="shared" si="10"/>
        <v>15.84333333</v>
      </c>
      <c r="K1439" s="19"/>
      <c r="L1439" s="19">
        <f t="shared" si="11"/>
        <v>15.56333333</v>
      </c>
      <c r="M1439" s="19">
        <f t="shared" si="12"/>
        <v>16.01666667</v>
      </c>
      <c r="N1439" s="19">
        <f t="shared" si="13"/>
        <v>15.45666667</v>
      </c>
    </row>
    <row r="1440" ht="24.75" customHeight="1">
      <c r="A1440" s="21" t="s">
        <v>1403</v>
      </c>
      <c r="B1440" s="13">
        <f>IFERROR(__xludf.DUMMYFUNCTION("GOOGLEFINANCE(A1440,""PRICE"")"),21.92)</f>
        <v>21.92</v>
      </c>
      <c r="C1440" s="14">
        <f>IFERROR(__xludf.DUMMYFUNCTION("GOOGLEFINANCE(A1440,""PRICEOPEN"")"),21.64)</f>
        <v>21.64</v>
      </c>
      <c r="D1440" s="14">
        <f>IFERROR(__xludf.DUMMYFUNCTION("GOOGLEFINANCE(A1440,""HIGH"")"),21.92)</f>
        <v>21.92</v>
      </c>
      <c r="E1440" s="14">
        <f>IFERROR(__xludf.DUMMYFUNCTION("GOOGLEFINANCE(A1440,""LOW"")"),20.0)</f>
        <v>20</v>
      </c>
      <c r="F1440" s="15" t="str">
        <f t="shared" si="8"/>
        <v/>
      </c>
      <c r="G1440" s="16">
        <f>IFERROR(__xludf.DUMMYFUNCTION("GOOGLEFINANCE(A1440,""CLOSEYEST"")"),21.22)</f>
        <v>21.22</v>
      </c>
      <c r="H1440" s="17" t="str">
        <f t="shared" si="14"/>
        <v>GAP UP</v>
      </c>
      <c r="I1440" s="18">
        <f t="shared" si="9"/>
        <v>21.04666667</v>
      </c>
      <c r="J1440" s="19">
        <f t="shared" si="10"/>
        <v>22.09333333</v>
      </c>
      <c r="K1440" s="19"/>
      <c r="L1440" s="19">
        <f t="shared" si="11"/>
        <v>20.17333333</v>
      </c>
      <c r="M1440" s="19">
        <f t="shared" si="12"/>
        <v>22.96666667</v>
      </c>
      <c r="N1440" s="19">
        <f t="shared" si="13"/>
        <v>19.12666667</v>
      </c>
    </row>
    <row r="1441" ht="24.75" customHeight="1">
      <c r="A1441" s="21" t="s">
        <v>1404</v>
      </c>
      <c r="B1441" s="13">
        <f>IFERROR(__xludf.DUMMYFUNCTION("GOOGLEFINANCE(A1441,""PRICE"")"),36.0)</f>
        <v>36</v>
      </c>
      <c r="C1441" s="14">
        <f>IFERROR(__xludf.DUMMYFUNCTION("GOOGLEFINANCE(A1441,""PRICEOPEN"")"),34.96)</f>
        <v>34.96</v>
      </c>
      <c r="D1441" s="14">
        <f>IFERROR(__xludf.DUMMYFUNCTION("GOOGLEFINANCE(A1441,""HIGH"")"),36.5)</f>
        <v>36.5</v>
      </c>
      <c r="E1441" s="14">
        <f>IFERROR(__xludf.DUMMYFUNCTION("GOOGLEFINANCE(A1441,""LOW"")"),34.25)</f>
        <v>34.25</v>
      </c>
      <c r="F1441" s="15" t="str">
        <f t="shared" si="8"/>
        <v/>
      </c>
      <c r="G1441" s="16">
        <f>IFERROR(__xludf.DUMMYFUNCTION("GOOGLEFINANCE(A1441,""CLOSEYEST"")"),34.96)</f>
        <v>34.96</v>
      </c>
      <c r="H1441" s="17" t="str">
        <f t="shared" si="14"/>
        <v/>
      </c>
      <c r="I1441" s="18">
        <f t="shared" si="9"/>
        <v>35.23666667</v>
      </c>
      <c r="J1441" s="19">
        <f t="shared" si="10"/>
        <v>36.22333333</v>
      </c>
      <c r="K1441" s="19"/>
      <c r="L1441" s="19">
        <f t="shared" si="11"/>
        <v>33.97333333</v>
      </c>
      <c r="M1441" s="19">
        <f t="shared" si="12"/>
        <v>37.48666667</v>
      </c>
      <c r="N1441" s="19">
        <f t="shared" si="13"/>
        <v>32.98666667</v>
      </c>
    </row>
    <row r="1442" ht="24.75" customHeight="1">
      <c r="A1442" s="21" t="s">
        <v>1405</v>
      </c>
      <c r="B1442" s="13">
        <f>IFERROR(__xludf.DUMMYFUNCTION("GOOGLEFINANCE(A1442,""PRICE"")"),1815.0)</f>
        <v>1815</v>
      </c>
      <c r="C1442" s="14">
        <f>IFERROR(__xludf.DUMMYFUNCTION("GOOGLEFINANCE(A1442,""PRICEOPEN"")"),1815.8)</f>
        <v>1815.8</v>
      </c>
      <c r="D1442" s="14">
        <f>IFERROR(__xludf.DUMMYFUNCTION("GOOGLEFINANCE(A1442,""HIGH"")"),1838.9)</f>
        <v>1838.9</v>
      </c>
      <c r="E1442" s="14">
        <f>IFERROR(__xludf.DUMMYFUNCTION("GOOGLEFINANCE(A1442,""LOW"")"),1796.3)</f>
        <v>1796.3</v>
      </c>
      <c r="F1442" s="15" t="str">
        <f t="shared" si="8"/>
        <v/>
      </c>
      <c r="G1442" s="16">
        <f>IFERROR(__xludf.DUMMYFUNCTION("GOOGLEFINANCE(A1442,""CLOSEYEST"")"),1808.7)</f>
        <v>1808.7</v>
      </c>
      <c r="H1442" s="17" t="str">
        <f t="shared" si="14"/>
        <v/>
      </c>
      <c r="I1442" s="18">
        <f t="shared" si="9"/>
        <v>1814.633333</v>
      </c>
      <c r="J1442" s="19">
        <f t="shared" si="10"/>
        <v>1832.966667</v>
      </c>
      <c r="K1442" s="19"/>
      <c r="L1442" s="19">
        <f t="shared" si="11"/>
        <v>1790.366667</v>
      </c>
      <c r="M1442" s="19">
        <f t="shared" si="12"/>
        <v>1857.233333</v>
      </c>
      <c r="N1442" s="19">
        <f t="shared" si="13"/>
        <v>1772.033333</v>
      </c>
    </row>
    <row r="1443" ht="24.75" customHeight="1">
      <c r="A1443" s="21" t="s">
        <v>1406</v>
      </c>
      <c r="B1443" s="13">
        <f>IFERROR(__xludf.DUMMYFUNCTION("GOOGLEFINANCE(A1443,""PRICE"")"),21.9)</f>
        <v>21.9</v>
      </c>
      <c r="C1443" s="14">
        <f>IFERROR(__xludf.DUMMYFUNCTION("GOOGLEFINANCE(A1443,""PRICEOPEN"")"),22.06)</f>
        <v>22.06</v>
      </c>
      <c r="D1443" s="14">
        <f>IFERROR(__xludf.DUMMYFUNCTION("GOOGLEFINANCE(A1443,""HIGH"")"),22.49)</f>
        <v>22.49</v>
      </c>
      <c r="E1443" s="14">
        <f>IFERROR(__xludf.DUMMYFUNCTION("GOOGLEFINANCE(A1443,""LOW"")"),21.5)</f>
        <v>21.5</v>
      </c>
      <c r="F1443" s="15" t="str">
        <f t="shared" si="8"/>
        <v/>
      </c>
      <c r="G1443" s="16">
        <f>IFERROR(__xludf.DUMMYFUNCTION("GOOGLEFINANCE(A1443,""CLOSEYEST"")"),22.01)</f>
        <v>22.01</v>
      </c>
      <c r="H1443" s="17" t="str">
        <f t="shared" si="14"/>
        <v/>
      </c>
      <c r="I1443" s="18">
        <f t="shared" si="9"/>
        <v>22</v>
      </c>
      <c r="J1443" s="19">
        <f t="shared" si="10"/>
        <v>22.5</v>
      </c>
      <c r="K1443" s="19"/>
      <c r="L1443" s="19">
        <f t="shared" si="11"/>
        <v>21.51</v>
      </c>
      <c r="M1443" s="19">
        <f t="shared" si="12"/>
        <v>22.99</v>
      </c>
      <c r="N1443" s="19">
        <f t="shared" si="13"/>
        <v>21.01</v>
      </c>
    </row>
    <row r="1444" ht="24.75" customHeight="1">
      <c r="A1444" s="21" t="s">
        <v>1407</v>
      </c>
      <c r="B1444" s="13">
        <f>IFERROR(__xludf.DUMMYFUNCTION("GOOGLEFINANCE(A1444,""PRICE"")"),36.5)</f>
        <v>36.5</v>
      </c>
      <c r="C1444" s="14">
        <f>IFERROR(__xludf.DUMMYFUNCTION("GOOGLEFINANCE(A1444,""PRICEOPEN"")"),36.5)</f>
        <v>36.5</v>
      </c>
      <c r="D1444" s="14">
        <f>IFERROR(__xludf.DUMMYFUNCTION("GOOGLEFINANCE(A1444,""HIGH"")"),38.39)</f>
        <v>38.39</v>
      </c>
      <c r="E1444" s="14">
        <f>IFERROR(__xludf.DUMMYFUNCTION("GOOGLEFINANCE(A1444,""LOW"")"),36.12)</f>
        <v>36.12</v>
      </c>
      <c r="F1444" s="15" t="str">
        <f t="shared" si="8"/>
        <v/>
      </c>
      <c r="G1444" s="16">
        <f>IFERROR(__xludf.DUMMYFUNCTION("GOOGLEFINANCE(A1444,""CLOSEYEST"")"),36.58)</f>
        <v>36.58</v>
      </c>
      <c r="H1444" s="17" t="str">
        <f t="shared" si="14"/>
        <v/>
      </c>
      <c r="I1444" s="18">
        <f t="shared" si="9"/>
        <v>37.03</v>
      </c>
      <c r="J1444" s="19">
        <f t="shared" si="10"/>
        <v>37.94</v>
      </c>
      <c r="K1444" s="19"/>
      <c r="L1444" s="19">
        <f t="shared" si="11"/>
        <v>35.67</v>
      </c>
      <c r="M1444" s="19">
        <f t="shared" si="12"/>
        <v>39.3</v>
      </c>
      <c r="N1444" s="19">
        <f t="shared" si="13"/>
        <v>34.76</v>
      </c>
    </row>
    <row r="1445" ht="24.75" customHeight="1">
      <c r="A1445" s="21" t="s">
        <v>1408</v>
      </c>
      <c r="B1445" s="13">
        <f>IFERROR(__xludf.DUMMYFUNCTION("GOOGLEFINANCE(A1445,""PRICE"")"),126.93)</f>
        <v>126.93</v>
      </c>
      <c r="C1445" s="14">
        <f>IFERROR(__xludf.DUMMYFUNCTION("GOOGLEFINANCE(A1445,""PRICEOPEN"")"),125.25)</f>
        <v>125.25</v>
      </c>
      <c r="D1445" s="14">
        <f>IFERROR(__xludf.DUMMYFUNCTION("GOOGLEFINANCE(A1445,""HIGH"")"),126.99)</f>
        <v>126.99</v>
      </c>
      <c r="E1445" s="14">
        <f>IFERROR(__xludf.DUMMYFUNCTION("GOOGLEFINANCE(A1445,""LOW"")"),123.85)</f>
        <v>123.85</v>
      </c>
      <c r="F1445" s="15" t="str">
        <f t="shared" si="8"/>
        <v/>
      </c>
      <c r="G1445" s="16">
        <f>IFERROR(__xludf.DUMMYFUNCTION("GOOGLEFINANCE(A1445,""CLOSEYEST"")"),124.7)</f>
        <v>124.7</v>
      </c>
      <c r="H1445" s="17" t="str">
        <f t="shared" si="14"/>
        <v/>
      </c>
      <c r="I1445" s="18">
        <f t="shared" si="9"/>
        <v>125.18</v>
      </c>
      <c r="J1445" s="19">
        <f t="shared" si="10"/>
        <v>126.51</v>
      </c>
      <c r="K1445" s="19"/>
      <c r="L1445" s="19">
        <f t="shared" si="11"/>
        <v>123.37</v>
      </c>
      <c r="M1445" s="19">
        <f t="shared" si="12"/>
        <v>128.32</v>
      </c>
      <c r="N1445" s="19">
        <f t="shared" si="13"/>
        <v>122.04</v>
      </c>
    </row>
    <row r="1446" ht="24.75" customHeight="1">
      <c r="A1446" s="21" t="s">
        <v>1409</v>
      </c>
      <c r="B1446" s="13" t="str">
        <f>IFERROR(__xludf.DUMMYFUNCTION("GOOGLEFINANCE(A1446,""PRICE"")"),"#N/A")</f>
        <v>#N/A</v>
      </c>
      <c r="C1446" s="14" t="str">
        <f>IFERROR(__xludf.DUMMYFUNCTION("GOOGLEFINANCE(A1446,""PRICEOPEN"")"),"#N/A")</f>
        <v>#N/A</v>
      </c>
      <c r="D1446" s="14" t="str">
        <f>IFERROR(__xludf.DUMMYFUNCTION("GOOGLEFINANCE(A1446,""HIGH"")"),"#N/A")</f>
        <v>#N/A</v>
      </c>
      <c r="E1446" s="14" t="str">
        <f>IFERROR(__xludf.DUMMYFUNCTION("GOOGLEFINANCE(A1446,""LOW"")"),"#N/A")</f>
        <v>#N/A</v>
      </c>
      <c r="F1446" s="15" t="str">
        <f t="shared" si="8"/>
        <v>#N/A</v>
      </c>
      <c r="G1446" s="16" t="str">
        <f>IFERROR(__xludf.DUMMYFUNCTION("GOOGLEFINANCE(A1446,""CLOSEYEST"")"),"#N/A")</f>
        <v>#N/A</v>
      </c>
      <c r="H1446" s="17" t="str">
        <f t="shared" si="14"/>
        <v>#N/A</v>
      </c>
      <c r="I1446" s="18" t="str">
        <f t="shared" si="9"/>
        <v>#N/A</v>
      </c>
      <c r="J1446" s="19" t="str">
        <f t="shared" si="10"/>
        <v>#N/A</v>
      </c>
      <c r="K1446" s="19"/>
      <c r="L1446" s="19" t="str">
        <f t="shared" si="11"/>
        <v>#N/A</v>
      </c>
      <c r="M1446" s="19" t="str">
        <f t="shared" si="12"/>
        <v>#N/A</v>
      </c>
      <c r="N1446" s="19" t="str">
        <f t="shared" si="13"/>
        <v>#N/A</v>
      </c>
    </row>
    <row r="1447" ht="24.75" customHeight="1">
      <c r="A1447" s="21" t="s">
        <v>1410</v>
      </c>
      <c r="B1447" s="13">
        <f>IFERROR(__xludf.DUMMYFUNCTION("GOOGLEFINANCE(A1447,""PRICE"")"),7.5)</f>
        <v>7.5</v>
      </c>
      <c r="C1447" s="14">
        <f>IFERROR(__xludf.DUMMYFUNCTION("GOOGLEFINANCE(A1447,""PRICEOPEN"")"),7.67)</f>
        <v>7.67</v>
      </c>
      <c r="D1447" s="14">
        <f>IFERROR(__xludf.DUMMYFUNCTION("GOOGLEFINANCE(A1447,""HIGH"")"),7.67)</f>
        <v>7.67</v>
      </c>
      <c r="E1447" s="14">
        <f>IFERROR(__xludf.DUMMYFUNCTION("GOOGLEFINANCE(A1447,""LOW"")"),7.45)</f>
        <v>7.45</v>
      </c>
      <c r="F1447" s="15" t="str">
        <f t="shared" si="8"/>
        <v>SELL</v>
      </c>
      <c r="G1447" s="16">
        <f>IFERROR(__xludf.DUMMYFUNCTION("GOOGLEFINANCE(A1447,""CLOSEYEST"")"),7.55)</f>
        <v>7.55</v>
      </c>
      <c r="H1447" s="17" t="str">
        <f t="shared" si="14"/>
        <v>GAP UP</v>
      </c>
      <c r="I1447" s="18">
        <f t="shared" si="9"/>
        <v>7.556666667</v>
      </c>
      <c r="J1447" s="19">
        <f t="shared" si="10"/>
        <v>7.663333333</v>
      </c>
      <c r="K1447" s="19"/>
      <c r="L1447" s="19">
        <f t="shared" si="11"/>
        <v>7.443333333</v>
      </c>
      <c r="M1447" s="19">
        <f t="shared" si="12"/>
        <v>7.776666667</v>
      </c>
      <c r="N1447" s="19">
        <f t="shared" si="13"/>
        <v>7.336666667</v>
      </c>
    </row>
    <row r="1448" ht="24.75" customHeight="1">
      <c r="A1448" s="21" t="s">
        <v>1411</v>
      </c>
      <c r="B1448" s="13">
        <f>IFERROR(__xludf.DUMMYFUNCTION("GOOGLEFINANCE(A1448,""PRICE"")"),2154.9)</f>
        <v>2154.9</v>
      </c>
      <c r="C1448" s="14">
        <f>IFERROR(__xludf.DUMMYFUNCTION("GOOGLEFINANCE(A1448,""PRICEOPEN"")"),2229.9)</f>
        <v>2229.9</v>
      </c>
      <c r="D1448" s="14">
        <f>IFERROR(__xludf.DUMMYFUNCTION("GOOGLEFINANCE(A1448,""HIGH"")"),2250.0)</f>
        <v>2250</v>
      </c>
      <c r="E1448" s="14">
        <f>IFERROR(__xludf.DUMMYFUNCTION("GOOGLEFINANCE(A1448,""LOW"")"),2151.9)</f>
        <v>2151.9</v>
      </c>
      <c r="F1448" s="15" t="str">
        <f t="shared" si="8"/>
        <v/>
      </c>
      <c r="G1448" s="16">
        <f>IFERROR(__xludf.DUMMYFUNCTION("GOOGLEFINANCE(A1448,""CLOSEYEST"")"),2199.8)</f>
        <v>2199.8</v>
      </c>
      <c r="H1448" s="17" t="str">
        <f t="shared" si="14"/>
        <v>GAP UP</v>
      </c>
      <c r="I1448" s="18">
        <f t="shared" si="9"/>
        <v>2200.566667</v>
      </c>
      <c r="J1448" s="19">
        <f t="shared" si="10"/>
        <v>2249.233333</v>
      </c>
      <c r="K1448" s="19"/>
      <c r="L1448" s="19">
        <f t="shared" si="11"/>
        <v>2151.133333</v>
      </c>
      <c r="M1448" s="19">
        <f t="shared" si="12"/>
        <v>2298.666667</v>
      </c>
      <c r="N1448" s="19">
        <f t="shared" si="13"/>
        <v>2102.466667</v>
      </c>
    </row>
    <row r="1449" ht="24.75" customHeight="1">
      <c r="A1449" s="21" t="s">
        <v>1412</v>
      </c>
      <c r="B1449" s="13">
        <f>IFERROR(__xludf.DUMMYFUNCTION("GOOGLEFINANCE(A1449,""PRICE"")"),173.25)</f>
        <v>173.25</v>
      </c>
      <c r="C1449" s="14">
        <f>IFERROR(__xludf.DUMMYFUNCTION("GOOGLEFINANCE(A1449,""PRICEOPEN"")"),177.95)</f>
        <v>177.95</v>
      </c>
      <c r="D1449" s="14">
        <f>IFERROR(__xludf.DUMMYFUNCTION("GOOGLEFINANCE(A1449,""HIGH"")"),177.95)</f>
        <v>177.95</v>
      </c>
      <c r="E1449" s="14">
        <f>IFERROR(__xludf.DUMMYFUNCTION("GOOGLEFINANCE(A1449,""LOW"")"),173.0)</f>
        <v>173</v>
      </c>
      <c r="F1449" s="15" t="str">
        <f t="shared" si="8"/>
        <v>SELL</v>
      </c>
      <c r="G1449" s="16">
        <f>IFERROR(__xludf.DUMMYFUNCTION("GOOGLEFINANCE(A1449,""CLOSEYEST"")"),177.24)</f>
        <v>177.24</v>
      </c>
      <c r="H1449" s="17" t="str">
        <f t="shared" si="14"/>
        <v/>
      </c>
      <c r="I1449" s="18">
        <f t="shared" si="9"/>
        <v>176.0633333</v>
      </c>
      <c r="J1449" s="19">
        <f t="shared" si="10"/>
        <v>179.1266667</v>
      </c>
      <c r="K1449" s="19"/>
      <c r="L1449" s="19">
        <f t="shared" si="11"/>
        <v>174.1766667</v>
      </c>
      <c r="M1449" s="19">
        <f t="shared" si="12"/>
        <v>181.0133333</v>
      </c>
      <c r="N1449" s="19">
        <f t="shared" si="13"/>
        <v>171.1133333</v>
      </c>
    </row>
    <row r="1450" ht="24.75" customHeight="1">
      <c r="A1450" s="21" t="s">
        <v>1413</v>
      </c>
      <c r="B1450" s="13">
        <f>IFERROR(__xludf.DUMMYFUNCTION("GOOGLEFINANCE(A1450,""PRICE"")"),147.25)</f>
        <v>147.25</v>
      </c>
      <c r="C1450" s="14">
        <f>IFERROR(__xludf.DUMMYFUNCTION("GOOGLEFINANCE(A1450,""PRICEOPEN"")"),148.9)</f>
        <v>148.9</v>
      </c>
      <c r="D1450" s="14">
        <f>IFERROR(__xludf.DUMMYFUNCTION("GOOGLEFINANCE(A1450,""HIGH"")"),150.95)</f>
        <v>150.95</v>
      </c>
      <c r="E1450" s="14">
        <f>IFERROR(__xludf.DUMMYFUNCTION("GOOGLEFINANCE(A1450,""LOW"")"),147.0)</f>
        <v>147</v>
      </c>
      <c r="F1450" s="15" t="str">
        <f t="shared" si="8"/>
        <v/>
      </c>
      <c r="G1450" s="16">
        <f>IFERROR(__xludf.DUMMYFUNCTION("GOOGLEFINANCE(A1450,""CLOSEYEST"")"),148.82)</f>
        <v>148.82</v>
      </c>
      <c r="H1450" s="17" t="str">
        <f t="shared" si="14"/>
        <v/>
      </c>
      <c r="I1450" s="18">
        <f t="shared" si="9"/>
        <v>148.9233333</v>
      </c>
      <c r="J1450" s="19">
        <f t="shared" si="10"/>
        <v>150.8466667</v>
      </c>
      <c r="K1450" s="19"/>
      <c r="L1450" s="19">
        <f t="shared" si="11"/>
        <v>146.8966667</v>
      </c>
      <c r="M1450" s="19">
        <f t="shared" si="12"/>
        <v>152.8733333</v>
      </c>
      <c r="N1450" s="19">
        <f t="shared" si="13"/>
        <v>144.9733333</v>
      </c>
    </row>
    <row r="1451" ht="24.75" customHeight="1">
      <c r="A1451" s="21" t="s">
        <v>1414</v>
      </c>
      <c r="B1451" s="13">
        <f>IFERROR(__xludf.DUMMYFUNCTION("GOOGLEFINANCE(A1451,""PRICE"")"),43.86)</f>
        <v>43.86</v>
      </c>
      <c r="C1451" s="14">
        <f>IFERROR(__xludf.DUMMYFUNCTION("GOOGLEFINANCE(A1451,""PRICEOPEN"")"),42.8)</f>
        <v>42.8</v>
      </c>
      <c r="D1451" s="14">
        <f>IFERROR(__xludf.DUMMYFUNCTION("GOOGLEFINANCE(A1451,""HIGH"")"),44.6)</f>
        <v>44.6</v>
      </c>
      <c r="E1451" s="14">
        <f>IFERROR(__xludf.DUMMYFUNCTION("GOOGLEFINANCE(A1451,""LOW"")"),42.8)</f>
        <v>42.8</v>
      </c>
      <c r="F1451" s="15" t="str">
        <f t="shared" si="8"/>
        <v>BUY</v>
      </c>
      <c r="G1451" s="16">
        <f>IFERROR(__xludf.DUMMYFUNCTION("GOOGLEFINANCE(A1451,""CLOSEYEST"")"),43.01)</f>
        <v>43.01</v>
      </c>
      <c r="H1451" s="17" t="str">
        <f t="shared" si="14"/>
        <v/>
      </c>
      <c r="I1451" s="18">
        <f t="shared" si="9"/>
        <v>43.47</v>
      </c>
      <c r="J1451" s="19">
        <f t="shared" si="10"/>
        <v>44.14</v>
      </c>
      <c r="K1451" s="19"/>
      <c r="L1451" s="19">
        <f t="shared" si="11"/>
        <v>42.34</v>
      </c>
      <c r="M1451" s="19">
        <f t="shared" si="12"/>
        <v>45.27</v>
      </c>
      <c r="N1451" s="19">
        <f t="shared" si="13"/>
        <v>41.67</v>
      </c>
    </row>
    <row r="1452" ht="24.75" customHeight="1">
      <c r="A1452" s="21" t="s">
        <v>1415</v>
      </c>
      <c r="B1452" s="13">
        <f>IFERROR(__xludf.DUMMYFUNCTION("GOOGLEFINANCE(A1452,""PRICE"")"),126.0)</f>
        <v>126</v>
      </c>
      <c r="C1452" s="14">
        <f>IFERROR(__xludf.DUMMYFUNCTION("GOOGLEFINANCE(A1452,""PRICEOPEN"")"),128.45)</f>
        <v>128.45</v>
      </c>
      <c r="D1452" s="14">
        <f>IFERROR(__xludf.DUMMYFUNCTION("GOOGLEFINANCE(A1452,""HIGH"")"),128.45)</f>
        <v>128.45</v>
      </c>
      <c r="E1452" s="14">
        <f>IFERROR(__xludf.DUMMYFUNCTION("GOOGLEFINANCE(A1452,""LOW"")"),120.0)</f>
        <v>120</v>
      </c>
      <c r="F1452" s="15" t="str">
        <f t="shared" si="8"/>
        <v>SELL</v>
      </c>
      <c r="G1452" s="16">
        <f>IFERROR(__xludf.DUMMYFUNCTION("GOOGLEFINANCE(A1452,""CLOSEYEST"")"),122.72)</f>
        <v>122.72</v>
      </c>
      <c r="H1452" s="17" t="str">
        <f t="shared" si="14"/>
        <v>GAP UP</v>
      </c>
      <c r="I1452" s="18">
        <f t="shared" si="9"/>
        <v>123.7233333</v>
      </c>
      <c r="J1452" s="19">
        <f t="shared" si="10"/>
        <v>127.4466667</v>
      </c>
      <c r="K1452" s="19"/>
      <c r="L1452" s="19">
        <f t="shared" si="11"/>
        <v>118.9966667</v>
      </c>
      <c r="M1452" s="19">
        <f t="shared" si="12"/>
        <v>132.1733333</v>
      </c>
      <c r="N1452" s="19">
        <f t="shared" si="13"/>
        <v>115.2733333</v>
      </c>
    </row>
    <row r="1453" ht="24.75" customHeight="1">
      <c r="A1453" s="21" t="s">
        <v>1416</v>
      </c>
      <c r="B1453" s="13">
        <f>IFERROR(__xludf.DUMMYFUNCTION("GOOGLEFINANCE(A1453,""PRICE"")"),116.11)</f>
        <v>116.11</v>
      </c>
      <c r="C1453" s="14">
        <f>IFERROR(__xludf.DUMMYFUNCTION("GOOGLEFINANCE(A1453,""PRICEOPEN"")"),120.0)</f>
        <v>120</v>
      </c>
      <c r="D1453" s="14">
        <f>IFERROR(__xludf.DUMMYFUNCTION("GOOGLEFINANCE(A1453,""HIGH"")"),120.0)</f>
        <v>120</v>
      </c>
      <c r="E1453" s="14">
        <f>IFERROR(__xludf.DUMMYFUNCTION("GOOGLEFINANCE(A1453,""LOW"")"),114.4)</f>
        <v>114.4</v>
      </c>
      <c r="F1453" s="15" t="str">
        <f t="shared" si="8"/>
        <v>SELL</v>
      </c>
      <c r="G1453" s="16">
        <f>IFERROR(__xludf.DUMMYFUNCTION("GOOGLEFINANCE(A1453,""CLOSEYEST"")"),115.33)</f>
        <v>115.33</v>
      </c>
      <c r="H1453" s="17" t="str">
        <f t="shared" si="14"/>
        <v>GAP UP</v>
      </c>
      <c r="I1453" s="18">
        <f t="shared" si="9"/>
        <v>116.5766667</v>
      </c>
      <c r="J1453" s="19">
        <f t="shared" si="10"/>
        <v>118.7533333</v>
      </c>
      <c r="K1453" s="19"/>
      <c r="L1453" s="19">
        <f t="shared" si="11"/>
        <v>113.1533333</v>
      </c>
      <c r="M1453" s="19">
        <f t="shared" si="12"/>
        <v>122.1766667</v>
      </c>
      <c r="N1453" s="19">
        <f t="shared" si="13"/>
        <v>110.9766667</v>
      </c>
    </row>
    <row r="1454" ht="24.75" customHeight="1">
      <c r="A1454" s="21" t="s">
        <v>1417</v>
      </c>
      <c r="B1454" s="13">
        <f>IFERROR(__xludf.DUMMYFUNCTION("GOOGLEFINANCE(A1454,""PRICE"")"),54.89)</f>
        <v>54.89</v>
      </c>
      <c r="C1454" s="14">
        <f>IFERROR(__xludf.DUMMYFUNCTION("GOOGLEFINANCE(A1454,""PRICEOPEN"")"),52.5)</f>
        <v>52.5</v>
      </c>
      <c r="D1454" s="14">
        <f>IFERROR(__xludf.DUMMYFUNCTION("GOOGLEFINANCE(A1454,""HIGH"")"),56.0)</f>
        <v>56</v>
      </c>
      <c r="E1454" s="14">
        <f>IFERROR(__xludf.DUMMYFUNCTION("GOOGLEFINANCE(A1454,""LOW"")"),52.5)</f>
        <v>52.5</v>
      </c>
      <c r="F1454" s="15" t="str">
        <f t="shared" si="8"/>
        <v>BUY</v>
      </c>
      <c r="G1454" s="16">
        <f>IFERROR(__xludf.DUMMYFUNCTION("GOOGLEFINANCE(A1454,""CLOSEYEST"")"),53.96)</f>
        <v>53.96</v>
      </c>
      <c r="H1454" s="17" t="str">
        <f t="shared" si="14"/>
        <v>GAP DOWN</v>
      </c>
      <c r="I1454" s="18">
        <f t="shared" si="9"/>
        <v>54.15333333</v>
      </c>
      <c r="J1454" s="19">
        <f t="shared" si="10"/>
        <v>55.80666667</v>
      </c>
      <c r="K1454" s="19"/>
      <c r="L1454" s="19">
        <f t="shared" si="11"/>
        <v>52.30666667</v>
      </c>
      <c r="M1454" s="19">
        <f t="shared" si="12"/>
        <v>57.65333333</v>
      </c>
      <c r="N1454" s="19">
        <f t="shared" si="13"/>
        <v>50.65333333</v>
      </c>
    </row>
    <row r="1455" ht="24.75" customHeight="1">
      <c r="A1455" s="21" t="s">
        <v>1418</v>
      </c>
      <c r="B1455" s="13">
        <f>IFERROR(__xludf.DUMMYFUNCTION("GOOGLEFINANCE(A1455,""PRICE"")"),45.8)</f>
        <v>45.8</v>
      </c>
      <c r="C1455" s="14">
        <f>IFERROR(__xludf.DUMMYFUNCTION("GOOGLEFINANCE(A1455,""PRICEOPEN"")"),46.8)</f>
        <v>46.8</v>
      </c>
      <c r="D1455" s="14">
        <f>IFERROR(__xludf.DUMMYFUNCTION("GOOGLEFINANCE(A1455,""HIGH"")"),47.98)</f>
        <v>47.98</v>
      </c>
      <c r="E1455" s="14">
        <f>IFERROR(__xludf.DUMMYFUNCTION("GOOGLEFINANCE(A1455,""LOW"")"),45.2)</f>
        <v>45.2</v>
      </c>
      <c r="F1455" s="15" t="str">
        <f t="shared" si="8"/>
        <v/>
      </c>
      <c r="G1455" s="16">
        <f>IFERROR(__xludf.DUMMYFUNCTION("GOOGLEFINANCE(A1455,""CLOSEYEST"")"),45.52)</f>
        <v>45.52</v>
      </c>
      <c r="H1455" s="17" t="str">
        <f t="shared" si="14"/>
        <v>GAP UP</v>
      </c>
      <c r="I1455" s="18">
        <f t="shared" si="9"/>
        <v>46.23333333</v>
      </c>
      <c r="J1455" s="19">
        <f t="shared" si="10"/>
        <v>47.26666667</v>
      </c>
      <c r="K1455" s="19"/>
      <c r="L1455" s="19">
        <f t="shared" si="11"/>
        <v>44.48666667</v>
      </c>
      <c r="M1455" s="19">
        <f t="shared" si="12"/>
        <v>49.01333333</v>
      </c>
      <c r="N1455" s="19">
        <f t="shared" si="13"/>
        <v>43.45333333</v>
      </c>
    </row>
    <row r="1456" ht="24.75" customHeight="1">
      <c r="A1456" s="21" t="s">
        <v>1419</v>
      </c>
      <c r="B1456" s="13">
        <f>IFERROR(__xludf.DUMMYFUNCTION("GOOGLEFINANCE(A1456,""PRICE"")"),196.43)</f>
        <v>196.43</v>
      </c>
      <c r="C1456" s="14">
        <f>IFERROR(__xludf.DUMMYFUNCTION("GOOGLEFINANCE(A1456,""PRICEOPEN"")"),204.0)</f>
        <v>204</v>
      </c>
      <c r="D1456" s="14">
        <f>IFERROR(__xludf.DUMMYFUNCTION("GOOGLEFINANCE(A1456,""HIGH"")"),204.43)</f>
        <v>204.43</v>
      </c>
      <c r="E1456" s="14">
        <f>IFERROR(__xludf.DUMMYFUNCTION("GOOGLEFINANCE(A1456,""LOW"")"),195.15)</f>
        <v>195.15</v>
      </c>
      <c r="F1456" s="15" t="str">
        <f t="shared" si="8"/>
        <v/>
      </c>
      <c r="G1456" s="16">
        <f>IFERROR(__xludf.DUMMYFUNCTION("GOOGLEFINANCE(A1456,""CLOSEYEST"")"),202.41)</f>
        <v>202.41</v>
      </c>
      <c r="H1456" s="17" t="str">
        <f t="shared" si="14"/>
        <v/>
      </c>
      <c r="I1456" s="18">
        <f t="shared" si="9"/>
        <v>200.6633333</v>
      </c>
      <c r="J1456" s="19">
        <f t="shared" si="10"/>
        <v>206.1766667</v>
      </c>
      <c r="K1456" s="19"/>
      <c r="L1456" s="19">
        <f t="shared" si="11"/>
        <v>196.8966667</v>
      </c>
      <c r="M1456" s="19">
        <f t="shared" si="12"/>
        <v>209.9433333</v>
      </c>
      <c r="N1456" s="19">
        <f t="shared" si="13"/>
        <v>191.3833333</v>
      </c>
    </row>
    <row r="1457" ht="24.75" customHeight="1">
      <c r="A1457" s="21" t="s">
        <v>1420</v>
      </c>
      <c r="B1457" s="13" t="str">
        <f>IFERROR(__xludf.DUMMYFUNCTION("GOOGLEFINANCE(A1457,""PRICE"")"),"#N/A")</f>
        <v>#N/A</v>
      </c>
      <c r="C1457" s="14" t="str">
        <f>IFERROR(__xludf.DUMMYFUNCTION("GOOGLEFINANCE(A1457,""PRICEOPEN"")"),"#N/A")</f>
        <v>#N/A</v>
      </c>
      <c r="D1457" s="14" t="str">
        <f>IFERROR(__xludf.DUMMYFUNCTION("GOOGLEFINANCE(A1457,""HIGH"")"),"#N/A")</f>
        <v>#N/A</v>
      </c>
      <c r="E1457" s="14" t="str">
        <f>IFERROR(__xludf.DUMMYFUNCTION("GOOGLEFINANCE(A1457,""LOW"")"),"#N/A")</f>
        <v>#N/A</v>
      </c>
      <c r="F1457" s="15" t="str">
        <f t="shared" si="8"/>
        <v>#N/A</v>
      </c>
      <c r="G1457" s="16" t="str">
        <f>IFERROR(__xludf.DUMMYFUNCTION("GOOGLEFINANCE(A1457,""CLOSEYEST"")"),"#N/A")</f>
        <v>#N/A</v>
      </c>
      <c r="H1457" s="17" t="str">
        <f t="shared" si="14"/>
        <v>#N/A</v>
      </c>
      <c r="I1457" s="18" t="str">
        <f t="shared" si="9"/>
        <v>#N/A</v>
      </c>
      <c r="J1457" s="19" t="str">
        <f t="shared" si="10"/>
        <v>#N/A</v>
      </c>
      <c r="K1457" s="19"/>
      <c r="L1457" s="19" t="str">
        <f t="shared" si="11"/>
        <v>#N/A</v>
      </c>
      <c r="M1457" s="19" t="str">
        <f t="shared" si="12"/>
        <v>#N/A</v>
      </c>
      <c r="N1457" s="19" t="str">
        <f t="shared" si="13"/>
        <v>#N/A</v>
      </c>
    </row>
    <row r="1458" ht="24.75" customHeight="1">
      <c r="A1458" s="21" t="s">
        <v>1421</v>
      </c>
      <c r="B1458" s="13">
        <f>IFERROR(__xludf.DUMMYFUNCTION("GOOGLEFINANCE(A1458,""PRICE"")"),30.09)</f>
        <v>30.09</v>
      </c>
      <c r="C1458" s="14">
        <f>IFERROR(__xludf.DUMMYFUNCTION("GOOGLEFINANCE(A1458,""PRICEOPEN"")"),30.05)</f>
        <v>30.05</v>
      </c>
      <c r="D1458" s="14">
        <f>IFERROR(__xludf.DUMMYFUNCTION("GOOGLEFINANCE(A1458,""HIGH"")"),30.69)</f>
        <v>30.69</v>
      </c>
      <c r="E1458" s="14">
        <f>IFERROR(__xludf.DUMMYFUNCTION("GOOGLEFINANCE(A1458,""LOW"")"),29.72)</f>
        <v>29.72</v>
      </c>
      <c r="F1458" s="15" t="str">
        <f t="shared" si="8"/>
        <v/>
      </c>
      <c r="G1458" s="16">
        <f>IFERROR(__xludf.DUMMYFUNCTION("GOOGLEFINANCE(A1458,""CLOSEYEST"")"),30.7)</f>
        <v>30.7</v>
      </c>
      <c r="H1458" s="17" t="str">
        <f t="shared" si="14"/>
        <v>GAP DOWN</v>
      </c>
      <c r="I1458" s="18">
        <f t="shared" si="9"/>
        <v>30.37</v>
      </c>
      <c r="J1458" s="19">
        <f t="shared" si="10"/>
        <v>31.02</v>
      </c>
      <c r="K1458" s="19"/>
      <c r="L1458" s="19">
        <f t="shared" si="11"/>
        <v>30.05</v>
      </c>
      <c r="M1458" s="19">
        <f t="shared" si="12"/>
        <v>31.34</v>
      </c>
      <c r="N1458" s="19">
        <f t="shared" si="13"/>
        <v>29.4</v>
      </c>
    </row>
    <row r="1459" ht="24.75" customHeight="1">
      <c r="A1459" s="21" t="s">
        <v>1422</v>
      </c>
      <c r="B1459" s="13" t="str">
        <f>IFERROR(__xludf.DUMMYFUNCTION("GOOGLEFINANCE(A1459,""PRICE"")"),"#N/A")</f>
        <v>#N/A</v>
      </c>
      <c r="C1459" s="14" t="str">
        <f>IFERROR(__xludf.DUMMYFUNCTION("GOOGLEFINANCE(A1459,""PRICEOPEN"")"),"#N/A")</f>
        <v>#N/A</v>
      </c>
      <c r="D1459" s="14" t="str">
        <f>IFERROR(__xludf.DUMMYFUNCTION("GOOGLEFINANCE(A1459,""HIGH"")"),"#N/A")</f>
        <v>#N/A</v>
      </c>
      <c r="E1459" s="14" t="str">
        <f>IFERROR(__xludf.DUMMYFUNCTION("GOOGLEFINANCE(A1459,""LOW"")"),"#N/A")</f>
        <v>#N/A</v>
      </c>
      <c r="F1459" s="15" t="str">
        <f t="shared" si="8"/>
        <v>#N/A</v>
      </c>
      <c r="G1459" s="16" t="str">
        <f>IFERROR(__xludf.DUMMYFUNCTION("GOOGLEFINANCE(A1459,""CLOSEYEST"")"),"#N/A")</f>
        <v>#N/A</v>
      </c>
      <c r="H1459" s="17" t="str">
        <f t="shared" si="14"/>
        <v>#N/A</v>
      </c>
      <c r="I1459" s="18" t="str">
        <f t="shared" si="9"/>
        <v>#N/A</v>
      </c>
      <c r="J1459" s="19" t="str">
        <f t="shared" si="10"/>
        <v>#N/A</v>
      </c>
      <c r="K1459" s="19"/>
      <c r="L1459" s="19" t="str">
        <f t="shared" si="11"/>
        <v>#N/A</v>
      </c>
      <c r="M1459" s="19" t="str">
        <f t="shared" si="12"/>
        <v>#N/A</v>
      </c>
      <c r="N1459" s="19" t="str">
        <f t="shared" si="13"/>
        <v>#N/A</v>
      </c>
    </row>
    <row r="1460" ht="24.75" customHeight="1">
      <c r="A1460" s="21" t="s">
        <v>1423</v>
      </c>
      <c r="B1460" s="13">
        <f>IFERROR(__xludf.DUMMYFUNCTION("GOOGLEFINANCE(A1460,""PRICE"")"),4.11)</f>
        <v>4.11</v>
      </c>
      <c r="C1460" s="14">
        <f>IFERROR(__xludf.DUMMYFUNCTION("GOOGLEFINANCE(A1460,""PRICEOPEN"")"),4.15)</f>
        <v>4.15</v>
      </c>
      <c r="D1460" s="14">
        <f>IFERROR(__xludf.DUMMYFUNCTION("GOOGLEFINANCE(A1460,""HIGH"")"),4.15)</f>
        <v>4.15</v>
      </c>
      <c r="E1460" s="14">
        <f>IFERROR(__xludf.DUMMYFUNCTION("GOOGLEFINANCE(A1460,""LOW"")"),3.77)</f>
        <v>3.77</v>
      </c>
      <c r="F1460" s="15" t="str">
        <f t="shared" si="8"/>
        <v>SELL</v>
      </c>
      <c r="G1460" s="16">
        <f>IFERROR(__xludf.DUMMYFUNCTION("GOOGLEFINANCE(A1460,""CLOSEYEST"")"),3.97)</f>
        <v>3.97</v>
      </c>
      <c r="H1460" s="17" t="str">
        <f t="shared" si="14"/>
        <v>GAP UP</v>
      </c>
      <c r="I1460" s="18">
        <f t="shared" si="9"/>
        <v>3.963333333</v>
      </c>
      <c r="J1460" s="19">
        <f t="shared" si="10"/>
        <v>4.156666667</v>
      </c>
      <c r="K1460" s="19"/>
      <c r="L1460" s="19">
        <f t="shared" si="11"/>
        <v>3.776666667</v>
      </c>
      <c r="M1460" s="19">
        <f t="shared" si="12"/>
        <v>4.343333333</v>
      </c>
      <c r="N1460" s="19">
        <f t="shared" si="13"/>
        <v>3.583333333</v>
      </c>
    </row>
    <row r="1461" ht="24.75" customHeight="1">
      <c r="A1461" s="21" t="s">
        <v>1424</v>
      </c>
      <c r="B1461" s="13">
        <f>IFERROR(__xludf.DUMMYFUNCTION("GOOGLEFINANCE(A1461,""PRICE"")"),102.94)</f>
        <v>102.94</v>
      </c>
      <c r="C1461" s="14">
        <f>IFERROR(__xludf.DUMMYFUNCTION("GOOGLEFINANCE(A1461,""PRICEOPEN"")"),102.39)</f>
        <v>102.39</v>
      </c>
      <c r="D1461" s="14">
        <f>IFERROR(__xludf.DUMMYFUNCTION("GOOGLEFINANCE(A1461,""HIGH"")"),102.94)</f>
        <v>102.94</v>
      </c>
      <c r="E1461" s="14">
        <f>IFERROR(__xludf.DUMMYFUNCTION("GOOGLEFINANCE(A1461,""LOW"")"),100.65)</f>
        <v>100.65</v>
      </c>
      <c r="F1461" s="15" t="str">
        <f t="shared" si="8"/>
        <v/>
      </c>
      <c r="G1461" s="16">
        <f>IFERROR(__xludf.DUMMYFUNCTION("GOOGLEFINANCE(A1461,""CLOSEYEST"")"),102.39)</f>
        <v>102.39</v>
      </c>
      <c r="H1461" s="17" t="str">
        <f t="shared" si="14"/>
        <v/>
      </c>
      <c r="I1461" s="18">
        <f t="shared" si="9"/>
        <v>101.9933333</v>
      </c>
      <c r="J1461" s="19">
        <f t="shared" si="10"/>
        <v>103.3366667</v>
      </c>
      <c r="K1461" s="19"/>
      <c r="L1461" s="19">
        <f t="shared" si="11"/>
        <v>101.0466667</v>
      </c>
      <c r="M1461" s="19">
        <f t="shared" si="12"/>
        <v>104.2833333</v>
      </c>
      <c r="N1461" s="19">
        <f t="shared" si="13"/>
        <v>99.70333333</v>
      </c>
    </row>
    <row r="1462" ht="24.75" customHeight="1">
      <c r="A1462" s="21" t="s">
        <v>1425</v>
      </c>
      <c r="B1462" s="13">
        <f>IFERROR(__xludf.DUMMYFUNCTION("GOOGLEFINANCE(A1462,""PRICE"")"),820.0)</f>
        <v>820</v>
      </c>
      <c r="C1462" s="14">
        <f>IFERROR(__xludf.DUMMYFUNCTION("GOOGLEFINANCE(A1462,""PRICEOPEN"")"),836.0)</f>
        <v>836</v>
      </c>
      <c r="D1462" s="14">
        <f>IFERROR(__xludf.DUMMYFUNCTION("GOOGLEFINANCE(A1462,""HIGH"")"),844.05)</f>
        <v>844.05</v>
      </c>
      <c r="E1462" s="14">
        <f>IFERROR(__xludf.DUMMYFUNCTION("GOOGLEFINANCE(A1462,""LOW"")"),815.0)</f>
        <v>815</v>
      </c>
      <c r="F1462" s="15" t="str">
        <f t="shared" si="8"/>
        <v/>
      </c>
      <c r="G1462" s="16">
        <f>IFERROR(__xludf.DUMMYFUNCTION("GOOGLEFINANCE(A1462,""CLOSEYEST"")"),835.75)</f>
        <v>835.75</v>
      </c>
      <c r="H1462" s="17" t="str">
        <f t="shared" si="14"/>
        <v/>
      </c>
      <c r="I1462" s="18">
        <f t="shared" si="9"/>
        <v>831.6</v>
      </c>
      <c r="J1462" s="19">
        <f t="shared" si="10"/>
        <v>848.2</v>
      </c>
      <c r="K1462" s="19"/>
      <c r="L1462" s="19">
        <f t="shared" si="11"/>
        <v>819.15</v>
      </c>
      <c r="M1462" s="19">
        <f t="shared" si="12"/>
        <v>860.65</v>
      </c>
      <c r="N1462" s="19">
        <f t="shared" si="13"/>
        <v>802.55</v>
      </c>
    </row>
    <row r="1463" ht="24.75" customHeight="1">
      <c r="A1463" s="21" t="s">
        <v>1426</v>
      </c>
      <c r="B1463" s="13">
        <f>IFERROR(__xludf.DUMMYFUNCTION("GOOGLEFINANCE(A1463,""PRICE"")"),151.05)</f>
        <v>151.05</v>
      </c>
      <c r="C1463" s="14">
        <f>IFERROR(__xludf.DUMMYFUNCTION("GOOGLEFINANCE(A1463,""PRICEOPEN"")"),145.0)</f>
        <v>145</v>
      </c>
      <c r="D1463" s="14">
        <f>IFERROR(__xludf.DUMMYFUNCTION("GOOGLEFINANCE(A1463,""HIGH"")"),151.98)</f>
        <v>151.98</v>
      </c>
      <c r="E1463" s="14">
        <f>IFERROR(__xludf.DUMMYFUNCTION("GOOGLEFINANCE(A1463,""LOW"")"),142.9)</f>
        <v>142.9</v>
      </c>
      <c r="F1463" s="15" t="str">
        <f t="shared" si="8"/>
        <v/>
      </c>
      <c r="G1463" s="16">
        <f>IFERROR(__xludf.DUMMYFUNCTION("GOOGLEFINANCE(A1463,""CLOSEYEST"")"),144.3)</f>
        <v>144.3</v>
      </c>
      <c r="H1463" s="17" t="str">
        <f t="shared" si="14"/>
        <v/>
      </c>
      <c r="I1463" s="18">
        <f t="shared" si="9"/>
        <v>146.3933333</v>
      </c>
      <c r="J1463" s="19">
        <f t="shared" si="10"/>
        <v>149.8866667</v>
      </c>
      <c r="K1463" s="19"/>
      <c r="L1463" s="19">
        <f t="shared" si="11"/>
        <v>140.8066667</v>
      </c>
      <c r="M1463" s="19">
        <f t="shared" si="12"/>
        <v>155.4733333</v>
      </c>
      <c r="N1463" s="19">
        <f t="shared" si="13"/>
        <v>137.3133333</v>
      </c>
    </row>
    <row r="1464" ht="24.75" customHeight="1">
      <c r="A1464" s="21" t="s">
        <v>1427</v>
      </c>
      <c r="B1464" s="13">
        <f>IFERROR(__xludf.DUMMYFUNCTION("GOOGLEFINANCE(A1464,""PRICE"")"),249.9)</f>
        <v>249.9</v>
      </c>
      <c r="C1464" s="14">
        <f>IFERROR(__xludf.DUMMYFUNCTION("GOOGLEFINANCE(A1464,""PRICEOPEN"")"),245.0)</f>
        <v>245</v>
      </c>
      <c r="D1464" s="14">
        <f>IFERROR(__xludf.DUMMYFUNCTION("GOOGLEFINANCE(A1464,""HIGH"")"),249.9)</f>
        <v>249.9</v>
      </c>
      <c r="E1464" s="14">
        <f>IFERROR(__xludf.DUMMYFUNCTION("GOOGLEFINANCE(A1464,""LOW"")"),244.18)</f>
        <v>244.18</v>
      </c>
      <c r="F1464" s="15" t="str">
        <f t="shared" si="8"/>
        <v/>
      </c>
      <c r="G1464" s="16">
        <f>IFERROR(__xludf.DUMMYFUNCTION("GOOGLEFINANCE(A1464,""CLOSEYEST"")"),246.67)</f>
        <v>246.67</v>
      </c>
      <c r="H1464" s="17" t="str">
        <f t="shared" si="14"/>
        <v/>
      </c>
      <c r="I1464" s="18">
        <f t="shared" si="9"/>
        <v>246.9166667</v>
      </c>
      <c r="J1464" s="19">
        <f t="shared" si="10"/>
        <v>249.6533333</v>
      </c>
      <c r="K1464" s="19"/>
      <c r="L1464" s="19">
        <f t="shared" si="11"/>
        <v>243.9333333</v>
      </c>
      <c r="M1464" s="19">
        <f t="shared" si="12"/>
        <v>252.6366667</v>
      </c>
      <c r="N1464" s="19">
        <f t="shared" si="13"/>
        <v>241.1966667</v>
      </c>
    </row>
    <row r="1465" ht="24.75" customHeight="1">
      <c r="A1465" s="21" t="s">
        <v>1428</v>
      </c>
      <c r="B1465" s="13" t="str">
        <f>IFERROR(__xludf.DUMMYFUNCTION("GOOGLEFINANCE(A1465,""PRICE"")"),"#N/A")</f>
        <v>#N/A</v>
      </c>
      <c r="C1465" s="14" t="str">
        <f>IFERROR(__xludf.DUMMYFUNCTION("GOOGLEFINANCE(A1465,""PRICEOPEN"")"),"#N/A")</f>
        <v>#N/A</v>
      </c>
      <c r="D1465" s="14" t="str">
        <f>IFERROR(__xludf.DUMMYFUNCTION("GOOGLEFINANCE(A1465,""HIGH"")"),"#N/A")</f>
        <v>#N/A</v>
      </c>
      <c r="E1465" s="14" t="str">
        <f>IFERROR(__xludf.DUMMYFUNCTION("GOOGLEFINANCE(A1465,""LOW"")"),"#N/A")</f>
        <v>#N/A</v>
      </c>
      <c r="F1465" s="15" t="str">
        <f t="shared" si="8"/>
        <v>#N/A</v>
      </c>
      <c r="G1465" s="16" t="str">
        <f>IFERROR(__xludf.DUMMYFUNCTION("GOOGLEFINANCE(A1465,""CLOSEYEST"")"),"#N/A")</f>
        <v>#N/A</v>
      </c>
      <c r="H1465" s="17" t="str">
        <f t="shared" si="14"/>
        <v>#N/A</v>
      </c>
      <c r="I1465" s="18" t="str">
        <f t="shared" si="9"/>
        <v>#N/A</v>
      </c>
      <c r="J1465" s="19" t="str">
        <f t="shared" si="10"/>
        <v>#N/A</v>
      </c>
      <c r="K1465" s="19"/>
      <c r="L1465" s="19" t="str">
        <f t="shared" si="11"/>
        <v>#N/A</v>
      </c>
      <c r="M1465" s="19" t="str">
        <f t="shared" si="12"/>
        <v>#N/A</v>
      </c>
      <c r="N1465" s="19" t="str">
        <f t="shared" si="13"/>
        <v>#N/A</v>
      </c>
    </row>
    <row r="1466" ht="24.75" customHeight="1">
      <c r="A1466" s="21" t="s">
        <v>1429</v>
      </c>
      <c r="B1466" s="13" t="str">
        <f>IFERROR(__xludf.DUMMYFUNCTION("GOOGLEFINANCE(A1466,""PRICE"")"),"#N/A")</f>
        <v>#N/A</v>
      </c>
      <c r="C1466" s="14" t="str">
        <f>IFERROR(__xludf.DUMMYFUNCTION("GOOGLEFINANCE(A1466,""PRICEOPEN"")"),"#N/A")</f>
        <v>#N/A</v>
      </c>
      <c r="D1466" s="14" t="str">
        <f>IFERROR(__xludf.DUMMYFUNCTION("GOOGLEFINANCE(A1466,""HIGH"")"),"#N/A")</f>
        <v>#N/A</v>
      </c>
      <c r="E1466" s="14" t="str">
        <f>IFERROR(__xludf.DUMMYFUNCTION("GOOGLEFINANCE(A1466,""LOW"")"),"#N/A")</f>
        <v>#N/A</v>
      </c>
      <c r="F1466" s="15" t="str">
        <f t="shared" si="8"/>
        <v>#N/A</v>
      </c>
      <c r="G1466" s="16" t="str">
        <f>IFERROR(__xludf.DUMMYFUNCTION("GOOGLEFINANCE(A1466,""CLOSEYEST"")"),"#N/A")</f>
        <v>#N/A</v>
      </c>
      <c r="H1466" s="17" t="str">
        <f t="shared" si="14"/>
        <v>#N/A</v>
      </c>
      <c r="I1466" s="18" t="str">
        <f t="shared" si="9"/>
        <v>#N/A</v>
      </c>
      <c r="J1466" s="19" t="str">
        <f t="shared" si="10"/>
        <v>#N/A</v>
      </c>
      <c r="K1466" s="19"/>
      <c r="L1466" s="19" t="str">
        <f t="shared" si="11"/>
        <v>#N/A</v>
      </c>
      <c r="M1466" s="19" t="str">
        <f t="shared" si="12"/>
        <v>#N/A</v>
      </c>
      <c r="N1466" s="19" t="str">
        <f t="shared" si="13"/>
        <v>#N/A</v>
      </c>
    </row>
    <row r="1467" ht="24.75" customHeight="1">
      <c r="A1467" s="21" t="s">
        <v>1430</v>
      </c>
      <c r="B1467" s="13">
        <f>IFERROR(__xludf.DUMMYFUNCTION("GOOGLEFINANCE(A1467,""PRICE"")"),577.0)</f>
        <v>577</v>
      </c>
      <c r="C1467" s="14">
        <f>IFERROR(__xludf.DUMMYFUNCTION("GOOGLEFINANCE(A1467,""PRICEOPEN"")"),580.0)</f>
        <v>580</v>
      </c>
      <c r="D1467" s="14">
        <f>IFERROR(__xludf.DUMMYFUNCTION("GOOGLEFINANCE(A1467,""HIGH"")"),580.0)</f>
        <v>580</v>
      </c>
      <c r="E1467" s="14">
        <f>IFERROR(__xludf.DUMMYFUNCTION("GOOGLEFINANCE(A1467,""LOW"")"),572.0)</f>
        <v>572</v>
      </c>
      <c r="F1467" s="15" t="str">
        <f t="shared" si="8"/>
        <v>SELL</v>
      </c>
      <c r="G1467" s="16">
        <f>IFERROR(__xludf.DUMMYFUNCTION("GOOGLEFINANCE(A1467,""CLOSEYEST"")"),572.3)</f>
        <v>572.3</v>
      </c>
      <c r="H1467" s="17" t="str">
        <f t="shared" si="14"/>
        <v>GAP UP</v>
      </c>
      <c r="I1467" s="18">
        <f t="shared" si="9"/>
        <v>574.7666667</v>
      </c>
      <c r="J1467" s="19">
        <f t="shared" si="10"/>
        <v>577.5333333</v>
      </c>
      <c r="K1467" s="19"/>
      <c r="L1467" s="19">
        <f t="shared" si="11"/>
        <v>569.5333333</v>
      </c>
      <c r="M1467" s="19">
        <f t="shared" si="12"/>
        <v>582.7666667</v>
      </c>
      <c r="N1467" s="19">
        <f t="shared" si="13"/>
        <v>566.7666667</v>
      </c>
    </row>
    <row r="1468" ht="24.75" customHeight="1">
      <c r="A1468" s="21" t="s">
        <v>1431</v>
      </c>
      <c r="B1468" s="13">
        <f>IFERROR(__xludf.DUMMYFUNCTION("GOOGLEFINANCE(A1468,""PRICE"")"),1090.4)</f>
        <v>1090.4</v>
      </c>
      <c r="C1468" s="14">
        <f>IFERROR(__xludf.DUMMYFUNCTION("GOOGLEFINANCE(A1468,""PRICEOPEN"")"),1068.0)</f>
        <v>1068</v>
      </c>
      <c r="D1468" s="14">
        <f>IFERROR(__xludf.DUMMYFUNCTION("GOOGLEFINANCE(A1468,""HIGH"")"),1090.4)</f>
        <v>1090.4</v>
      </c>
      <c r="E1468" s="14">
        <f>IFERROR(__xludf.DUMMYFUNCTION("GOOGLEFINANCE(A1468,""LOW"")"),1035.0)</f>
        <v>1035</v>
      </c>
      <c r="F1468" s="15" t="str">
        <f t="shared" si="8"/>
        <v/>
      </c>
      <c r="G1468" s="16">
        <f>IFERROR(__xludf.DUMMYFUNCTION("GOOGLEFINANCE(A1468,""CLOSEYEST"")"),1038.5)</f>
        <v>1038.5</v>
      </c>
      <c r="H1468" s="17" t="str">
        <f t="shared" si="14"/>
        <v>GAP UP</v>
      </c>
      <c r="I1468" s="18">
        <f t="shared" si="9"/>
        <v>1054.633333</v>
      </c>
      <c r="J1468" s="19">
        <f t="shared" si="10"/>
        <v>1074.266667</v>
      </c>
      <c r="K1468" s="19"/>
      <c r="L1468" s="19">
        <f t="shared" si="11"/>
        <v>1018.866667</v>
      </c>
      <c r="M1468" s="19">
        <f t="shared" si="12"/>
        <v>1110.033333</v>
      </c>
      <c r="N1468" s="19">
        <f t="shared" si="13"/>
        <v>999.2333333</v>
      </c>
    </row>
    <row r="1469" ht="24.75" customHeight="1">
      <c r="A1469" s="21" t="s">
        <v>1432</v>
      </c>
      <c r="B1469" s="13">
        <f>IFERROR(__xludf.DUMMYFUNCTION("GOOGLEFINANCE(A1469,""PRICE"")"),155.3)</f>
        <v>155.3</v>
      </c>
      <c r="C1469" s="14">
        <f>IFERROR(__xludf.DUMMYFUNCTION("GOOGLEFINANCE(A1469,""PRICEOPEN"")"),158.63)</f>
        <v>158.63</v>
      </c>
      <c r="D1469" s="14">
        <f>IFERROR(__xludf.DUMMYFUNCTION("GOOGLEFINANCE(A1469,""HIGH"")"),158.63)</f>
        <v>158.63</v>
      </c>
      <c r="E1469" s="14">
        <f>IFERROR(__xludf.DUMMYFUNCTION("GOOGLEFINANCE(A1469,""LOW"")"),152.98)</f>
        <v>152.98</v>
      </c>
      <c r="F1469" s="15" t="str">
        <f t="shared" si="8"/>
        <v>SELL</v>
      </c>
      <c r="G1469" s="16">
        <f>IFERROR(__xludf.DUMMYFUNCTION("GOOGLEFINANCE(A1469,""CLOSEYEST"")"),154.76)</f>
        <v>154.76</v>
      </c>
      <c r="H1469" s="17" t="str">
        <f t="shared" si="14"/>
        <v>GAP UP</v>
      </c>
      <c r="I1469" s="18">
        <f t="shared" si="9"/>
        <v>155.4566667</v>
      </c>
      <c r="J1469" s="19">
        <f t="shared" si="10"/>
        <v>157.9333333</v>
      </c>
      <c r="K1469" s="19"/>
      <c r="L1469" s="19">
        <f t="shared" si="11"/>
        <v>152.2833333</v>
      </c>
      <c r="M1469" s="19">
        <f t="shared" si="12"/>
        <v>161.1066667</v>
      </c>
      <c r="N1469" s="19">
        <f t="shared" si="13"/>
        <v>149.8066667</v>
      </c>
    </row>
    <row r="1470" ht="24.75" customHeight="1">
      <c r="A1470" s="21" t="s">
        <v>1433</v>
      </c>
      <c r="B1470" s="13" t="str">
        <f>IFERROR(__xludf.DUMMYFUNCTION("GOOGLEFINANCE(A1470,""PRICE"")"),"#N/A")</f>
        <v>#N/A</v>
      </c>
      <c r="C1470" s="14" t="str">
        <f>IFERROR(__xludf.DUMMYFUNCTION("GOOGLEFINANCE(A1470,""PRICEOPEN"")"),"#N/A")</f>
        <v>#N/A</v>
      </c>
      <c r="D1470" s="14" t="str">
        <f>IFERROR(__xludf.DUMMYFUNCTION("GOOGLEFINANCE(A1470,""HIGH"")"),"#N/A")</f>
        <v>#N/A</v>
      </c>
      <c r="E1470" s="14" t="str">
        <f>IFERROR(__xludf.DUMMYFUNCTION("GOOGLEFINANCE(A1470,""LOW"")"),"#N/A")</f>
        <v>#N/A</v>
      </c>
      <c r="F1470" s="15" t="str">
        <f t="shared" si="8"/>
        <v>#N/A</v>
      </c>
      <c r="G1470" s="16" t="str">
        <f>IFERROR(__xludf.DUMMYFUNCTION("GOOGLEFINANCE(A1470,""CLOSEYEST"")"),"#N/A")</f>
        <v>#N/A</v>
      </c>
      <c r="H1470" s="17" t="str">
        <f t="shared" si="14"/>
        <v>#N/A</v>
      </c>
      <c r="I1470" s="18" t="str">
        <f t="shared" si="9"/>
        <v>#N/A</v>
      </c>
      <c r="J1470" s="19" t="str">
        <f t="shared" si="10"/>
        <v>#N/A</v>
      </c>
      <c r="K1470" s="19"/>
      <c r="L1470" s="19" t="str">
        <f t="shared" si="11"/>
        <v>#N/A</v>
      </c>
      <c r="M1470" s="19" t="str">
        <f t="shared" si="12"/>
        <v>#N/A</v>
      </c>
      <c r="N1470" s="19" t="str">
        <f t="shared" si="13"/>
        <v>#N/A</v>
      </c>
    </row>
    <row r="1471" ht="24.75" customHeight="1">
      <c r="A1471" s="21" t="s">
        <v>1434</v>
      </c>
      <c r="B1471" s="13">
        <f>IFERROR(__xludf.DUMMYFUNCTION("GOOGLEFINANCE(A1471,""PRICE"")"),0.84)</f>
        <v>0.84</v>
      </c>
      <c r="C1471" s="14" t="str">
        <f>IFERROR(__xludf.DUMMYFUNCTION("GOOGLEFINANCE(A1471,""PRICEOPEN"")"),"#N/A")</f>
        <v>#N/A</v>
      </c>
      <c r="D1471" s="14" t="str">
        <f>IFERROR(__xludf.DUMMYFUNCTION("GOOGLEFINANCE(A1471,""HIGH"")"),"#N/A")</f>
        <v>#N/A</v>
      </c>
      <c r="E1471" s="14" t="str">
        <f>IFERROR(__xludf.DUMMYFUNCTION("GOOGLEFINANCE(A1471,""LOW"")"),"#N/A")</f>
        <v>#N/A</v>
      </c>
      <c r="F1471" s="15" t="str">
        <f t="shared" si="8"/>
        <v>#N/A</v>
      </c>
      <c r="G1471" s="16">
        <f>IFERROR(__xludf.DUMMYFUNCTION("GOOGLEFINANCE(A1471,""CLOSEYEST"")"),0.84)</f>
        <v>0.84</v>
      </c>
      <c r="H1471" s="17" t="str">
        <f t="shared" si="14"/>
        <v>#N/A</v>
      </c>
      <c r="I1471" s="18" t="str">
        <f t="shared" si="9"/>
        <v>#N/A</v>
      </c>
      <c r="J1471" s="19" t="str">
        <f t="shared" si="10"/>
        <v>#N/A</v>
      </c>
      <c r="K1471" s="19"/>
      <c r="L1471" s="19" t="str">
        <f t="shared" si="11"/>
        <v>#N/A</v>
      </c>
      <c r="M1471" s="19" t="str">
        <f t="shared" si="12"/>
        <v>#N/A</v>
      </c>
      <c r="N1471" s="19" t="str">
        <f t="shared" si="13"/>
        <v>#N/A</v>
      </c>
    </row>
    <row r="1472" ht="24.75" customHeight="1">
      <c r="A1472" s="21" t="s">
        <v>1435</v>
      </c>
      <c r="B1472" s="13">
        <f>IFERROR(__xludf.DUMMYFUNCTION("GOOGLEFINANCE(A1472,""PRICE"")"),115.7)</f>
        <v>115.7</v>
      </c>
      <c r="C1472" s="14">
        <f>IFERROR(__xludf.DUMMYFUNCTION("GOOGLEFINANCE(A1472,""PRICEOPEN"")"),115.96)</f>
        <v>115.96</v>
      </c>
      <c r="D1472" s="14">
        <f>IFERROR(__xludf.DUMMYFUNCTION("GOOGLEFINANCE(A1472,""HIGH"")"),117.27)</f>
        <v>117.27</v>
      </c>
      <c r="E1472" s="14">
        <f>IFERROR(__xludf.DUMMYFUNCTION("GOOGLEFINANCE(A1472,""LOW"")"),113.99)</f>
        <v>113.99</v>
      </c>
      <c r="F1472" s="15" t="str">
        <f t="shared" si="8"/>
        <v/>
      </c>
      <c r="G1472" s="16">
        <f>IFERROR(__xludf.DUMMYFUNCTION("GOOGLEFINANCE(A1472,""CLOSEYEST"")"),115.15)</f>
        <v>115.15</v>
      </c>
      <c r="H1472" s="17" t="str">
        <f t="shared" si="14"/>
        <v/>
      </c>
      <c r="I1472" s="18">
        <f t="shared" si="9"/>
        <v>115.47</v>
      </c>
      <c r="J1472" s="19">
        <f t="shared" si="10"/>
        <v>116.95</v>
      </c>
      <c r="K1472" s="19"/>
      <c r="L1472" s="19">
        <f t="shared" si="11"/>
        <v>113.67</v>
      </c>
      <c r="M1472" s="19">
        <f t="shared" si="12"/>
        <v>118.75</v>
      </c>
      <c r="N1472" s="19">
        <f t="shared" si="13"/>
        <v>112.19</v>
      </c>
    </row>
    <row r="1473" ht="24.75" customHeight="1">
      <c r="A1473" s="21" t="s">
        <v>1436</v>
      </c>
      <c r="B1473" s="13">
        <f>IFERROR(__xludf.DUMMYFUNCTION("GOOGLEFINANCE(A1473,""PRICE"")"),259.4)</f>
        <v>259.4</v>
      </c>
      <c r="C1473" s="14">
        <f>IFERROR(__xludf.DUMMYFUNCTION("GOOGLEFINANCE(A1473,""PRICEOPEN"")"),262.0)</f>
        <v>262</v>
      </c>
      <c r="D1473" s="14">
        <f>IFERROR(__xludf.DUMMYFUNCTION("GOOGLEFINANCE(A1473,""HIGH"")"),268.0)</f>
        <v>268</v>
      </c>
      <c r="E1473" s="14">
        <f>IFERROR(__xludf.DUMMYFUNCTION("GOOGLEFINANCE(A1473,""LOW"")"),259.05)</f>
        <v>259.05</v>
      </c>
      <c r="F1473" s="15" t="str">
        <f t="shared" si="8"/>
        <v/>
      </c>
      <c r="G1473" s="16">
        <f>IFERROR(__xludf.DUMMYFUNCTION("GOOGLEFINANCE(A1473,""CLOSEYEST"")"),259.85)</f>
        <v>259.85</v>
      </c>
      <c r="H1473" s="17" t="str">
        <f t="shared" si="14"/>
        <v/>
      </c>
      <c r="I1473" s="18">
        <f t="shared" si="9"/>
        <v>262.3</v>
      </c>
      <c r="J1473" s="19">
        <f t="shared" si="10"/>
        <v>265.55</v>
      </c>
      <c r="K1473" s="19"/>
      <c r="L1473" s="19">
        <f t="shared" si="11"/>
        <v>256.6</v>
      </c>
      <c r="M1473" s="19">
        <f t="shared" si="12"/>
        <v>271.25</v>
      </c>
      <c r="N1473" s="19">
        <f t="shared" si="13"/>
        <v>253.35</v>
      </c>
    </row>
    <row r="1474" ht="24.75" customHeight="1">
      <c r="A1474" s="21" t="s">
        <v>1437</v>
      </c>
      <c r="B1474" s="13">
        <f>IFERROR(__xludf.DUMMYFUNCTION("GOOGLEFINANCE(A1474,""PRICE"")"),30.3)</f>
        <v>30.3</v>
      </c>
      <c r="C1474" s="14">
        <f>IFERROR(__xludf.DUMMYFUNCTION("GOOGLEFINANCE(A1474,""PRICEOPEN"")"),30.85)</f>
        <v>30.85</v>
      </c>
      <c r="D1474" s="14">
        <f>IFERROR(__xludf.DUMMYFUNCTION("GOOGLEFINANCE(A1474,""HIGH"")"),32.0)</f>
        <v>32</v>
      </c>
      <c r="E1474" s="14">
        <f>IFERROR(__xludf.DUMMYFUNCTION("GOOGLEFINANCE(A1474,""LOW"")"),29.97)</f>
        <v>29.97</v>
      </c>
      <c r="F1474" s="15" t="str">
        <f t="shared" si="8"/>
        <v/>
      </c>
      <c r="G1474" s="16">
        <f>IFERROR(__xludf.DUMMYFUNCTION("GOOGLEFINANCE(A1474,""CLOSEYEST"")"),31.55)</f>
        <v>31.55</v>
      </c>
      <c r="H1474" s="17" t="str">
        <f t="shared" si="14"/>
        <v>GAP DOWN</v>
      </c>
      <c r="I1474" s="18">
        <f t="shared" si="9"/>
        <v>31.17333333</v>
      </c>
      <c r="J1474" s="19">
        <f t="shared" si="10"/>
        <v>32.37666667</v>
      </c>
      <c r="K1474" s="19"/>
      <c r="L1474" s="19">
        <f t="shared" si="11"/>
        <v>30.34666667</v>
      </c>
      <c r="M1474" s="19">
        <f t="shared" si="12"/>
        <v>33.20333333</v>
      </c>
      <c r="N1474" s="19">
        <f t="shared" si="13"/>
        <v>29.14333333</v>
      </c>
    </row>
    <row r="1475" ht="24.75" customHeight="1">
      <c r="A1475" s="21" t="s">
        <v>1438</v>
      </c>
      <c r="B1475" s="13" t="str">
        <f>IFERROR(__xludf.DUMMYFUNCTION("GOOGLEFINANCE(A1475,""PRICE"")"),"#N/A")</f>
        <v>#N/A</v>
      </c>
      <c r="C1475" s="14" t="str">
        <f>IFERROR(__xludf.DUMMYFUNCTION("GOOGLEFINANCE(A1475,""PRICEOPEN"")"),"#N/A")</f>
        <v>#N/A</v>
      </c>
      <c r="D1475" s="14" t="str">
        <f>IFERROR(__xludf.DUMMYFUNCTION("GOOGLEFINANCE(A1475,""HIGH"")"),"#N/A")</f>
        <v>#N/A</v>
      </c>
      <c r="E1475" s="14" t="str">
        <f>IFERROR(__xludf.DUMMYFUNCTION("GOOGLEFINANCE(A1475,""LOW"")"),"#N/A")</f>
        <v>#N/A</v>
      </c>
      <c r="F1475" s="15" t="str">
        <f t="shared" si="8"/>
        <v>#N/A</v>
      </c>
      <c r="G1475" s="16" t="str">
        <f>IFERROR(__xludf.DUMMYFUNCTION("GOOGLEFINANCE(A1475,""CLOSEYEST"")"),"#N/A")</f>
        <v>#N/A</v>
      </c>
      <c r="H1475" s="17" t="str">
        <f t="shared" si="14"/>
        <v>#N/A</v>
      </c>
      <c r="I1475" s="18" t="str">
        <f t="shared" si="9"/>
        <v>#N/A</v>
      </c>
      <c r="J1475" s="19" t="str">
        <f t="shared" si="10"/>
        <v>#N/A</v>
      </c>
      <c r="K1475" s="19"/>
      <c r="L1475" s="19" t="str">
        <f t="shared" si="11"/>
        <v>#N/A</v>
      </c>
      <c r="M1475" s="19" t="str">
        <f t="shared" si="12"/>
        <v>#N/A</v>
      </c>
      <c r="N1475" s="19" t="str">
        <f t="shared" si="13"/>
        <v>#N/A</v>
      </c>
    </row>
    <row r="1476" ht="24.75" customHeight="1">
      <c r="A1476" s="21" t="s">
        <v>1439</v>
      </c>
      <c r="B1476" s="13">
        <f>IFERROR(__xludf.DUMMYFUNCTION("GOOGLEFINANCE(A1476,""PRICE"")"),133.2)</f>
        <v>133.2</v>
      </c>
      <c r="C1476" s="14">
        <f>IFERROR(__xludf.DUMMYFUNCTION("GOOGLEFINANCE(A1476,""PRICEOPEN"")"),130.8)</f>
        <v>130.8</v>
      </c>
      <c r="D1476" s="14">
        <f>IFERROR(__xludf.DUMMYFUNCTION("GOOGLEFINANCE(A1476,""HIGH"")"),137.2)</f>
        <v>137.2</v>
      </c>
      <c r="E1476" s="14">
        <f>IFERROR(__xludf.DUMMYFUNCTION("GOOGLEFINANCE(A1476,""LOW"")"),126.0)</f>
        <v>126</v>
      </c>
      <c r="F1476" s="15" t="str">
        <f t="shared" si="8"/>
        <v/>
      </c>
      <c r="G1476" s="16">
        <f>IFERROR(__xludf.DUMMYFUNCTION("GOOGLEFINANCE(A1476,""CLOSEYEST"")"),132.41)</f>
        <v>132.41</v>
      </c>
      <c r="H1476" s="17" t="str">
        <f t="shared" si="14"/>
        <v>GAP DOWN</v>
      </c>
      <c r="I1476" s="18">
        <f t="shared" si="9"/>
        <v>131.87</v>
      </c>
      <c r="J1476" s="19">
        <f t="shared" si="10"/>
        <v>137.74</v>
      </c>
      <c r="K1476" s="19"/>
      <c r="L1476" s="19">
        <f t="shared" si="11"/>
        <v>126.54</v>
      </c>
      <c r="M1476" s="19">
        <f t="shared" si="12"/>
        <v>143.07</v>
      </c>
      <c r="N1476" s="19">
        <f t="shared" si="13"/>
        <v>120.67</v>
      </c>
    </row>
    <row r="1477" ht="24.75" customHeight="1">
      <c r="A1477" s="21" t="s">
        <v>1440</v>
      </c>
      <c r="B1477" s="13">
        <f>IFERROR(__xludf.DUMMYFUNCTION("GOOGLEFINANCE(A1477,""PRICE"")"),1.93)</f>
        <v>1.93</v>
      </c>
      <c r="C1477" s="14">
        <f>IFERROR(__xludf.DUMMYFUNCTION("GOOGLEFINANCE(A1477,""PRICEOPEN"")"),1.93)</f>
        <v>1.93</v>
      </c>
      <c r="D1477" s="14">
        <f>IFERROR(__xludf.DUMMYFUNCTION("GOOGLEFINANCE(A1477,""HIGH"")"),1.97)</f>
        <v>1.97</v>
      </c>
      <c r="E1477" s="14">
        <f>IFERROR(__xludf.DUMMYFUNCTION("GOOGLEFINANCE(A1477,""LOW"")"),1.91)</f>
        <v>1.91</v>
      </c>
      <c r="F1477" s="15" t="str">
        <f t="shared" si="8"/>
        <v/>
      </c>
      <c r="G1477" s="16">
        <f>IFERROR(__xludf.DUMMYFUNCTION("GOOGLEFINANCE(A1477,""CLOSEYEST"")"),1.93)</f>
        <v>1.93</v>
      </c>
      <c r="H1477" s="17" t="str">
        <f t="shared" si="14"/>
        <v/>
      </c>
      <c r="I1477" s="18">
        <f t="shared" si="9"/>
        <v>1.936666667</v>
      </c>
      <c r="J1477" s="19">
        <f t="shared" si="10"/>
        <v>1.963333333</v>
      </c>
      <c r="K1477" s="19"/>
      <c r="L1477" s="19">
        <f t="shared" si="11"/>
        <v>1.903333333</v>
      </c>
      <c r="M1477" s="19">
        <f t="shared" si="12"/>
        <v>1.996666667</v>
      </c>
      <c r="N1477" s="19">
        <f t="shared" si="13"/>
        <v>1.876666667</v>
      </c>
    </row>
    <row r="1478" ht="24.75" customHeight="1">
      <c r="A1478" s="21" t="s">
        <v>1441</v>
      </c>
      <c r="B1478" s="13">
        <f>IFERROR(__xludf.DUMMYFUNCTION("GOOGLEFINANCE(A1478,""PRICE"")"),1125.8)</f>
        <v>1125.8</v>
      </c>
      <c r="C1478" s="14">
        <f>IFERROR(__xludf.DUMMYFUNCTION("GOOGLEFINANCE(A1478,""PRICEOPEN"")"),1085.0)</f>
        <v>1085</v>
      </c>
      <c r="D1478" s="14">
        <f>IFERROR(__xludf.DUMMYFUNCTION("GOOGLEFINANCE(A1478,""HIGH"")"),1125.8)</f>
        <v>1125.8</v>
      </c>
      <c r="E1478" s="14">
        <f>IFERROR(__xludf.DUMMYFUNCTION("GOOGLEFINANCE(A1478,""LOW"")"),1075.2)</f>
        <v>1075.2</v>
      </c>
      <c r="F1478" s="15" t="str">
        <f t="shared" si="8"/>
        <v/>
      </c>
      <c r="G1478" s="16">
        <f>IFERROR(__xludf.DUMMYFUNCTION("GOOGLEFINANCE(A1478,""CLOSEYEST"")"),1072.2)</f>
        <v>1072.2</v>
      </c>
      <c r="H1478" s="17" t="str">
        <f t="shared" si="14"/>
        <v>GAP UP</v>
      </c>
      <c r="I1478" s="18">
        <f t="shared" si="9"/>
        <v>1091.066667</v>
      </c>
      <c r="J1478" s="19">
        <f t="shared" si="10"/>
        <v>1106.933333</v>
      </c>
      <c r="K1478" s="19"/>
      <c r="L1478" s="19">
        <f t="shared" si="11"/>
        <v>1056.333333</v>
      </c>
      <c r="M1478" s="19">
        <f t="shared" si="12"/>
        <v>1141.666667</v>
      </c>
      <c r="N1478" s="19">
        <f t="shared" si="13"/>
        <v>1040.466667</v>
      </c>
    </row>
    <row r="1479" ht="24.75" customHeight="1">
      <c r="A1479" s="21" t="s">
        <v>1442</v>
      </c>
      <c r="B1479" s="13">
        <f>IFERROR(__xludf.DUMMYFUNCTION("GOOGLEFINANCE(A1479,""PRICE"")"),60.69)</f>
        <v>60.69</v>
      </c>
      <c r="C1479" s="14">
        <f>IFERROR(__xludf.DUMMYFUNCTION("GOOGLEFINANCE(A1479,""PRICEOPEN"")"),60.0)</f>
        <v>60</v>
      </c>
      <c r="D1479" s="14">
        <f>IFERROR(__xludf.DUMMYFUNCTION("GOOGLEFINANCE(A1479,""HIGH"")"),61.68)</f>
        <v>61.68</v>
      </c>
      <c r="E1479" s="14">
        <f>IFERROR(__xludf.DUMMYFUNCTION("GOOGLEFINANCE(A1479,""LOW"")"),59.75)</f>
        <v>59.75</v>
      </c>
      <c r="F1479" s="15" t="str">
        <f t="shared" si="8"/>
        <v/>
      </c>
      <c r="G1479" s="16">
        <f>IFERROR(__xludf.DUMMYFUNCTION("GOOGLEFINANCE(A1479,""CLOSEYEST"")"),60.63)</f>
        <v>60.63</v>
      </c>
      <c r="H1479" s="17" t="str">
        <f t="shared" si="14"/>
        <v>GAP DOWN</v>
      </c>
      <c r="I1479" s="18">
        <f t="shared" si="9"/>
        <v>60.68666667</v>
      </c>
      <c r="J1479" s="19">
        <f t="shared" si="10"/>
        <v>61.62333333</v>
      </c>
      <c r="K1479" s="19"/>
      <c r="L1479" s="19">
        <f t="shared" si="11"/>
        <v>59.69333333</v>
      </c>
      <c r="M1479" s="19">
        <f t="shared" si="12"/>
        <v>62.61666667</v>
      </c>
      <c r="N1479" s="19">
        <f t="shared" si="13"/>
        <v>58.75666667</v>
      </c>
    </row>
    <row r="1480" ht="24.75" customHeight="1">
      <c r="A1480" s="21" t="s">
        <v>1443</v>
      </c>
      <c r="B1480" s="13">
        <f>IFERROR(__xludf.DUMMYFUNCTION("GOOGLEFINANCE(A1480,""PRICE"")"),16.8)</f>
        <v>16.8</v>
      </c>
      <c r="C1480" s="14">
        <f>IFERROR(__xludf.DUMMYFUNCTION("GOOGLEFINANCE(A1480,""PRICEOPEN"")"),16.9)</f>
        <v>16.9</v>
      </c>
      <c r="D1480" s="14">
        <f>IFERROR(__xludf.DUMMYFUNCTION("GOOGLEFINANCE(A1480,""HIGH"")"),16.9)</f>
        <v>16.9</v>
      </c>
      <c r="E1480" s="14">
        <f>IFERROR(__xludf.DUMMYFUNCTION("GOOGLEFINANCE(A1480,""LOW"")"),16.11)</f>
        <v>16.11</v>
      </c>
      <c r="F1480" s="15" t="str">
        <f t="shared" si="8"/>
        <v>SELL</v>
      </c>
      <c r="G1480" s="16">
        <f>IFERROR(__xludf.DUMMYFUNCTION("GOOGLEFINANCE(A1480,""CLOSEYEST"")"),16.1)</f>
        <v>16.1</v>
      </c>
      <c r="H1480" s="17" t="str">
        <f t="shared" si="14"/>
        <v>GAP UP</v>
      </c>
      <c r="I1480" s="18">
        <f t="shared" si="9"/>
        <v>16.37</v>
      </c>
      <c r="J1480" s="19">
        <f t="shared" si="10"/>
        <v>16.63</v>
      </c>
      <c r="K1480" s="19"/>
      <c r="L1480" s="19">
        <f t="shared" si="11"/>
        <v>15.84</v>
      </c>
      <c r="M1480" s="19">
        <f t="shared" si="12"/>
        <v>17.16</v>
      </c>
      <c r="N1480" s="19">
        <f t="shared" si="13"/>
        <v>15.58</v>
      </c>
    </row>
    <row r="1481" ht="24.75" customHeight="1">
      <c r="A1481" s="21" t="s">
        <v>1444</v>
      </c>
      <c r="B1481" s="13">
        <f>IFERROR(__xludf.DUMMYFUNCTION("GOOGLEFINANCE(A1481,""PRICE"")"),84.45)</f>
        <v>84.45</v>
      </c>
      <c r="C1481" s="14">
        <f>IFERROR(__xludf.DUMMYFUNCTION("GOOGLEFINANCE(A1481,""PRICEOPEN"")"),84.89)</f>
        <v>84.89</v>
      </c>
      <c r="D1481" s="14">
        <f>IFERROR(__xludf.DUMMYFUNCTION("GOOGLEFINANCE(A1481,""HIGH"")"),84.89)</f>
        <v>84.89</v>
      </c>
      <c r="E1481" s="14">
        <f>IFERROR(__xludf.DUMMYFUNCTION("GOOGLEFINANCE(A1481,""LOW"")"),83.0)</f>
        <v>83</v>
      </c>
      <c r="F1481" s="15" t="str">
        <f t="shared" si="8"/>
        <v>SELL</v>
      </c>
      <c r="G1481" s="16">
        <f>IFERROR(__xludf.DUMMYFUNCTION("GOOGLEFINANCE(A1481,""CLOSEYEST"")"),83.67)</f>
        <v>83.67</v>
      </c>
      <c r="H1481" s="17" t="str">
        <f t="shared" si="14"/>
        <v>GAP UP</v>
      </c>
      <c r="I1481" s="18">
        <f t="shared" si="9"/>
        <v>83.85333333</v>
      </c>
      <c r="J1481" s="19">
        <f t="shared" si="10"/>
        <v>84.70666667</v>
      </c>
      <c r="K1481" s="19"/>
      <c r="L1481" s="19">
        <f t="shared" si="11"/>
        <v>82.81666667</v>
      </c>
      <c r="M1481" s="19">
        <f t="shared" si="12"/>
        <v>85.74333333</v>
      </c>
      <c r="N1481" s="19">
        <f t="shared" si="13"/>
        <v>81.96333333</v>
      </c>
    </row>
    <row r="1482" ht="24.75" customHeight="1">
      <c r="A1482" s="21" t="s">
        <v>1445</v>
      </c>
      <c r="B1482" s="13">
        <f>IFERROR(__xludf.DUMMYFUNCTION("GOOGLEFINANCE(A1482,""PRICE"")"),88.3)</f>
        <v>88.3</v>
      </c>
      <c r="C1482" s="14">
        <f>IFERROR(__xludf.DUMMYFUNCTION("GOOGLEFINANCE(A1482,""PRICEOPEN"")"),88.05)</f>
        <v>88.05</v>
      </c>
      <c r="D1482" s="14">
        <f>IFERROR(__xludf.DUMMYFUNCTION("GOOGLEFINANCE(A1482,""HIGH"")"),90.67)</f>
        <v>90.67</v>
      </c>
      <c r="E1482" s="14">
        <f>IFERROR(__xludf.DUMMYFUNCTION("GOOGLEFINANCE(A1482,""LOW"")"),87.44)</f>
        <v>87.44</v>
      </c>
      <c r="F1482" s="15" t="str">
        <f t="shared" si="8"/>
        <v/>
      </c>
      <c r="G1482" s="16">
        <f>IFERROR(__xludf.DUMMYFUNCTION("GOOGLEFINANCE(A1482,""CLOSEYEST"")"),88.84)</f>
        <v>88.84</v>
      </c>
      <c r="H1482" s="17" t="str">
        <f t="shared" si="14"/>
        <v/>
      </c>
      <c r="I1482" s="18">
        <f t="shared" si="9"/>
        <v>88.98333333</v>
      </c>
      <c r="J1482" s="19">
        <f t="shared" si="10"/>
        <v>90.52666667</v>
      </c>
      <c r="K1482" s="19"/>
      <c r="L1482" s="19">
        <f t="shared" si="11"/>
        <v>87.29666667</v>
      </c>
      <c r="M1482" s="19">
        <f t="shared" si="12"/>
        <v>92.21333333</v>
      </c>
      <c r="N1482" s="19">
        <f t="shared" si="13"/>
        <v>85.75333333</v>
      </c>
    </row>
    <row r="1483" ht="24.75" customHeight="1">
      <c r="A1483" s="21" t="s">
        <v>1446</v>
      </c>
      <c r="B1483" s="13">
        <f>IFERROR(__xludf.DUMMYFUNCTION("GOOGLEFINANCE(A1483,""PRICE"")"),377.9)</f>
        <v>377.9</v>
      </c>
      <c r="C1483" s="14">
        <f>IFERROR(__xludf.DUMMYFUNCTION("GOOGLEFINANCE(A1483,""PRICEOPEN"")"),349.9)</f>
        <v>349.9</v>
      </c>
      <c r="D1483" s="14">
        <f>IFERROR(__xludf.DUMMYFUNCTION("GOOGLEFINANCE(A1483,""HIGH"")"),404.9)</f>
        <v>404.9</v>
      </c>
      <c r="E1483" s="14">
        <f>IFERROR(__xludf.DUMMYFUNCTION("GOOGLEFINANCE(A1483,""LOW"")"),349.9)</f>
        <v>349.9</v>
      </c>
      <c r="F1483" s="15" t="str">
        <f t="shared" si="8"/>
        <v>BUY</v>
      </c>
      <c r="G1483" s="16">
        <f>IFERROR(__xludf.DUMMYFUNCTION("GOOGLEFINANCE(A1483,""CLOSEYEST"")"),347.45)</f>
        <v>347.45</v>
      </c>
      <c r="H1483" s="17" t="str">
        <f t="shared" si="14"/>
        <v/>
      </c>
      <c r="I1483" s="18">
        <f t="shared" si="9"/>
        <v>367.4166667</v>
      </c>
      <c r="J1483" s="19">
        <f t="shared" si="10"/>
        <v>384.9333333</v>
      </c>
      <c r="K1483" s="19"/>
      <c r="L1483" s="19">
        <f t="shared" si="11"/>
        <v>329.9333333</v>
      </c>
      <c r="M1483" s="19">
        <f t="shared" si="12"/>
        <v>422.4166667</v>
      </c>
      <c r="N1483" s="19">
        <f t="shared" si="13"/>
        <v>312.4166667</v>
      </c>
    </row>
    <row r="1484" ht="24.75" customHeight="1">
      <c r="A1484" s="21" t="s">
        <v>1447</v>
      </c>
      <c r="B1484" s="13">
        <f>IFERROR(__xludf.DUMMYFUNCTION("GOOGLEFINANCE(A1484,""PRICE"")"),5.34)</f>
        <v>5.34</v>
      </c>
      <c r="C1484" s="14">
        <f>IFERROR(__xludf.DUMMYFUNCTION("GOOGLEFINANCE(A1484,""PRICEOPEN"")"),5.18)</f>
        <v>5.18</v>
      </c>
      <c r="D1484" s="14">
        <f>IFERROR(__xludf.DUMMYFUNCTION("GOOGLEFINANCE(A1484,""HIGH"")"),5.4)</f>
        <v>5.4</v>
      </c>
      <c r="E1484" s="14">
        <f>IFERROR(__xludf.DUMMYFUNCTION("GOOGLEFINANCE(A1484,""LOW"")"),5.18)</f>
        <v>5.18</v>
      </c>
      <c r="F1484" s="15" t="str">
        <f t="shared" si="8"/>
        <v>BUY</v>
      </c>
      <c r="G1484" s="16">
        <f>IFERROR(__xludf.DUMMYFUNCTION("GOOGLEFINANCE(A1484,""CLOSEYEST"")"),5.26)</f>
        <v>5.26</v>
      </c>
      <c r="H1484" s="17" t="str">
        <f t="shared" si="14"/>
        <v>GAP DOWN</v>
      </c>
      <c r="I1484" s="18">
        <f t="shared" si="9"/>
        <v>5.28</v>
      </c>
      <c r="J1484" s="19">
        <f t="shared" si="10"/>
        <v>5.38</v>
      </c>
      <c r="K1484" s="19"/>
      <c r="L1484" s="19">
        <f t="shared" si="11"/>
        <v>5.16</v>
      </c>
      <c r="M1484" s="19">
        <f t="shared" si="12"/>
        <v>5.5</v>
      </c>
      <c r="N1484" s="19">
        <f t="shared" si="13"/>
        <v>5.06</v>
      </c>
    </row>
    <row r="1485" ht="24.75" customHeight="1">
      <c r="A1485" s="21" t="s">
        <v>1448</v>
      </c>
      <c r="B1485" s="13">
        <f>IFERROR(__xludf.DUMMYFUNCTION("GOOGLEFINANCE(A1485,""PRICE"")"),25.66)</f>
        <v>25.66</v>
      </c>
      <c r="C1485" s="14">
        <f>IFERROR(__xludf.DUMMYFUNCTION("GOOGLEFINANCE(A1485,""PRICEOPEN"")"),25.39)</f>
        <v>25.39</v>
      </c>
      <c r="D1485" s="14">
        <f>IFERROR(__xludf.DUMMYFUNCTION("GOOGLEFINANCE(A1485,""HIGH"")"),28.38)</f>
        <v>28.38</v>
      </c>
      <c r="E1485" s="14">
        <f>IFERROR(__xludf.DUMMYFUNCTION("GOOGLEFINANCE(A1485,""LOW"")"),25.39)</f>
        <v>25.39</v>
      </c>
      <c r="F1485" s="15" t="str">
        <f t="shared" si="8"/>
        <v>BUY</v>
      </c>
      <c r="G1485" s="16">
        <f>IFERROR(__xludf.DUMMYFUNCTION("GOOGLEFINANCE(A1485,""CLOSEYEST"")"),25.38)</f>
        <v>25.38</v>
      </c>
      <c r="H1485" s="17" t="str">
        <f t="shared" si="14"/>
        <v/>
      </c>
      <c r="I1485" s="18">
        <f t="shared" si="9"/>
        <v>26.38333333</v>
      </c>
      <c r="J1485" s="19">
        <f t="shared" si="10"/>
        <v>27.37666667</v>
      </c>
      <c r="K1485" s="19"/>
      <c r="L1485" s="19">
        <f t="shared" si="11"/>
        <v>24.38666667</v>
      </c>
      <c r="M1485" s="19">
        <f t="shared" si="12"/>
        <v>29.37333333</v>
      </c>
      <c r="N1485" s="19">
        <f t="shared" si="13"/>
        <v>23.39333333</v>
      </c>
    </row>
    <row r="1486" ht="24.75" customHeight="1">
      <c r="A1486" s="21" t="s">
        <v>1449</v>
      </c>
      <c r="B1486" s="13">
        <f>IFERROR(__xludf.DUMMYFUNCTION("GOOGLEFINANCE(A1486,""PRICE"")"),18.95)</f>
        <v>18.95</v>
      </c>
      <c r="C1486" s="14">
        <f>IFERROR(__xludf.DUMMYFUNCTION("GOOGLEFINANCE(A1486,""PRICEOPEN"")"),18.95)</f>
        <v>18.95</v>
      </c>
      <c r="D1486" s="14">
        <f>IFERROR(__xludf.DUMMYFUNCTION("GOOGLEFINANCE(A1486,""HIGH"")"),19.4)</f>
        <v>19.4</v>
      </c>
      <c r="E1486" s="14">
        <f>IFERROR(__xludf.DUMMYFUNCTION("GOOGLEFINANCE(A1486,""LOW"")"),18.9)</f>
        <v>18.9</v>
      </c>
      <c r="F1486" s="15" t="str">
        <f t="shared" si="8"/>
        <v/>
      </c>
      <c r="G1486" s="16">
        <f>IFERROR(__xludf.DUMMYFUNCTION("GOOGLEFINANCE(A1486,""CLOSEYEST"")"),19.23)</f>
        <v>19.23</v>
      </c>
      <c r="H1486" s="17" t="str">
        <f t="shared" si="14"/>
        <v>GAP DOWN</v>
      </c>
      <c r="I1486" s="18">
        <f t="shared" si="9"/>
        <v>19.17666667</v>
      </c>
      <c r="J1486" s="19">
        <f t="shared" si="10"/>
        <v>19.45333333</v>
      </c>
      <c r="K1486" s="19"/>
      <c r="L1486" s="19">
        <f t="shared" si="11"/>
        <v>18.95333333</v>
      </c>
      <c r="M1486" s="19">
        <f t="shared" si="12"/>
        <v>19.67666667</v>
      </c>
      <c r="N1486" s="19">
        <f t="shared" si="13"/>
        <v>18.67666667</v>
      </c>
    </row>
    <row r="1487" ht="24.75" customHeight="1">
      <c r="A1487" s="21" t="s">
        <v>1450</v>
      </c>
      <c r="B1487" s="13">
        <f>IFERROR(__xludf.DUMMYFUNCTION("GOOGLEFINANCE(A1487,""PRICE"")"),17.13)</f>
        <v>17.13</v>
      </c>
      <c r="C1487" s="14">
        <f>IFERROR(__xludf.DUMMYFUNCTION("GOOGLEFINANCE(A1487,""PRICEOPEN"")"),17.39)</f>
        <v>17.39</v>
      </c>
      <c r="D1487" s="14">
        <f>IFERROR(__xludf.DUMMYFUNCTION("GOOGLEFINANCE(A1487,""HIGH"")"),17.4)</f>
        <v>17.4</v>
      </c>
      <c r="E1487" s="14">
        <f>IFERROR(__xludf.DUMMYFUNCTION("GOOGLEFINANCE(A1487,""LOW"")"),16.95)</f>
        <v>16.95</v>
      </c>
      <c r="F1487" s="15" t="str">
        <f t="shared" si="8"/>
        <v/>
      </c>
      <c r="G1487" s="16">
        <f>IFERROR(__xludf.DUMMYFUNCTION("GOOGLEFINANCE(A1487,""CLOSEYEST"")"),17.13)</f>
        <v>17.13</v>
      </c>
      <c r="H1487" s="17" t="str">
        <f t="shared" si="14"/>
        <v>GAP UP</v>
      </c>
      <c r="I1487" s="18">
        <f t="shared" si="9"/>
        <v>17.16</v>
      </c>
      <c r="J1487" s="19">
        <f t="shared" si="10"/>
        <v>17.37</v>
      </c>
      <c r="K1487" s="19"/>
      <c r="L1487" s="19">
        <f t="shared" si="11"/>
        <v>16.92</v>
      </c>
      <c r="M1487" s="19">
        <f t="shared" si="12"/>
        <v>17.61</v>
      </c>
      <c r="N1487" s="19">
        <f t="shared" si="13"/>
        <v>16.71</v>
      </c>
    </row>
    <row r="1488" ht="24.75" customHeight="1">
      <c r="A1488" s="21" t="s">
        <v>1451</v>
      </c>
      <c r="B1488" s="13">
        <f>IFERROR(__xludf.DUMMYFUNCTION("GOOGLEFINANCE(A1488,""PRICE"")"),16.45)</f>
        <v>16.45</v>
      </c>
      <c r="C1488" s="14">
        <f>IFERROR(__xludf.DUMMYFUNCTION("GOOGLEFINANCE(A1488,""PRICEOPEN"")"),16.95)</f>
        <v>16.95</v>
      </c>
      <c r="D1488" s="14">
        <f>IFERROR(__xludf.DUMMYFUNCTION("GOOGLEFINANCE(A1488,""HIGH"")"),16.97)</f>
        <v>16.97</v>
      </c>
      <c r="E1488" s="14">
        <f>IFERROR(__xludf.DUMMYFUNCTION("GOOGLEFINANCE(A1488,""LOW"")"),16.39)</f>
        <v>16.39</v>
      </c>
      <c r="F1488" s="15" t="str">
        <f t="shared" si="8"/>
        <v/>
      </c>
      <c r="G1488" s="16">
        <f>IFERROR(__xludf.DUMMYFUNCTION("GOOGLEFINANCE(A1488,""CLOSEYEST"")"),16.97)</f>
        <v>16.97</v>
      </c>
      <c r="H1488" s="17" t="str">
        <f t="shared" si="14"/>
        <v/>
      </c>
      <c r="I1488" s="18">
        <f t="shared" si="9"/>
        <v>16.77666667</v>
      </c>
      <c r="J1488" s="19">
        <f t="shared" si="10"/>
        <v>17.16333333</v>
      </c>
      <c r="K1488" s="19"/>
      <c r="L1488" s="19">
        <f t="shared" si="11"/>
        <v>16.58333333</v>
      </c>
      <c r="M1488" s="19">
        <f t="shared" si="12"/>
        <v>17.35666667</v>
      </c>
      <c r="N1488" s="19">
        <f t="shared" si="13"/>
        <v>16.19666667</v>
      </c>
    </row>
    <row r="1489" ht="24.75" customHeight="1">
      <c r="A1489" s="21" t="s">
        <v>1452</v>
      </c>
      <c r="B1489" s="13" t="str">
        <f>IFERROR(__xludf.DUMMYFUNCTION("GOOGLEFINANCE(A1489,""PRICE"")"),"#N/A")</f>
        <v>#N/A</v>
      </c>
      <c r="C1489" s="14" t="str">
        <f>IFERROR(__xludf.DUMMYFUNCTION("GOOGLEFINANCE(A1489,""PRICEOPEN"")"),"#N/A")</f>
        <v>#N/A</v>
      </c>
      <c r="D1489" s="14" t="str">
        <f>IFERROR(__xludf.DUMMYFUNCTION("GOOGLEFINANCE(A1489,""HIGH"")"),"#N/A")</f>
        <v>#N/A</v>
      </c>
      <c r="E1489" s="14" t="str">
        <f>IFERROR(__xludf.DUMMYFUNCTION("GOOGLEFINANCE(A1489,""LOW"")"),"#N/A")</f>
        <v>#N/A</v>
      </c>
      <c r="F1489" s="15" t="str">
        <f t="shared" si="8"/>
        <v>#N/A</v>
      </c>
      <c r="G1489" s="16" t="str">
        <f>IFERROR(__xludf.DUMMYFUNCTION("GOOGLEFINANCE(A1489,""CLOSEYEST"")"),"#N/A")</f>
        <v>#N/A</v>
      </c>
      <c r="H1489" s="17" t="str">
        <f t="shared" si="14"/>
        <v>#N/A</v>
      </c>
      <c r="I1489" s="18" t="str">
        <f t="shared" si="9"/>
        <v>#N/A</v>
      </c>
      <c r="J1489" s="19" t="str">
        <f t="shared" si="10"/>
        <v>#N/A</v>
      </c>
      <c r="K1489" s="19"/>
      <c r="L1489" s="19" t="str">
        <f t="shared" si="11"/>
        <v>#N/A</v>
      </c>
      <c r="M1489" s="19" t="str">
        <f t="shared" si="12"/>
        <v>#N/A</v>
      </c>
      <c r="N1489" s="19" t="str">
        <f t="shared" si="13"/>
        <v>#N/A</v>
      </c>
    </row>
    <row r="1490" ht="24.75" customHeight="1">
      <c r="A1490" s="21" t="s">
        <v>1453</v>
      </c>
      <c r="B1490" s="13">
        <f>IFERROR(__xludf.DUMMYFUNCTION("GOOGLEFINANCE(A1490,""PRICE"")"),47.2)</f>
        <v>47.2</v>
      </c>
      <c r="C1490" s="14">
        <f>IFERROR(__xludf.DUMMYFUNCTION("GOOGLEFINANCE(A1490,""PRICEOPEN"")"),45.08)</f>
        <v>45.08</v>
      </c>
      <c r="D1490" s="14">
        <f>IFERROR(__xludf.DUMMYFUNCTION("GOOGLEFINANCE(A1490,""HIGH"")"),48.36)</f>
        <v>48.36</v>
      </c>
      <c r="E1490" s="14">
        <f>IFERROR(__xludf.DUMMYFUNCTION("GOOGLEFINANCE(A1490,""LOW"")"),44.3)</f>
        <v>44.3</v>
      </c>
      <c r="F1490" s="15" t="str">
        <f t="shared" si="8"/>
        <v/>
      </c>
      <c r="G1490" s="16">
        <f>IFERROR(__xludf.DUMMYFUNCTION("GOOGLEFINANCE(A1490,""CLOSEYEST"")"),45.08)</f>
        <v>45.08</v>
      </c>
      <c r="H1490" s="17" t="str">
        <f t="shared" si="14"/>
        <v/>
      </c>
      <c r="I1490" s="18">
        <f t="shared" si="9"/>
        <v>45.91333333</v>
      </c>
      <c r="J1490" s="19">
        <f t="shared" si="10"/>
        <v>47.52666667</v>
      </c>
      <c r="K1490" s="19"/>
      <c r="L1490" s="19">
        <f t="shared" si="11"/>
        <v>43.46666667</v>
      </c>
      <c r="M1490" s="19">
        <f t="shared" si="12"/>
        <v>49.97333333</v>
      </c>
      <c r="N1490" s="19">
        <f t="shared" si="13"/>
        <v>41.85333333</v>
      </c>
    </row>
    <row r="1491" ht="24.75" customHeight="1">
      <c r="A1491" s="21" t="s">
        <v>1454</v>
      </c>
      <c r="B1491" s="13">
        <f>IFERROR(__xludf.DUMMYFUNCTION("GOOGLEFINANCE(A1491,""PRICE"")"),229.0)</f>
        <v>229</v>
      </c>
      <c r="C1491" s="14">
        <f>IFERROR(__xludf.DUMMYFUNCTION("GOOGLEFINANCE(A1491,""PRICEOPEN"")"),223.92)</f>
        <v>223.92</v>
      </c>
      <c r="D1491" s="14">
        <f>IFERROR(__xludf.DUMMYFUNCTION("GOOGLEFINANCE(A1491,""HIGH"")"),229.8)</f>
        <v>229.8</v>
      </c>
      <c r="E1491" s="14">
        <f>IFERROR(__xludf.DUMMYFUNCTION("GOOGLEFINANCE(A1491,""LOW"")"),221.0)</f>
        <v>221</v>
      </c>
      <c r="F1491" s="15" t="str">
        <f t="shared" si="8"/>
        <v/>
      </c>
      <c r="G1491" s="16">
        <f>IFERROR(__xludf.DUMMYFUNCTION("GOOGLEFINANCE(A1491,""CLOSEYEST"")"),222.52)</f>
        <v>222.52</v>
      </c>
      <c r="H1491" s="17" t="str">
        <f t="shared" si="14"/>
        <v/>
      </c>
      <c r="I1491" s="18">
        <f t="shared" si="9"/>
        <v>224.44</v>
      </c>
      <c r="J1491" s="19">
        <f t="shared" si="10"/>
        <v>227.88</v>
      </c>
      <c r="K1491" s="19"/>
      <c r="L1491" s="19">
        <f t="shared" si="11"/>
        <v>219.08</v>
      </c>
      <c r="M1491" s="19">
        <f t="shared" si="12"/>
        <v>233.24</v>
      </c>
      <c r="N1491" s="19">
        <f t="shared" si="13"/>
        <v>215.64</v>
      </c>
    </row>
    <row r="1492" ht="24.75" customHeight="1">
      <c r="A1492" s="21" t="s">
        <v>1455</v>
      </c>
      <c r="B1492" s="13" t="str">
        <f>IFERROR(__xludf.DUMMYFUNCTION("GOOGLEFINANCE(A1492,""PRICE"")"),"#N/A")</f>
        <v>#N/A</v>
      </c>
      <c r="C1492" s="14" t="str">
        <f>IFERROR(__xludf.DUMMYFUNCTION("GOOGLEFINANCE(A1492,""PRICEOPEN"")"),"#N/A")</f>
        <v>#N/A</v>
      </c>
      <c r="D1492" s="14" t="str">
        <f>IFERROR(__xludf.DUMMYFUNCTION("GOOGLEFINANCE(A1492,""HIGH"")"),"#N/A")</f>
        <v>#N/A</v>
      </c>
      <c r="E1492" s="14" t="str">
        <f>IFERROR(__xludf.DUMMYFUNCTION("GOOGLEFINANCE(A1492,""LOW"")"),"#N/A")</f>
        <v>#N/A</v>
      </c>
      <c r="F1492" s="15" t="str">
        <f t="shared" si="8"/>
        <v>#N/A</v>
      </c>
      <c r="G1492" s="16" t="str">
        <f>IFERROR(__xludf.DUMMYFUNCTION("GOOGLEFINANCE(A1492,""CLOSEYEST"")"),"#N/A")</f>
        <v>#N/A</v>
      </c>
      <c r="H1492" s="17" t="str">
        <f t="shared" si="14"/>
        <v>#N/A</v>
      </c>
      <c r="I1492" s="18" t="str">
        <f t="shared" si="9"/>
        <v>#N/A</v>
      </c>
      <c r="J1492" s="19" t="str">
        <f t="shared" si="10"/>
        <v>#N/A</v>
      </c>
      <c r="K1492" s="19"/>
      <c r="L1492" s="19" t="str">
        <f t="shared" si="11"/>
        <v>#N/A</v>
      </c>
      <c r="M1492" s="19" t="str">
        <f t="shared" si="12"/>
        <v>#N/A</v>
      </c>
      <c r="N1492" s="19" t="str">
        <f t="shared" si="13"/>
        <v>#N/A</v>
      </c>
    </row>
    <row r="1493" ht="24.75" customHeight="1">
      <c r="A1493" s="21" t="s">
        <v>1456</v>
      </c>
      <c r="B1493" s="13">
        <f>IFERROR(__xludf.DUMMYFUNCTION("GOOGLEFINANCE(A1493,""PRICE"")"),25.8)</f>
        <v>25.8</v>
      </c>
      <c r="C1493" s="14">
        <f>IFERROR(__xludf.DUMMYFUNCTION("GOOGLEFINANCE(A1493,""PRICEOPEN"")"),24.93)</f>
        <v>24.93</v>
      </c>
      <c r="D1493" s="14">
        <f>IFERROR(__xludf.DUMMYFUNCTION("GOOGLEFINANCE(A1493,""HIGH"")"),26.0)</f>
        <v>26</v>
      </c>
      <c r="E1493" s="14">
        <f>IFERROR(__xludf.DUMMYFUNCTION("GOOGLEFINANCE(A1493,""LOW"")"),24.93)</f>
        <v>24.93</v>
      </c>
      <c r="F1493" s="15" t="str">
        <f t="shared" si="8"/>
        <v>BUY</v>
      </c>
      <c r="G1493" s="16">
        <f>IFERROR(__xludf.DUMMYFUNCTION("GOOGLEFINANCE(A1493,""CLOSEYEST"")"),24.94)</f>
        <v>24.94</v>
      </c>
      <c r="H1493" s="17" t="str">
        <f t="shared" si="14"/>
        <v/>
      </c>
      <c r="I1493" s="18">
        <f t="shared" si="9"/>
        <v>25.29</v>
      </c>
      <c r="J1493" s="19">
        <f t="shared" si="10"/>
        <v>25.65</v>
      </c>
      <c r="K1493" s="19"/>
      <c r="L1493" s="19">
        <f t="shared" si="11"/>
        <v>24.58</v>
      </c>
      <c r="M1493" s="19">
        <f t="shared" si="12"/>
        <v>26.36</v>
      </c>
      <c r="N1493" s="19">
        <f t="shared" si="13"/>
        <v>24.22</v>
      </c>
    </row>
    <row r="1494" ht="24.75" customHeight="1">
      <c r="A1494" s="21" t="s">
        <v>1457</v>
      </c>
      <c r="B1494" s="13">
        <f>IFERROR(__xludf.DUMMYFUNCTION("GOOGLEFINANCE(A1494,""PRICE"")"),91.0)</f>
        <v>91</v>
      </c>
      <c r="C1494" s="14">
        <f>IFERROR(__xludf.DUMMYFUNCTION("GOOGLEFINANCE(A1494,""PRICEOPEN"")"),90.15)</f>
        <v>90.15</v>
      </c>
      <c r="D1494" s="14">
        <f>IFERROR(__xludf.DUMMYFUNCTION("GOOGLEFINANCE(A1494,""HIGH"")"),92.0)</f>
        <v>92</v>
      </c>
      <c r="E1494" s="14">
        <f>IFERROR(__xludf.DUMMYFUNCTION("GOOGLEFINANCE(A1494,""LOW"")"),89.0)</f>
        <v>89</v>
      </c>
      <c r="F1494" s="15" t="str">
        <f t="shared" si="8"/>
        <v/>
      </c>
      <c r="G1494" s="16">
        <f>IFERROR(__xludf.DUMMYFUNCTION("GOOGLEFINANCE(A1494,""CLOSEYEST"")"),91.96)</f>
        <v>91.96</v>
      </c>
      <c r="H1494" s="17" t="str">
        <f t="shared" si="14"/>
        <v>GAP DOWN</v>
      </c>
      <c r="I1494" s="18">
        <f t="shared" si="9"/>
        <v>90.98666667</v>
      </c>
      <c r="J1494" s="19">
        <f t="shared" si="10"/>
        <v>92.97333333</v>
      </c>
      <c r="K1494" s="19"/>
      <c r="L1494" s="19">
        <f t="shared" si="11"/>
        <v>89.97333333</v>
      </c>
      <c r="M1494" s="19">
        <f t="shared" si="12"/>
        <v>93.98666667</v>
      </c>
      <c r="N1494" s="19">
        <f t="shared" si="13"/>
        <v>87.98666667</v>
      </c>
    </row>
    <row r="1495" ht="24.75" customHeight="1">
      <c r="A1495" s="21" t="s">
        <v>1458</v>
      </c>
      <c r="B1495" s="13">
        <f>IFERROR(__xludf.DUMMYFUNCTION("GOOGLEFINANCE(A1495,""PRICE"")"),95.9)</f>
        <v>95.9</v>
      </c>
      <c r="C1495" s="14">
        <f>IFERROR(__xludf.DUMMYFUNCTION("GOOGLEFINANCE(A1495,""PRICEOPEN"")"),94.95)</f>
        <v>94.95</v>
      </c>
      <c r="D1495" s="14">
        <f>IFERROR(__xludf.DUMMYFUNCTION("GOOGLEFINANCE(A1495,""HIGH"")"),96.0)</f>
        <v>96</v>
      </c>
      <c r="E1495" s="14">
        <f>IFERROR(__xludf.DUMMYFUNCTION("GOOGLEFINANCE(A1495,""LOW"")"),92.55)</f>
        <v>92.55</v>
      </c>
      <c r="F1495" s="15" t="str">
        <f t="shared" si="8"/>
        <v/>
      </c>
      <c r="G1495" s="16">
        <f>IFERROR(__xludf.DUMMYFUNCTION("GOOGLEFINANCE(A1495,""CLOSEYEST"")"),94.62)</f>
        <v>94.62</v>
      </c>
      <c r="H1495" s="17" t="str">
        <f t="shared" si="14"/>
        <v/>
      </c>
      <c r="I1495" s="18">
        <f t="shared" si="9"/>
        <v>94.39</v>
      </c>
      <c r="J1495" s="19">
        <f t="shared" si="10"/>
        <v>96.23</v>
      </c>
      <c r="K1495" s="19"/>
      <c r="L1495" s="19">
        <f t="shared" si="11"/>
        <v>92.78</v>
      </c>
      <c r="M1495" s="19">
        <f t="shared" si="12"/>
        <v>97.84</v>
      </c>
      <c r="N1495" s="19">
        <f t="shared" si="13"/>
        <v>90.94</v>
      </c>
    </row>
    <row r="1496" ht="24.75" customHeight="1">
      <c r="A1496" s="21" t="s">
        <v>1459</v>
      </c>
      <c r="B1496" s="13">
        <f>IFERROR(__xludf.DUMMYFUNCTION("GOOGLEFINANCE(A1496,""PRICE"")"),110.92)</f>
        <v>110.92</v>
      </c>
      <c r="C1496" s="14">
        <f>IFERROR(__xludf.DUMMYFUNCTION("GOOGLEFINANCE(A1496,""PRICEOPEN"")"),106.0)</f>
        <v>106</v>
      </c>
      <c r="D1496" s="14">
        <f>IFERROR(__xludf.DUMMYFUNCTION("GOOGLEFINANCE(A1496,""HIGH"")"),110.92)</f>
        <v>110.92</v>
      </c>
      <c r="E1496" s="14">
        <f>IFERROR(__xludf.DUMMYFUNCTION("GOOGLEFINANCE(A1496,""LOW"")"),106.0)</f>
        <v>106</v>
      </c>
      <c r="F1496" s="15" t="str">
        <f t="shared" si="8"/>
        <v>BUY</v>
      </c>
      <c r="G1496" s="16">
        <f>IFERROR(__xludf.DUMMYFUNCTION("GOOGLEFINANCE(A1496,""CLOSEYEST"")"),105.64)</f>
        <v>105.64</v>
      </c>
      <c r="H1496" s="17" t="str">
        <f t="shared" si="14"/>
        <v/>
      </c>
      <c r="I1496" s="18">
        <f t="shared" si="9"/>
        <v>107.52</v>
      </c>
      <c r="J1496" s="19">
        <f t="shared" si="10"/>
        <v>109.04</v>
      </c>
      <c r="K1496" s="19"/>
      <c r="L1496" s="19">
        <f t="shared" si="11"/>
        <v>104.12</v>
      </c>
      <c r="M1496" s="19">
        <f t="shared" si="12"/>
        <v>112.44</v>
      </c>
      <c r="N1496" s="19">
        <f t="shared" si="13"/>
        <v>102.6</v>
      </c>
    </row>
    <row r="1497" ht="24.75" customHeight="1">
      <c r="A1497" s="21" t="s">
        <v>1460</v>
      </c>
      <c r="B1497" s="13">
        <f>IFERROR(__xludf.DUMMYFUNCTION("GOOGLEFINANCE(A1497,""PRICE"")"),34.45)</f>
        <v>34.45</v>
      </c>
      <c r="C1497" s="14">
        <f>IFERROR(__xludf.DUMMYFUNCTION("GOOGLEFINANCE(A1497,""PRICEOPEN"")"),34.7)</f>
        <v>34.7</v>
      </c>
      <c r="D1497" s="14">
        <f>IFERROR(__xludf.DUMMYFUNCTION("GOOGLEFINANCE(A1497,""HIGH"")"),35.77)</f>
        <v>35.77</v>
      </c>
      <c r="E1497" s="14">
        <f>IFERROR(__xludf.DUMMYFUNCTION("GOOGLEFINANCE(A1497,""LOW"")"),33.75)</f>
        <v>33.75</v>
      </c>
      <c r="F1497" s="15" t="str">
        <f t="shared" si="8"/>
        <v/>
      </c>
      <c r="G1497" s="16">
        <f>IFERROR(__xludf.DUMMYFUNCTION("GOOGLEFINANCE(A1497,""CLOSEYEST"")"),35.06)</f>
        <v>35.06</v>
      </c>
      <c r="H1497" s="17" t="str">
        <f t="shared" si="14"/>
        <v>GAP DOWN</v>
      </c>
      <c r="I1497" s="18">
        <f t="shared" si="9"/>
        <v>34.86</v>
      </c>
      <c r="J1497" s="19">
        <f t="shared" si="10"/>
        <v>35.97</v>
      </c>
      <c r="K1497" s="19"/>
      <c r="L1497" s="19">
        <f t="shared" si="11"/>
        <v>33.95</v>
      </c>
      <c r="M1497" s="19">
        <f t="shared" si="12"/>
        <v>36.88</v>
      </c>
      <c r="N1497" s="19">
        <f t="shared" si="13"/>
        <v>32.84</v>
      </c>
    </row>
    <row r="1498" ht="24.75" customHeight="1">
      <c r="A1498" s="21" t="s">
        <v>1461</v>
      </c>
      <c r="B1498" s="13">
        <f>IFERROR(__xludf.DUMMYFUNCTION("GOOGLEFINANCE(A1498,""PRICE"")"),127.51)</f>
        <v>127.51</v>
      </c>
      <c r="C1498" s="14">
        <f>IFERROR(__xludf.DUMMYFUNCTION("GOOGLEFINANCE(A1498,""PRICEOPEN"")"),128.8)</f>
        <v>128.8</v>
      </c>
      <c r="D1498" s="14">
        <f>IFERROR(__xludf.DUMMYFUNCTION("GOOGLEFINANCE(A1498,""HIGH"")"),130.09)</f>
        <v>130.09</v>
      </c>
      <c r="E1498" s="14">
        <f>IFERROR(__xludf.DUMMYFUNCTION("GOOGLEFINANCE(A1498,""LOW"")"),126.52)</f>
        <v>126.52</v>
      </c>
      <c r="F1498" s="15" t="str">
        <f t="shared" si="8"/>
        <v/>
      </c>
      <c r="G1498" s="16">
        <f>IFERROR(__xludf.DUMMYFUNCTION("GOOGLEFINANCE(A1498,""CLOSEYEST"")"),127.32)</f>
        <v>127.32</v>
      </c>
      <c r="H1498" s="17" t="str">
        <f t="shared" si="14"/>
        <v>GAP UP</v>
      </c>
      <c r="I1498" s="18">
        <f t="shared" si="9"/>
        <v>127.9766667</v>
      </c>
      <c r="J1498" s="19">
        <f t="shared" si="10"/>
        <v>129.4333333</v>
      </c>
      <c r="K1498" s="19"/>
      <c r="L1498" s="19">
        <f t="shared" si="11"/>
        <v>125.8633333</v>
      </c>
      <c r="M1498" s="19">
        <f t="shared" si="12"/>
        <v>131.5466667</v>
      </c>
      <c r="N1498" s="19">
        <f t="shared" si="13"/>
        <v>124.4066667</v>
      </c>
    </row>
    <row r="1499" ht="24.75" customHeight="1">
      <c r="A1499" s="21" t="s">
        <v>1462</v>
      </c>
      <c r="B1499" s="13">
        <f>IFERROR(__xludf.DUMMYFUNCTION("GOOGLEFINANCE(A1499,""PRICE"")"),156.05)</f>
        <v>156.05</v>
      </c>
      <c r="C1499" s="14">
        <f>IFERROR(__xludf.DUMMYFUNCTION("GOOGLEFINANCE(A1499,""PRICEOPEN"")"),156.0)</f>
        <v>156</v>
      </c>
      <c r="D1499" s="14">
        <f>IFERROR(__xludf.DUMMYFUNCTION("GOOGLEFINANCE(A1499,""HIGH"")"),160.0)</f>
        <v>160</v>
      </c>
      <c r="E1499" s="14">
        <f>IFERROR(__xludf.DUMMYFUNCTION("GOOGLEFINANCE(A1499,""LOW"")"),152.11)</f>
        <v>152.11</v>
      </c>
      <c r="F1499" s="15" t="str">
        <f t="shared" si="8"/>
        <v/>
      </c>
      <c r="G1499" s="16">
        <f>IFERROR(__xludf.DUMMYFUNCTION("GOOGLEFINANCE(A1499,""CLOSEYEST"")"),153.31)</f>
        <v>153.31</v>
      </c>
      <c r="H1499" s="17" t="str">
        <f t="shared" si="14"/>
        <v>GAP UP</v>
      </c>
      <c r="I1499" s="18">
        <f t="shared" si="9"/>
        <v>155.14</v>
      </c>
      <c r="J1499" s="19">
        <f t="shared" si="10"/>
        <v>158.17</v>
      </c>
      <c r="K1499" s="19"/>
      <c r="L1499" s="19">
        <f t="shared" si="11"/>
        <v>150.28</v>
      </c>
      <c r="M1499" s="19">
        <f t="shared" si="12"/>
        <v>163.03</v>
      </c>
      <c r="N1499" s="19">
        <f t="shared" si="13"/>
        <v>147.25</v>
      </c>
    </row>
    <row r="1500" ht="24.75" customHeight="1">
      <c r="A1500" s="21" t="s">
        <v>1463</v>
      </c>
      <c r="B1500" s="13">
        <f>IFERROR(__xludf.DUMMYFUNCTION("GOOGLEFINANCE(A1500,""PRICE"")"),72.9)</f>
        <v>72.9</v>
      </c>
      <c r="C1500" s="14">
        <f>IFERROR(__xludf.DUMMYFUNCTION("GOOGLEFINANCE(A1500,""PRICEOPEN"")"),73.05)</f>
        <v>73.05</v>
      </c>
      <c r="D1500" s="14">
        <f>IFERROR(__xludf.DUMMYFUNCTION("GOOGLEFINANCE(A1500,""HIGH"")"),74.4)</f>
        <v>74.4</v>
      </c>
      <c r="E1500" s="14">
        <f>IFERROR(__xludf.DUMMYFUNCTION("GOOGLEFINANCE(A1500,""LOW"")"),72.01)</f>
        <v>72.01</v>
      </c>
      <c r="F1500" s="15" t="str">
        <f t="shared" si="8"/>
        <v/>
      </c>
      <c r="G1500" s="16">
        <f>IFERROR(__xludf.DUMMYFUNCTION("GOOGLEFINANCE(A1500,""CLOSEYEST"")"),73.86)</f>
        <v>73.86</v>
      </c>
      <c r="H1500" s="17" t="str">
        <f t="shared" si="14"/>
        <v>GAP DOWN</v>
      </c>
      <c r="I1500" s="18">
        <f t="shared" si="9"/>
        <v>73.42333333</v>
      </c>
      <c r="J1500" s="19">
        <f t="shared" si="10"/>
        <v>74.83666667</v>
      </c>
      <c r="K1500" s="19"/>
      <c r="L1500" s="19">
        <f t="shared" si="11"/>
        <v>72.44666667</v>
      </c>
      <c r="M1500" s="19">
        <f t="shared" si="12"/>
        <v>75.81333333</v>
      </c>
      <c r="N1500" s="19">
        <f t="shared" si="13"/>
        <v>71.03333333</v>
      </c>
    </row>
    <row r="1501" ht="24.75" customHeight="1">
      <c r="A1501" s="21" t="s">
        <v>1464</v>
      </c>
      <c r="B1501" s="13">
        <f>IFERROR(__xludf.DUMMYFUNCTION("GOOGLEFINANCE(A1501,""PRICE"")"),756.0)</f>
        <v>756</v>
      </c>
      <c r="C1501" s="14">
        <f>IFERROR(__xludf.DUMMYFUNCTION("GOOGLEFINANCE(A1501,""PRICEOPEN"")"),755.4)</f>
        <v>755.4</v>
      </c>
      <c r="D1501" s="14">
        <f>IFERROR(__xludf.DUMMYFUNCTION("GOOGLEFINANCE(A1501,""HIGH"")"),764.9)</f>
        <v>764.9</v>
      </c>
      <c r="E1501" s="14">
        <f>IFERROR(__xludf.DUMMYFUNCTION("GOOGLEFINANCE(A1501,""LOW"")"),751.45)</f>
        <v>751.45</v>
      </c>
      <c r="F1501" s="15" t="str">
        <f t="shared" si="8"/>
        <v/>
      </c>
      <c r="G1501" s="16">
        <f>IFERROR(__xludf.DUMMYFUNCTION("GOOGLEFINANCE(A1501,""CLOSEYEST"")"),751.45)</f>
        <v>751.45</v>
      </c>
      <c r="H1501" s="17" t="str">
        <f t="shared" si="14"/>
        <v/>
      </c>
      <c r="I1501" s="18">
        <f t="shared" si="9"/>
        <v>755.9333333</v>
      </c>
      <c r="J1501" s="19">
        <f t="shared" si="10"/>
        <v>760.4166667</v>
      </c>
      <c r="K1501" s="19"/>
      <c r="L1501" s="19">
        <f t="shared" si="11"/>
        <v>746.9666667</v>
      </c>
      <c r="M1501" s="19">
        <f t="shared" si="12"/>
        <v>769.3833333</v>
      </c>
      <c r="N1501" s="19">
        <f t="shared" si="13"/>
        <v>742.4833333</v>
      </c>
    </row>
    <row r="1502" ht="24.75" customHeight="1">
      <c r="A1502" s="21" t="s">
        <v>1465</v>
      </c>
      <c r="B1502" s="13">
        <f>IFERROR(__xludf.DUMMYFUNCTION("GOOGLEFINANCE(A1502,""PRICE"")"),325.0)</f>
        <v>325</v>
      </c>
      <c r="C1502" s="14">
        <f>IFERROR(__xludf.DUMMYFUNCTION("GOOGLEFINANCE(A1502,""PRICEOPEN"")"),324.4)</f>
        <v>324.4</v>
      </c>
      <c r="D1502" s="14">
        <f>IFERROR(__xludf.DUMMYFUNCTION("GOOGLEFINANCE(A1502,""HIGH"")"),330.0)</f>
        <v>330</v>
      </c>
      <c r="E1502" s="14">
        <f>IFERROR(__xludf.DUMMYFUNCTION("GOOGLEFINANCE(A1502,""LOW"")"),320.25)</f>
        <v>320.25</v>
      </c>
      <c r="F1502" s="15" t="str">
        <f t="shared" si="8"/>
        <v/>
      </c>
      <c r="G1502" s="16">
        <f>IFERROR(__xludf.DUMMYFUNCTION("GOOGLEFINANCE(A1502,""CLOSEYEST"")"),327.25)</f>
        <v>327.25</v>
      </c>
      <c r="H1502" s="17" t="str">
        <f t="shared" si="14"/>
        <v/>
      </c>
      <c r="I1502" s="18">
        <f t="shared" si="9"/>
        <v>325.8333333</v>
      </c>
      <c r="J1502" s="19">
        <f t="shared" si="10"/>
        <v>331.4166667</v>
      </c>
      <c r="K1502" s="19"/>
      <c r="L1502" s="19">
        <f t="shared" si="11"/>
        <v>321.6666667</v>
      </c>
      <c r="M1502" s="19">
        <f t="shared" si="12"/>
        <v>335.5833333</v>
      </c>
      <c r="N1502" s="19">
        <f t="shared" si="13"/>
        <v>316.0833333</v>
      </c>
    </row>
    <row r="1503" ht="24.75" customHeight="1">
      <c r="A1503" s="21" t="s">
        <v>1466</v>
      </c>
      <c r="B1503" s="13">
        <f>IFERROR(__xludf.DUMMYFUNCTION("GOOGLEFINANCE(A1503,""PRICE"")"),21.11)</f>
        <v>21.11</v>
      </c>
      <c r="C1503" s="14">
        <f>IFERROR(__xludf.DUMMYFUNCTION("GOOGLEFINANCE(A1503,""PRICEOPEN"")"),21.0)</f>
        <v>21</v>
      </c>
      <c r="D1503" s="14">
        <f>IFERROR(__xludf.DUMMYFUNCTION("GOOGLEFINANCE(A1503,""HIGH"")"),21.49)</f>
        <v>21.49</v>
      </c>
      <c r="E1503" s="14">
        <f>IFERROR(__xludf.DUMMYFUNCTION("GOOGLEFINANCE(A1503,""LOW"")"),20.36)</f>
        <v>20.36</v>
      </c>
      <c r="F1503" s="15" t="str">
        <f t="shared" si="8"/>
        <v/>
      </c>
      <c r="G1503" s="16">
        <f>IFERROR(__xludf.DUMMYFUNCTION("GOOGLEFINANCE(A1503,""CLOSEYEST"")"),20.5)</f>
        <v>20.5</v>
      </c>
      <c r="H1503" s="17" t="str">
        <f t="shared" si="14"/>
        <v>GAP UP</v>
      </c>
      <c r="I1503" s="18">
        <f t="shared" si="9"/>
        <v>20.78333333</v>
      </c>
      <c r="J1503" s="19">
        <f t="shared" si="10"/>
        <v>21.20666667</v>
      </c>
      <c r="K1503" s="19"/>
      <c r="L1503" s="19">
        <f t="shared" si="11"/>
        <v>20.07666667</v>
      </c>
      <c r="M1503" s="19">
        <f t="shared" si="12"/>
        <v>21.91333333</v>
      </c>
      <c r="N1503" s="19">
        <f t="shared" si="13"/>
        <v>19.65333333</v>
      </c>
    </row>
    <row r="1504" ht="24.75" customHeight="1">
      <c r="A1504" s="21" t="s">
        <v>1467</v>
      </c>
      <c r="B1504" s="13">
        <f>IFERROR(__xludf.DUMMYFUNCTION("GOOGLEFINANCE(A1504,""PRICE"")"),75.5)</f>
        <v>75.5</v>
      </c>
      <c r="C1504" s="14">
        <f>IFERROR(__xludf.DUMMYFUNCTION("GOOGLEFINANCE(A1504,""PRICEOPEN"")"),74.16)</f>
        <v>74.16</v>
      </c>
      <c r="D1504" s="14">
        <f>IFERROR(__xludf.DUMMYFUNCTION("GOOGLEFINANCE(A1504,""HIGH"")"),75.5)</f>
        <v>75.5</v>
      </c>
      <c r="E1504" s="14">
        <f>IFERROR(__xludf.DUMMYFUNCTION("GOOGLEFINANCE(A1504,""LOW"")"),74.01)</f>
        <v>74.01</v>
      </c>
      <c r="F1504" s="15" t="str">
        <f t="shared" si="8"/>
        <v/>
      </c>
      <c r="G1504" s="16">
        <f>IFERROR(__xludf.DUMMYFUNCTION("GOOGLEFINANCE(A1504,""CLOSEYEST"")"),74.18)</f>
        <v>74.18</v>
      </c>
      <c r="H1504" s="17" t="str">
        <f t="shared" si="14"/>
        <v/>
      </c>
      <c r="I1504" s="18">
        <f t="shared" si="9"/>
        <v>74.56333333</v>
      </c>
      <c r="J1504" s="19">
        <f t="shared" si="10"/>
        <v>75.11666667</v>
      </c>
      <c r="K1504" s="19"/>
      <c r="L1504" s="19">
        <f t="shared" si="11"/>
        <v>73.62666667</v>
      </c>
      <c r="M1504" s="19">
        <f t="shared" si="12"/>
        <v>76.05333333</v>
      </c>
      <c r="N1504" s="19">
        <f t="shared" si="13"/>
        <v>73.07333333</v>
      </c>
    </row>
    <row r="1505" ht="24.75" customHeight="1">
      <c r="A1505" s="21" t="s">
        <v>1468</v>
      </c>
      <c r="B1505" s="13">
        <f>IFERROR(__xludf.DUMMYFUNCTION("GOOGLEFINANCE(A1505,""PRICE"")"),39.0)</f>
        <v>39</v>
      </c>
      <c r="C1505" s="14">
        <f>IFERROR(__xludf.DUMMYFUNCTION("GOOGLEFINANCE(A1505,""PRICEOPEN"")"),40.38)</f>
        <v>40.38</v>
      </c>
      <c r="D1505" s="14">
        <f>IFERROR(__xludf.DUMMYFUNCTION("GOOGLEFINANCE(A1505,""HIGH"")"),41.99)</f>
        <v>41.99</v>
      </c>
      <c r="E1505" s="14">
        <f>IFERROR(__xludf.DUMMYFUNCTION("GOOGLEFINANCE(A1505,""LOW"")"),38.26)</f>
        <v>38.26</v>
      </c>
      <c r="F1505" s="15" t="str">
        <f t="shared" si="8"/>
        <v/>
      </c>
      <c r="G1505" s="16">
        <f>IFERROR(__xludf.DUMMYFUNCTION("GOOGLEFINANCE(A1505,""CLOSEYEST"")"),38.69)</f>
        <v>38.69</v>
      </c>
      <c r="H1505" s="17" t="str">
        <f t="shared" si="14"/>
        <v>GAP UP</v>
      </c>
      <c r="I1505" s="18">
        <f t="shared" si="9"/>
        <v>39.64666667</v>
      </c>
      <c r="J1505" s="19">
        <f t="shared" si="10"/>
        <v>41.03333333</v>
      </c>
      <c r="K1505" s="19"/>
      <c r="L1505" s="19">
        <f t="shared" si="11"/>
        <v>37.30333333</v>
      </c>
      <c r="M1505" s="19">
        <f t="shared" si="12"/>
        <v>43.37666667</v>
      </c>
      <c r="N1505" s="19">
        <f t="shared" si="13"/>
        <v>35.91666667</v>
      </c>
    </row>
    <row r="1506" ht="24.75" customHeight="1">
      <c r="A1506" s="21" t="s">
        <v>1469</v>
      </c>
      <c r="B1506" s="13">
        <f>IFERROR(__xludf.DUMMYFUNCTION("GOOGLEFINANCE(A1506,""PRICE"")"),63.4)</f>
        <v>63.4</v>
      </c>
      <c r="C1506" s="14">
        <f>IFERROR(__xludf.DUMMYFUNCTION("GOOGLEFINANCE(A1506,""PRICEOPEN"")"),62.01)</f>
        <v>62.01</v>
      </c>
      <c r="D1506" s="14">
        <f>IFERROR(__xludf.DUMMYFUNCTION("GOOGLEFINANCE(A1506,""HIGH"")"),63.83)</f>
        <v>63.83</v>
      </c>
      <c r="E1506" s="14">
        <f>IFERROR(__xludf.DUMMYFUNCTION("GOOGLEFINANCE(A1506,""LOW"")"),62.0)</f>
        <v>62</v>
      </c>
      <c r="F1506" s="15" t="str">
        <f t="shared" si="8"/>
        <v/>
      </c>
      <c r="G1506" s="16">
        <f>IFERROR(__xludf.DUMMYFUNCTION("GOOGLEFINANCE(A1506,""CLOSEYEST"")"),63.1)</f>
        <v>63.1</v>
      </c>
      <c r="H1506" s="17" t="str">
        <f t="shared" si="14"/>
        <v>GAP DOWN</v>
      </c>
      <c r="I1506" s="18">
        <f t="shared" si="9"/>
        <v>62.97666667</v>
      </c>
      <c r="J1506" s="19">
        <f t="shared" si="10"/>
        <v>63.95333333</v>
      </c>
      <c r="K1506" s="19"/>
      <c r="L1506" s="19">
        <f t="shared" si="11"/>
        <v>62.12333333</v>
      </c>
      <c r="M1506" s="19">
        <f t="shared" si="12"/>
        <v>64.80666667</v>
      </c>
      <c r="N1506" s="19">
        <f t="shared" si="13"/>
        <v>61.14666667</v>
      </c>
    </row>
    <row r="1507" ht="24.75" customHeight="1">
      <c r="A1507" s="21" t="s">
        <v>1470</v>
      </c>
      <c r="B1507" s="13">
        <f>IFERROR(__xludf.DUMMYFUNCTION("GOOGLEFINANCE(A1507,""PRICE"")"),1011.0)</f>
        <v>1011</v>
      </c>
      <c r="C1507" s="14">
        <f>IFERROR(__xludf.DUMMYFUNCTION("GOOGLEFINANCE(A1507,""PRICEOPEN"")"),1065.3)</f>
        <v>1065.3</v>
      </c>
      <c r="D1507" s="14">
        <f>IFERROR(__xludf.DUMMYFUNCTION("GOOGLEFINANCE(A1507,""HIGH"")"),1099.4)</f>
        <v>1099.4</v>
      </c>
      <c r="E1507" s="14">
        <f>IFERROR(__xludf.DUMMYFUNCTION("GOOGLEFINANCE(A1507,""LOW"")"),1006.1)</f>
        <v>1006.1</v>
      </c>
      <c r="F1507" s="15" t="str">
        <f t="shared" si="8"/>
        <v/>
      </c>
      <c r="G1507" s="16">
        <f>IFERROR(__xludf.DUMMYFUNCTION("GOOGLEFINANCE(A1507,""CLOSEYEST"")"),1085.0)</f>
        <v>1085</v>
      </c>
      <c r="H1507" s="17" t="str">
        <f t="shared" si="14"/>
        <v>GAP DOWN</v>
      </c>
      <c r="I1507" s="18">
        <f t="shared" si="9"/>
        <v>1063.5</v>
      </c>
      <c r="J1507" s="19">
        <f t="shared" si="10"/>
        <v>1120.9</v>
      </c>
      <c r="K1507" s="19"/>
      <c r="L1507" s="19">
        <f t="shared" si="11"/>
        <v>1027.6</v>
      </c>
      <c r="M1507" s="19">
        <f t="shared" si="12"/>
        <v>1156.8</v>
      </c>
      <c r="N1507" s="19">
        <f t="shared" si="13"/>
        <v>970.2</v>
      </c>
    </row>
    <row r="1508" ht="24.75" customHeight="1">
      <c r="A1508" s="21" t="s">
        <v>1471</v>
      </c>
      <c r="B1508" s="13">
        <f>IFERROR(__xludf.DUMMYFUNCTION("GOOGLEFINANCE(A1508,""PRICE"")"),42.49)</f>
        <v>42.49</v>
      </c>
      <c r="C1508" s="14">
        <f>IFERROR(__xludf.DUMMYFUNCTION("GOOGLEFINANCE(A1508,""PRICEOPEN"")"),42.85)</f>
        <v>42.85</v>
      </c>
      <c r="D1508" s="14">
        <f>IFERROR(__xludf.DUMMYFUNCTION("GOOGLEFINANCE(A1508,""HIGH"")"),42.85)</f>
        <v>42.85</v>
      </c>
      <c r="E1508" s="14">
        <f>IFERROR(__xludf.DUMMYFUNCTION("GOOGLEFINANCE(A1508,""LOW"")"),41.5)</f>
        <v>41.5</v>
      </c>
      <c r="F1508" s="15" t="str">
        <f t="shared" si="8"/>
        <v>SELL</v>
      </c>
      <c r="G1508" s="16">
        <f>IFERROR(__xludf.DUMMYFUNCTION("GOOGLEFINANCE(A1508,""CLOSEYEST"")"),42.46)</f>
        <v>42.46</v>
      </c>
      <c r="H1508" s="17" t="str">
        <f t="shared" si="14"/>
        <v/>
      </c>
      <c r="I1508" s="18">
        <f t="shared" si="9"/>
        <v>42.27</v>
      </c>
      <c r="J1508" s="19">
        <f t="shared" si="10"/>
        <v>43.04</v>
      </c>
      <c r="K1508" s="19"/>
      <c r="L1508" s="19">
        <f t="shared" si="11"/>
        <v>41.69</v>
      </c>
      <c r="M1508" s="19">
        <f t="shared" si="12"/>
        <v>43.62</v>
      </c>
      <c r="N1508" s="19">
        <f t="shared" si="13"/>
        <v>40.92</v>
      </c>
    </row>
    <row r="1509" ht="24.75" customHeight="1">
      <c r="A1509" s="21" t="s">
        <v>1472</v>
      </c>
      <c r="B1509" s="13" t="str">
        <f>IFERROR(__xludf.DUMMYFUNCTION("GOOGLEFINANCE(A1509,""PRICE"")"),"#N/A")</f>
        <v>#N/A</v>
      </c>
      <c r="C1509" s="14" t="str">
        <f>IFERROR(__xludf.DUMMYFUNCTION("GOOGLEFINANCE(A1509,""PRICEOPEN"")"),"#N/A")</f>
        <v>#N/A</v>
      </c>
      <c r="D1509" s="14" t="str">
        <f>IFERROR(__xludf.DUMMYFUNCTION("GOOGLEFINANCE(A1509,""HIGH"")"),"#N/A")</f>
        <v>#N/A</v>
      </c>
      <c r="E1509" s="14" t="str">
        <f>IFERROR(__xludf.DUMMYFUNCTION("GOOGLEFINANCE(A1509,""LOW"")"),"#N/A")</f>
        <v>#N/A</v>
      </c>
      <c r="F1509" s="15" t="str">
        <f t="shared" si="8"/>
        <v>#N/A</v>
      </c>
      <c r="G1509" s="16" t="str">
        <f>IFERROR(__xludf.DUMMYFUNCTION("GOOGLEFINANCE(A1509,""CLOSEYEST"")"),"#N/A")</f>
        <v>#N/A</v>
      </c>
      <c r="H1509" s="17" t="str">
        <f t="shared" si="14"/>
        <v>#N/A</v>
      </c>
      <c r="I1509" s="18" t="str">
        <f t="shared" si="9"/>
        <v>#N/A</v>
      </c>
      <c r="J1509" s="19" t="str">
        <f t="shared" si="10"/>
        <v>#N/A</v>
      </c>
      <c r="K1509" s="19"/>
      <c r="L1509" s="19" t="str">
        <f t="shared" si="11"/>
        <v>#N/A</v>
      </c>
      <c r="M1509" s="19" t="str">
        <f t="shared" si="12"/>
        <v>#N/A</v>
      </c>
      <c r="N1509" s="19" t="str">
        <f t="shared" si="13"/>
        <v>#N/A</v>
      </c>
    </row>
    <row r="1510" ht="24.75" customHeight="1">
      <c r="A1510" s="21" t="s">
        <v>1473</v>
      </c>
      <c r="B1510" s="13">
        <f>IFERROR(__xludf.DUMMYFUNCTION("GOOGLEFINANCE(A1510,""PRICE"")"),45.55)</f>
        <v>45.55</v>
      </c>
      <c r="C1510" s="14">
        <f>IFERROR(__xludf.DUMMYFUNCTION("GOOGLEFINANCE(A1510,""PRICEOPEN"")"),48.79)</f>
        <v>48.79</v>
      </c>
      <c r="D1510" s="14">
        <f>IFERROR(__xludf.DUMMYFUNCTION("GOOGLEFINANCE(A1510,""HIGH"")"),48.79)</f>
        <v>48.79</v>
      </c>
      <c r="E1510" s="14">
        <f>IFERROR(__xludf.DUMMYFUNCTION("GOOGLEFINANCE(A1510,""LOW"")"),45.55)</f>
        <v>45.55</v>
      </c>
      <c r="F1510" s="15" t="str">
        <f t="shared" si="8"/>
        <v>SELL</v>
      </c>
      <c r="G1510" s="16">
        <f>IFERROR(__xludf.DUMMYFUNCTION("GOOGLEFINANCE(A1510,""CLOSEYEST"")"),46.98)</f>
        <v>46.98</v>
      </c>
      <c r="H1510" s="17" t="str">
        <f t="shared" si="14"/>
        <v>GAP UP</v>
      </c>
      <c r="I1510" s="18">
        <f t="shared" si="9"/>
        <v>47.10666667</v>
      </c>
      <c r="J1510" s="19">
        <f t="shared" si="10"/>
        <v>48.66333333</v>
      </c>
      <c r="K1510" s="19"/>
      <c r="L1510" s="19">
        <f t="shared" si="11"/>
        <v>45.42333333</v>
      </c>
      <c r="M1510" s="19">
        <f t="shared" si="12"/>
        <v>50.34666667</v>
      </c>
      <c r="N1510" s="19">
        <f t="shared" si="13"/>
        <v>43.86666667</v>
      </c>
    </row>
    <row r="1511" ht="24.75" customHeight="1">
      <c r="A1511" s="21" t="s">
        <v>1474</v>
      </c>
      <c r="B1511" s="13" t="str">
        <f>IFERROR(__xludf.DUMMYFUNCTION("GOOGLEFINANCE(A1511,""PRICE"")"),"#N/A")</f>
        <v>#N/A</v>
      </c>
      <c r="C1511" s="14" t="str">
        <f>IFERROR(__xludf.DUMMYFUNCTION("GOOGLEFINANCE(A1511,""PRICEOPEN"")"),"#N/A")</f>
        <v>#N/A</v>
      </c>
      <c r="D1511" s="14" t="str">
        <f>IFERROR(__xludf.DUMMYFUNCTION("GOOGLEFINANCE(A1511,""HIGH"")"),"#N/A")</f>
        <v>#N/A</v>
      </c>
      <c r="E1511" s="14" t="str">
        <f>IFERROR(__xludf.DUMMYFUNCTION("GOOGLEFINANCE(A1511,""LOW"")"),"#N/A")</f>
        <v>#N/A</v>
      </c>
      <c r="F1511" s="15" t="str">
        <f t="shared" si="8"/>
        <v>#N/A</v>
      </c>
      <c r="G1511" s="16" t="str">
        <f>IFERROR(__xludf.DUMMYFUNCTION("GOOGLEFINANCE(A1511,""CLOSEYEST"")"),"#N/A")</f>
        <v>#N/A</v>
      </c>
      <c r="H1511" s="17" t="str">
        <f t="shared" si="14"/>
        <v>#N/A</v>
      </c>
      <c r="I1511" s="18" t="str">
        <f t="shared" si="9"/>
        <v>#N/A</v>
      </c>
      <c r="J1511" s="19" t="str">
        <f t="shared" si="10"/>
        <v>#N/A</v>
      </c>
      <c r="K1511" s="19"/>
      <c r="L1511" s="19" t="str">
        <f t="shared" si="11"/>
        <v>#N/A</v>
      </c>
      <c r="M1511" s="19" t="str">
        <f t="shared" si="12"/>
        <v>#N/A</v>
      </c>
      <c r="N1511" s="19" t="str">
        <f t="shared" si="13"/>
        <v>#N/A</v>
      </c>
    </row>
    <row r="1512" ht="24.75" customHeight="1">
      <c r="A1512" s="21" t="s">
        <v>1475</v>
      </c>
      <c r="B1512" s="13">
        <f>IFERROR(__xludf.DUMMYFUNCTION("GOOGLEFINANCE(A1512,""PRICE"")"),55.6)</f>
        <v>55.6</v>
      </c>
      <c r="C1512" s="14">
        <f>IFERROR(__xludf.DUMMYFUNCTION("GOOGLEFINANCE(A1512,""PRICEOPEN"")"),54.27)</f>
        <v>54.27</v>
      </c>
      <c r="D1512" s="14">
        <f>IFERROR(__xludf.DUMMYFUNCTION("GOOGLEFINANCE(A1512,""HIGH"")"),56.0)</f>
        <v>56</v>
      </c>
      <c r="E1512" s="14">
        <f>IFERROR(__xludf.DUMMYFUNCTION("GOOGLEFINANCE(A1512,""LOW"")"),53.99)</f>
        <v>53.99</v>
      </c>
      <c r="F1512" s="15" t="str">
        <f t="shared" si="8"/>
        <v/>
      </c>
      <c r="G1512" s="16">
        <f>IFERROR(__xludf.DUMMYFUNCTION("GOOGLEFINANCE(A1512,""CLOSEYEST"")"),54.27)</f>
        <v>54.27</v>
      </c>
      <c r="H1512" s="17" t="str">
        <f t="shared" si="14"/>
        <v/>
      </c>
      <c r="I1512" s="18">
        <f t="shared" si="9"/>
        <v>54.75333333</v>
      </c>
      <c r="J1512" s="19">
        <f t="shared" si="10"/>
        <v>55.51666667</v>
      </c>
      <c r="K1512" s="19"/>
      <c r="L1512" s="19">
        <f t="shared" si="11"/>
        <v>53.50666667</v>
      </c>
      <c r="M1512" s="19">
        <f t="shared" si="12"/>
        <v>56.76333333</v>
      </c>
      <c r="N1512" s="19">
        <f t="shared" si="13"/>
        <v>52.74333333</v>
      </c>
    </row>
    <row r="1513" ht="24.75" customHeight="1">
      <c r="A1513" s="21" t="s">
        <v>1476</v>
      </c>
      <c r="B1513" s="13">
        <f>IFERROR(__xludf.DUMMYFUNCTION("GOOGLEFINANCE(A1513,""PRICE"")"),41.1)</f>
        <v>41.1</v>
      </c>
      <c r="C1513" s="14">
        <f>IFERROR(__xludf.DUMMYFUNCTION("GOOGLEFINANCE(A1513,""PRICEOPEN"")"),41.5)</f>
        <v>41.5</v>
      </c>
      <c r="D1513" s="14">
        <f>IFERROR(__xludf.DUMMYFUNCTION("GOOGLEFINANCE(A1513,""HIGH"")"),42.4)</f>
        <v>42.4</v>
      </c>
      <c r="E1513" s="14">
        <f>IFERROR(__xludf.DUMMYFUNCTION("GOOGLEFINANCE(A1513,""LOW"")"),40.3)</f>
        <v>40.3</v>
      </c>
      <c r="F1513" s="15" t="str">
        <f t="shared" si="8"/>
        <v/>
      </c>
      <c r="G1513" s="16">
        <f>IFERROR(__xludf.DUMMYFUNCTION("GOOGLEFINANCE(A1513,""CLOSEYEST"")"),41.49)</f>
        <v>41.49</v>
      </c>
      <c r="H1513" s="17" t="str">
        <f t="shared" si="14"/>
        <v/>
      </c>
      <c r="I1513" s="18">
        <f t="shared" si="9"/>
        <v>41.39666667</v>
      </c>
      <c r="J1513" s="19">
        <f t="shared" si="10"/>
        <v>42.49333333</v>
      </c>
      <c r="K1513" s="19"/>
      <c r="L1513" s="19">
        <f t="shared" si="11"/>
        <v>40.39333333</v>
      </c>
      <c r="M1513" s="19">
        <f t="shared" si="12"/>
        <v>43.49666667</v>
      </c>
      <c r="N1513" s="19">
        <f t="shared" si="13"/>
        <v>39.29666667</v>
      </c>
    </row>
    <row r="1514" ht="24.75" customHeight="1">
      <c r="A1514" s="21" t="s">
        <v>1477</v>
      </c>
      <c r="B1514" s="13">
        <f>IFERROR(__xludf.DUMMYFUNCTION("GOOGLEFINANCE(A1514,""PRICE"")"),243.53)</f>
        <v>243.53</v>
      </c>
      <c r="C1514" s="14">
        <f>IFERROR(__xludf.DUMMYFUNCTION("GOOGLEFINANCE(A1514,""PRICEOPEN"")"),241.0)</f>
        <v>241</v>
      </c>
      <c r="D1514" s="14">
        <f>IFERROR(__xludf.DUMMYFUNCTION("GOOGLEFINANCE(A1514,""HIGH"")"),248.0)</f>
        <v>248</v>
      </c>
      <c r="E1514" s="14">
        <f>IFERROR(__xludf.DUMMYFUNCTION("GOOGLEFINANCE(A1514,""LOW"")"),240.22)</f>
        <v>240.22</v>
      </c>
      <c r="F1514" s="15" t="str">
        <f t="shared" si="8"/>
        <v/>
      </c>
      <c r="G1514" s="16">
        <f>IFERROR(__xludf.DUMMYFUNCTION("GOOGLEFINANCE(A1514,""CLOSEYEST"")"),239.25)</f>
        <v>239.25</v>
      </c>
      <c r="H1514" s="17" t="str">
        <f t="shared" si="14"/>
        <v/>
      </c>
      <c r="I1514" s="18">
        <f t="shared" si="9"/>
        <v>242.49</v>
      </c>
      <c r="J1514" s="19">
        <f t="shared" si="10"/>
        <v>244.76</v>
      </c>
      <c r="K1514" s="19"/>
      <c r="L1514" s="19">
        <f t="shared" si="11"/>
        <v>236.98</v>
      </c>
      <c r="M1514" s="19">
        <f t="shared" si="12"/>
        <v>250.27</v>
      </c>
      <c r="N1514" s="19">
        <f t="shared" si="13"/>
        <v>234.71</v>
      </c>
    </row>
    <row r="1515" ht="24.75" customHeight="1">
      <c r="A1515" s="21" t="s">
        <v>1478</v>
      </c>
      <c r="B1515" s="13">
        <f>IFERROR(__xludf.DUMMYFUNCTION("GOOGLEFINANCE(A1515,""PRICE"")"),6.43)</f>
        <v>6.43</v>
      </c>
      <c r="C1515" s="14">
        <f>IFERROR(__xludf.DUMMYFUNCTION("GOOGLEFINANCE(A1515,""PRICEOPEN"")"),6.25)</f>
        <v>6.25</v>
      </c>
      <c r="D1515" s="14">
        <f>IFERROR(__xludf.DUMMYFUNCTION("GOOGLEFINANCE(A1515,""HIGH"")"),6.49)</f>
        <v>6.49</v>
      </c>
      <c r="E1515" s="14">
        <f>IFERROR(__xludf.DUMMYFUNCTION("GOOGLEFINANCE(A1515,""LOW"")"),6.23)</f>
        <v>6.23</v>
      </c>
      <c r="F1515" s="15" t="str">
        <f t="shared" si="8"/>
        <v/>
      </c>
      <c r="G1515" s="16">
        <f>IFERROR(__xludf.DUMMYFUNCTION("GOOGLEFINANCE(A1515,""CLOSEYEST"")"),6.27)</f>
        <v>6.27</v>
      </c>
      <c r="H1515" s="17" t="str">
        <f t="shared" si="14"/>
        <v/>
      </c>
      <c r="I1515" s="18">
        <f t="shared" si="9"/>
        <v>6.33</v>
      </c>
      <c r="J1515" s="19">
        <f t="shared" si="10"/>
        <v>6.43</v>
      </c>
      <c r="K1515" s="19"/>
      <c r="L1515" s="19">
        <f t="shared" si="11"/>
        <v>6.17</v>
      </c>
      <c r="M1515" s="19">
        <f t="shared" si="12"/>
        <v>6.59</v>
      </c>
      <c r="N1515" s="19">
        <f t="shared" si="13"/>
        <v>6.07</v>
      </c>
    </row>
    <row r="1516" ht="24.75" customHeight="1">
      <c r="A1516" s="21" t="s">
        <v>1479</v>
      </c>
      <c r="B1516" s="13">
        <f>IFERROR(__xludf.DUMMYFUNCTION("GOOGLEFINANCE(A1516,""PRICE"")"),18.1)</f>
        <v>18.1</v>
      </c>
      <c r="C1516" s="14">
        <f>IFERROR(__xludf.DUMMYFUNCTION("GOOGLEFINANCE(A1516,""PRICEOPEN"")"),17.72)</f>
        <v>17.72</v>
      </c>
      <c r="D1516" s="14">
        <f>IFERROR(__xludf.DUMMYFUNCTION("GOOGLEFINANCE(A1516,""HIGH"")"),18.21)</f>
        <v>18.21</v>
      </c>
      <c r="E1516" s="14">
        <f>IFERROR(__xludf.DUMMYFUNCTION("GOOGLEFINANCE(A1516,""LOW"")"),17.53)</f>
        <v>17.53</v>
      </c>
      <c r="F1516" s="15" t="str">
        <f t="shared" si="8"/>
        <v/>
      </c>
      <c r="G1516" s="16">
        <f>IFERROR(__xludf.DUMMYFUNCTION("GOOGLEFINANCE(A1516,""CLOSEYEST"")"),17.55)</f>
        <v>17.55</v>
      </c>
      <c r="H1516" s="17" t="str">
        <f t="shared" si="14"/>
        <v/>
      </c>
      <c r="I1516" s="18">
        <f t="shared" si="9"/>
        <v>17.76333333</v>
      </c>
      <c r="J1516" s="19">
        <f t="shared" si="10"/>
        <v>17.99666667</v>
      </c>
      <c r="K1516" s="19"/>
      <c r="L1516" s="19">
        <f t="shared" si="11"/>
        <v>17.31666667</v>
      </c>
      <c r="M1516" s="19">
        <f t="shared" si="12"/>
        <v>18.44333333</v>
      </c>
      <c r="N1516" s="19">
        <f t="shared" si="13"/>
        <v>17.08333333</v>
      </c>
    </row>
    <row r="1517" ht="24.75" customHeight="1">
      <c r="A1517" s="21" t="s">
        <v>1480</v>
      </c>
      <c r="B1517" s="13">
        <f>IFERROR(__xludf.DUMMYFUNCTION("GOOGLEFINANCE(A1517,""PRICE"")"),3950.0)</f>
        <v>3950</v>
      </c>
      <c r="C1517" s="14">
        <f>IFERROR(__xludf.DUMMYFUNCTION("GOOGLEFINANCE(A1517,""PRICEOPEN"")"),3899.0)</f>
        <v>3899</v>
      </c>
      <c r="D1517" s="14">
        <f>IFERROR(__xludf.DUMMYFUNCTION("GOOGLEFINANCE(A1517,""HIGH"")"),3989.8)</f>
        <v>3989.8</v>
      </c>
      <c r="E1517" s="14">
        <f>IFERROR(__xludf.DUMMYFUNCTION("GOOGLEFINANCE(A1517,""LOW"")"),3806.0)</f>
        <v>3806</v>
      </c>
      <c r="F1517" s="15" t="str">
        <f t="shared" si="8"/>
        <v/>
      </c>
      <c r="G1517" s="16">
        <f>IFERROR(__xludf.DUMMYFUNCTION("GOOGLEFINANCE(A1517,""CLOSEYEST"")"),3893.6)</f>
        <v>3893.6</v>
      </c>
      <c r="H1517" s="17" t="str">
        <f t="shared" si="14"/>
        <v/>
      </c>
      <c r="I1517" s="18">
        <f t="shared" si="9"/>
        <v>3896.466667</v>
      </c>
      <c r="J1517" s="19">
        <f t="shared" si="10"/>
        <v>3986.933333</v>
      </c>
      <c r="K1517" s="19"/>
      <c r="L1517" s="19">
        <f t="shared" si="11"/>
        <v>3803.133333</v>
      </c>
      <c r="M1517" s="19">
        <f t="shared" si="12"/>
        <v>4080.266667</v>
      </c>
      <c r="N1517" s="19">
        <f t="shared" si="13"/>
        <v>3712.666667</v>
      </c>
    </row>
    <row r="1518" ht="24.75" customHeight="1">
      <c r="A1518" s="21" t="s">
        <v>1481</v>
      </c>
      <c r="B1518" s="13">
        <f>IFERROR(__xludf.DUMMYFUNCTION("GOOGLEFINANCE(A1518,""PRICE"")"),101.0)</f>
        <v>101</v>
      </c>
      <c r="C1518" s="14">
        <f>IFERROR(__xludf.DUMMYFUNCTION("GOOGLEFINANCE(A1518,""PRICEOPEN"")"),98.66)</f>
        <v>98.66</v>
      </c>
      <c r="D1518" s="14">
        <f>IFERROR(__xludf.DUMMYFUNCTION("GOOGLEFINANCE(A1518,""HIGH"")"),102.0)</f>
        <v>102</v>
      </c>
      <c r="E1518" s="14">
        <f>IFERROR(__xludf.DUMMYFUNCTION("GOOGLEFINANCE(A1518,""LOW"")"),98.13)</f>
        <v>98.13</v>
      </c>
      <c r="F1518" s="15" t="str">
        <f t="shared" si="8"/>
        <v/>
      </c>
      <c r="G1518" s="16">
        <f>IFERROR(__xludf.DUMMYFUNCTION("GOOGLEFINANCE(A1518,""CLOSEYEST"")"),99.75)</f>
        <v>99.75</v>
      </c>
      <c r="H1518" s="17" t="str">
        <f t="shared" si="14"/>
        <v>GAP DOWN</v>
      </c>
      <c r="I1518" s="18">
        <f t="shared" si="9"/>
        <v>99.96</v>
      </c>
      <c r="J1518" s="19">
        <f t="shared" si="10"/>
        <v>101.79</v>
      </c>
      <c r="K1518" s="19"/>
      <c r="L1518" s="19">
        <f t="shared" si="11"/>
        <v>97.92</v>
      </c>
      <c r="M1518" s="19">
        <f t="shared" si="12"/>
        <v>103.83</v>
      </c>
      <c r="N1518" s="19">
        <f t="shared" si="13"/>
        <v>96.09</v>
      </c>
    </row>
    <row r="1519" ht="24.75" customHeight="1">
      <c r="A1519" s="21" t="s">
        <v>1482</v>
      </c>
      <c r="B1519" s="13">
        <f>IFERROR(__xludf.DUMMYFUNCTION("GOOGLEFINANCE(A1519,""PRICE"")"),118.5)</f>
        <v>118.5</v>
      </c>
      <c r="C1519" s="14">
        <f>IFERROR(__xludf.DUMMYFUNCTION("GOOGLEFINANCE(A1519,""PRICEOPEN"")"),116.06)</f>
        <v>116.06</v>
      </c>
      <c r="D1519" s="14">
        <f>IFERROR(__xludf.DUMMYFUNCTION("GOOGLEFINANCE(A1519,""HIGH"")"),118.58)</f>
        <v>118.58</v>
      </c>
      <c r="E1519" s="14">
        <f>IFERROR(__xludf.DUMMYFUNCTION("GOOGLEFINANCE(A1519,""LOW"")"),116.06)</f>
        <v>116.06</v>
      </c>
      <c r="F1519" s="15" t="str">
        <f t="shared" si="8"/>
        <v>BUY</v>
      </c>
      <c r="G1519" s="16">
        <f>IFERROR(__xludf.DUMMYFUNCTION("GOOGLEFINANCE(A1519,""CLOSEYEST"")"),116.32)</f>
        <v>116.32</v>
      </c>
      <c r="H1519" s="17" t="str">
        <f t="shared" si="14"/>
        <v/>
      </c>
      <c r="I1519" s="18">
        <f t="shared" si="9"/>
        <v>116.9866667</v>
      </c>
      <c r="J1519" s="19">
        <f t="shared" si="10"/>
        <v>117.9133333</v>
      </c>
      <c r="K1519" s="19"/>
      <c r="L1519" s="19">
        <f t="shared" si="11"/>
        <v>115.3933333</v>
      </c>
      <c r="M1519" s="19">
        <f t="shared" si="12"/>
        <v>119.5066667</v>
      </c>
      <c r="N1519" s="19">
        <f t="shared" si="13"/>
        <v>114.4666667</v>
      </c>
    </row>
    <row r="1520" ht="24.75" customHeight="1">
      <c r="A1520" s="21" t="s">
        <v>1483</v>
      </c>
      <c r="B1520" s="13">
        <f>IFERROR(__xludf.DUMMYFUNCTION("GOOGLEFINANCE(A1520,""PRICE"")"),0.33)</f>
        <v>0.33</v>
      </c>
      <c r="C1520" s="14">
        <f>IFERROR(__xludf.DUMMYFUNCTION("GOOGLEFINANCE(A1520,""PRICEOPEN"")"),0.32)</f>
        <v>0.32</v>
      </c>
      <c r="D1520" s="14">
        <f>IFERROR(__xludf.DUMMYFUNCTION("GOOGLEFINANCE(A1520,""HIGH"")"),0.33)</f>
        <v>0.33</v>
      </c>
      <c r="E1520" s="14">
        <f>IFERROR(__xludf.DUMMYFUNCTION("GOOGLEFINANCE(A1520,""LOW"")"),0.32)</f>
        <v>0.32</v>
      </c>
      <c r="F1520" s="15" t="str">
        <f t="shared" si="8"/>
        <v>BUY</v>
      </c>
      <c r="G1520" s="16">
        <f>IFERROR(__xludf.DUMMYFUNCTION("GOOGLEFINANCE(A1520,""CLOSEYEST"")"),0.32)</f>
        <v>0.32</v>
      </c>
      <c r="H1520" s="17" t="str">
        <f t="shared" si="14"/>
        <v/>
      </c>
      <c r="I1520" s="18">
        <f t="shared" si="9"/>
        <v>0.3233333333</v>
      </c>
      <c r="J1520" s="19">
        <f t="shared" si="10"/>
        <v>0.3266666667</v>
      </c>
      <c r="K1520" s="19"/>
      <c r="L1520" s="19">
        <f t="shared" si="11"/>
        <v>0.3166666667</v>
      </c>
      <c r="M1520" s="19">
        <f t="shared" si="12"/>
        <v>0.3333333333</v>
      </c>
      <c r="N1520" s="19">
        <f t="shared" si="13"/>
        <v>0.3133333333</v>
      </c>
    </row>
    <row r="1521" ht="24.75" customHeight="1">
      <c r="A1521" s="21" t="s">
        <v>1484</v>
      </c>
      <c r="B1521" s="13">
        <f>IFERROR(__xludf.DUMMYFUNCTION("GOOGLEFINANCE(A1521,""PRICE"")"),17.45)</f>
        <v>17.45</v>
      </c>
      <c r="C1521" s="14">
        <f>IFERROR(__xludf.DUMMYFUNCTION("GOOGLEFINANCE(A1521,""PRICEOPEN"")"),17.99)</f>
        <v>17.99</v>
      </c>
      <c r="D1521" s="14">
        <f>IFERROR(__xludf.DUMMYFUNCTION("GOOGLEFINANCE(A1521,""HIGH"")"),17.99)</f>
        <v>17.99</v>
      </c>
      <c r="E1521" s="14">
        <f>IFERROR(__xludf.DUMMYFUNCTION("GOOGLEFINANCE(A1521,""LOW"")"),17.06)</f>
        <v>17.06</v>
      </c>
      <c r="F1521" s="15" t="str">
        <f t="shared" si="8"/>
        <v>SELL</v>
      </c>
      <c r="G1521" s="16">
        <f>IFERROR(__xludf.DUMMYFUNCTION("GOOGLEFINANCE(A1521,""CLOSEYEST"")"),17.77)</f>
        <v>17.77</v>
      </c>
      <c r="H1521" s="17" t="str">
        <f t="shared" si="14"/>
        <v>GAP UP</v>
      </c>
      <c r="I1521" s="18">
        <f t="shared" si="9"/>
        <v>17.60666667</v>
      </c>
      <c r="J1521" s="19">
        <f t="shared" si="10"/>
        <v>18.15333333</v>
      </c>
      <c r="K1521" s="19"/>
      <c r="L1521" s="19">
        <f t="shared" si="11"/>
        <v>17.22333333</v>
      </c>
      <c r="M1521" s="19">
        <f t="shared" si="12"/>
        <v>18.53666667</v>
      </c>
      <c r="N1521" s="19">
        <f t="shared" si="13"/>
        <v>16.67666667</v>
      </c>
    </row>
    <row r="1522" ht="24.75" customHeight="1">
      <c r="A1522" s="21" t="s">
        <v>1485</v>
      </c>
      <c r="B1522" s="13">
        <f>IFERROR(__xludf.DUMMYFUNCTION("GOOGLEFINANCE(A1522,""PRICE"")"),253.0)</f>
        <v>253</v>
      </c>
      <c r="C1522" s="14">
        <f>IFERROR(__xludf.DUMMYFUNCTION("GOOGLEFINANCE(A1522,""PRICEOPEN"")"),250.5)</f>
        <v>250.5</v>
      </c>
      <c r="D1522" s="14">
        <f>IFERROR(__xludf.DUMMYFUNCTION("GOOGLEFINANCE(A1522,""HIGH"")"),254.5)</f>
        <v>254.5</v>
      </c>
      <c r="E1522" s="14">
        <f>IFERROR(__xludf.DUMMYFUNCTION("GOOGLEFINANCE(A1522,""LOW"")"),250.0)</f>
        <v>250</v>
      </c>
      <c r="F1522" s="15" t="str">
        <f t="shared" si="8"/>
        <v/>
      </c>
      <c r="G1522" s="16">
        <f>IFERROR(__xludf.DUMMYFUNCTION("GOOGLEFINANCE(A1522,""CLOSEYEST"")"),250.5)</f>
        <v>250.5</v>
      </c>
      <c r="H1522" s="17" t="str">
        <f t="shared" si="14"/>
        <v/>
      </c>
      <c r="I1522" s="18">
        <f t="shared" si="9"/>
        <v>251.6666667</v>
      </c>
      <c r="J1522" s="19">
        <f t="shared" si="10"/>
        <v>253.3333333</v>
      </c>
      <c r="K1522" s="19"/>
      <c r="L1522" s="19">
        <f t="shared" si="11"/>
        <v>248.8333333</v>
      </c>
      <c r="M1522" s="19">
        <f t="shared" si="12"/>
        <v>256.1666667</v>
      </c>
      <c r="N1522" s="19">
        <f t="shared" si="13"/>
        <v>247.1666667</v>
      </c>
    </row>
    <row r="1523" ht="24.75" customHeight="1">
      <c r="A1523" s="21" t="s">
        <v>1486</v>
      </c>
      <c r="B1523" s="13" t="str">
        <f>IFERROR(__xludf.DUMMYFUNCTION("GOOGLEFINANCE(A1523,""PRICE"")"),"#N/A")</f>
        <v>#N/A</v>
      </c>
      <c r="C1523" s="14" t="str">
        <f>IFERROR(__xludf.DUMMYFUNCTION("GOOGLEFINANCE(A1523,""PRICEOPEN"")"),"#N/A")</f>
        <v>#N/A</v>
      </c>
      <c r="D1523" s="14" t="str">
        <f>IFERROR(__xludf.DUMMYFUNCTION("GOOGLEFINANCE(A1523,""HIGH"")"),"#N/A")</f>
        <v>#N/A</v>
      </c>
      <c r="E1523" s="14" t="str">
        <f>IFERROR(__xludf.DUMMYFUNCTION("GOOGLEFINANCE(A1523,""LOW"")"),"#N/A")</f>
        <v>#N/A</v>
      </c>
      <c r="F1523" s="15" t="str">
        <f t="shared" si="8"/>
        <v>#N/A</v>
      </c>
      <c r="G1523" s="16" t="str">
        <f>IFERROR(__xludf.DUMMYFUNCTION("GOOGLEFINANCE(A1523,""CLOSEYEST"")"),"#N/A")</f>
        <v>#N/A</v>
      </c>
      <c r="H1523" s="17" t="str">
        <f t="shared" si="14"/>
        <v>#N/A</v>
      </c>
      <c r="I1523" s="18" t="str">
        <f t="shared" si="9"/>
        <v>#N/A</v>
      </c>
      <c r="J1523" s="19" t="str">
        <f t="shared" si="10"/>
        <v>#N/A</v>
      </c>
      <c r="K1523" s="19"/>
      <c r="L1523" s="19" t="str">
        <f t="shared" si="11"/>
        <v>#N/A</v>
      </c>
      <c r="M1523" s="19" t="str">
        <f t="shared" si="12"/>
        <v>#N/A</v>
      </c>
      <c r="N1523" s="19" t="str">
        <f t="shared" si="13"/>
        <v>#N/A</v>
      </c>
    </row>
    <row r="1524" ht="24.75" customHeight="1">
      <c r="A1524" s="21" t="s">
        <v>1487</v>
      </c>
      <c r="B1524" s="13">
        <f>IFERROR(__xludf.DUMMYFUNCTION("GOOGLEFINANCE(A1524,""PRICE"")"),29.32)</f>
        <v>29.32</v>
      </c>
      <c r="C1524" s="14">
        <f>IFERROR(__xludf.DUMMYFUNCTION("GOOGLEFINANCE(A1524,""PRICEOPEN"")"),27.35)</f>
        <v>27.35</v>
      </c>
      <c r="D1524" s="14">
        <f>IFERROR(__xludf.DUMMYFUNCTION("GOOGLEFINANCE(A1524,""HIGH"")"),29.32)</f>
        <v>29.32</v>
      </c>
      <c r="E1524" s="14">
        <f>IFERROR(__xludf.DUMMYFUNCTION("GOOGLEFINANCE(A1524,""LOW"")"),27.25)</f>
        <v>27.25</v>
      </c>
      <c r="F1524" s="15" t="str">
        <f t="shared" si="8"/>
        <v/>
      </c>
      <c r="G1524" s="16">
        <f>IFERROR(__xludf.DUMMYFUNCTION("GOOGLEFINANCE(A1524,""CLOSEYEST"")"),27.93)</f>
        <v>27.93</v>
      </c>
      <c r="H1524" s="17" t="str">
        <f t="shared" si="14"/>
        <v>GAP DOWN</v>
      </c>
      <c r="I1524" s="18">
        <f t="shared" si="9"/>
        <v>28.16666667</v>
      </c>
      <c r="J1524" s="19">
        <f t="shared" si="10"/>
        <v>29.08333333</v>
      </c>
      <c r="K1524" s="19"/>
      <c r="L1524" s="19">
        <f t="shared" si="11"/>
        <v>27.01333333</v>
      </c>
      <c r="M1524" s="19">
        <f t="shared" si="12"/>
        <v>30.23666667</v>
      </c>
      <c r="N1524" s="19">
        <f t="shared" si="13"/>
        <v>26.09666667</v>
      </c>
    </row>
    <row r="1525" ht="24.75" customHeight="1">
      <c r="A1525" s="21" t="s">
        <v>1488</v>
      </c>
      <c r="B1525" s="13" t="str">
        <f>IFERROR(__xludf.DUMMYFUNCTION("GOOGLEFINANCE(A1525,""PRICE"")"),"#N/A")</f>
        <v>#N/A</v>
      </c>
      <c r="C1525" s="14" t="str">
        <f>IFERROR(__xludf.DUMMYFUNCTION("GOOGLEFINANCE(A1525,""PRICEOPEN"")"),"#N/A")</f>
        <v>#N/A</v>
      </c>
      <c r="D1525" s="14" t="str">
        <f>IFERROR(__xludf.DUMMYFUNCTION("GOOGLEFINANCE(A1525,""HIGH"")"),"#N/A")</f>
        <v>#N/A</v>
      </c>
      <c r="E1525" s="14" t="str">
        <f>IFERROR(__xludf.DUMMYFUNCTION("GOOGLEFINANCE(A1525,""LOW"")"),"#N/A")</f>
        <v>#N/A</v>
      </c>
      <c r="F1525" s="15" t="str">
        <f t="shared" si="8"/>
        <v>#N/A</v>
      </c>
      <c r="G1525" s="16" t="str">
        <f>IFERROR(__xludf.DUMMYFUNCTION("GOOGLEFINANCE(A1525,""CLOSEYEST"")"),"#N/A")</f>
        <v>#N/A</v>
      </c>
      <c r="H1525" s="17" t="str">
        <f t="shared" si="14"/>
        <v>#N/A</v>
      </c>
      <c r="I1525" s="18" t="str">
        <f t="shared" si="9"/>
        <v>#N/A</v>
      </c>
      <c r="J1525" s="19" t="str">
        <f t="shared" si="10"/>
        <v>#N/A</v>
      </c>
      <c r="K1525" s="19"/>
      <c r="L1525" s="19" t="str">
        <f t="shared" si="11"/>
        <v>#N/A</v>
      </c>
      <c r="M1525" s="19" t="str">
        <f t="shared" si="12"/>
        <v>#N/A</v>
      </c>
      <c r="N1525" s="19" t="str">
        <f t="shared" si="13"/>
        <v>#N/A</v>
      </c>
    </row>
    <row r="1526" ht="24.75" customHeight="1">
      <c r="A1526" s="21" t="s">
        <v>1489</v>
      </c>
      <c r="B1526" s="13">
        <f>IFERROR(__xludf.DUMMYFUNCTION("GOOGLEFINANCE(A1526,""PRICE"")"),70.27)</f>
        <v>70.27</v>
      </c>
      <c r="C1526" s="14">
        <f>IFERROR(__xludf.DUMMYFUNCTION("GOOGLEFINANCE(A1526,""PRICEOPEN"")"),71.59)</f>
        <v>71.59</v>
      </c>
      <c r="D1526" s="14">
        <f>IFERROR(__xludf.DUMMYFUNCTION("GOOGLEFINANCE(A1526,""HIGH"")"),72.94)</f>
        <v>72.94</v>
      </c>
      <c r="E1526" s="14">
        <f>IFERROR(__xludf.DUMMYFUNCTION("GOOGLEFINANCE(A1526,""LOW"")"),70.02)</f>
        <v>70.02</v>
      </c>
      <c r="F1526" s="15" t="str">
        <f t="shared" si="8"/>
        <v/>
      </c>
      <c r="G1526" s="16">
        <f>IFERROR(__xludf.DUMMYFUNCTION("GOOGLEFINANCE(A1526,""CLOSEYEST"")"),71.53)</f>
        <v>71.53</v>
      </c>
      <c r="H1526" s="17" t="str">
        <f t="shared" si="14"/>
        <v/>
      </c>
      <c r="I1526" s="18">
        <f t="shared" si="9"/>
        <v>71.49666667</v>
      </c>
      <c r="J1526" s="19">
        <f t="shared" si="10"/>
        <v>72.97333333</v>
      </c>
      <c r="K1526" s="19"/>
      <c r="L1526" s="19">
        <f t="shared" si="11"/>
        <v>70.05333333</v>
      </c>
      <c r="M1526" s="19">
        <f t="shared" si="12"/>
        <v>74.41666667</v>
      </c>
      <c r="N1526" s="19">
        <f t="shared" si="13"/>
        <v>68.57666667</v>
      </c>
    </row>
    <row r="1527" ht="24.75" customHeight="1">
      <c r="A1527" s="21" t="s">
        <v>1490</v>
      </c>
      <c r="B1527" s="13">
        <f>IFERROR(__xludf.DUMMYFUNCTION("GOOGLEFINANCE(A1527,""PRICE"")"),192.6)</f>
        <v>192.6</v>
      </c>
      <c r="C1527" s="14">
        <f>IFERROR(__xludf.DUMMYFUNCTION("GOOGLEFINANCE(A1527,""PRICEOPEN"")"),190.0)</f>
        <v>190</v>
      </c>
      <c r="D1527" s="14">
        <f>IFERROR(__xludf.DUMMYFUNCTION("GOOGLEFINANCE(A1527,""HIGH"")"),198.69)</f>
        <v>198.69</v>
      </c>
      <c r="E1527" s="14">
        <f>IFERROR(__xludf.DUMMYFUNCTION("GOOGLEFINANCE(A1527,""LOW"")"),188.1)</f>
        <v>188.1</v>
      </c>
      <c r="F1527" s="15" t="str">
        <f t="shared" si="8"/>
        <v/>
      </c>
      <c r="G1527" s="16">
        <f>IFERROR(__xludf.DUMMYFUNCTION("GOOGLEFINANCE(A1527,""CLOSEYEST"")"),191.41)</f>
        <v>191.41</v>
      </c>
      <c r="H1527" s="17" t="str">
        <f t="shared" si="14"/>
        <v/>
      </c>
      <c r="I1527" s="18">
        <f t="shared" si="9"/>
        <v>192.7333333</v>
      </c>
      <c r="J1527" s="19">
        <f t="shared" si="10"/>
        <v>197.3666667</v>
      </c>
      <c r="K1527" s="19"/>
      <c r="L1527" s="19">
        <f t="shared" si="11"/>
        <v>186.7766667</v>
      </c>
      <c r="M1527" s="19">
        <f t="shared" si="12"/>
        <v>203.3233333</v>
      </c>
      <c r="N1527" s="19">
        <f t="shared" si="13"/>
        <v>182.1433333</v>
      </c>
    </row>
    <row r="1528" ht="24.75" customHeight="1">
      <c r="A1528" s="21" t="s">
        <v>1491</v>
      </c>
      <c r="B1528" s="13">
        <f>IFERROR(__xludf.DUMMYFUNCTION("GOOGLEFINANCE(A1528,""PRICE"")"),33.99)</f>
        <v>33.99</v>
      </c>
      <c r="C1528" s="14">
        <f>IFERROR(__xludf.DUMMYFUNCTION("GOOGLEFINANCE(A1528,""PRICEOPEN"")"),34.0)</f>
        <v>34</v>
      </c>
      <c r="D1528" s="14">
        <f>IFERROR(__xludf.DUMMYFUNCTION("GOOGLEFINANCE(A1528,""HIGH"")"),34.0)</f>
        <v>34</v>
      </c>
      <c r="E1528" s="14">
        <f>IFERROR(__xludf.DUMMYFUNCTION("GOOGLEFINANCE(A1528,""LOW"")"),33.2)</f>
        <v>33.2</v>
      </c>
      <c r="F1528" s="15" t="str">
        <f t="shared" si="8"/>
        <v>SELL</v>
      </c>
      <c r="G1528" s="16">
        <f>IFERROR(__xludf.DUMMYFUNCTION("GOOGLEFINANCE(A1528,""CLOSEYEST"")"),33.99)</f>
        <v>33.99</v>
      </c>
      <c r="H1528" s="17" t="str">
        <f t="shared" si="14"/>
        <v/>
      </c>
      <c r="I1528" s="18">
        <f t="shared" si="9"/>
        <v>33.73</v>
      </c>
      <c r="J1528" s="19">
        <f t="shared" si="10"/>
        <v>34.26</v>
      </c>
      <c r="K1528" s="19"/>
      <c r="L1528" s="19">
        <f t="shared" si="11"/>
        <v>33.46</v>
      </c>
      <c r="M1528" s="19">
        <f t="shared" si="12"/>
        <v>34.53</v>
      </c>
      <c r="N1528" s="19">
        <f t="shared" si="13"/>
        <v>32.93</v>
      </c>
    </row>
    <row r="1529" ht="24.75" customHeight="1">
      <c r="A1529" s="21" t="s">
        <v>1492</v>
      </c>
      <c r="B1529" s="13">
        <f>IFERROR(__xludf.DUMMYFUNCTION("GOOGLEFINANCE(A1529,""PRICE"")"),120.0)</f>
        <v>120</v>
      </c>
      <c r="C1529" s="14">
        <f>IFERROR(__xludf.DUMMYFUNCTION("GOOGLEFINANCE(A1529,""PRICEOPEN"")"),124.29)</f>
        <v>124.29</v>
      </c>
      <c r="D1529" s="14">
        <f>IFERROR(__xludf.DUMMYFUNCTION("GOOGLEFINANCE(A1529,""HIGH"")"),124.99)</f>
        <v>124.99</v>
      </c>
      <c r="E1529" s="14">
        <f>IFERROR(__xludf.DUMMYFUNCTION("GOOGLEFINANCE(A1529,""LOW"")"),120.0)</f>
        <v>120</v>
      </c>
      <c r="F1529" s="15" t="str">
        <f t="shared" si="8"/>
        <v/>
      </c>
      <c r="G1529" s="16">
        <f>IFERROR(__xludf.DUMMYFUNCTION("GOOGLEFINANCE(A1529,""CLOSEYEST"")"),122.81)</f>
        <v>122.81</v>
      </c>
      <c r="H1529" s="17" t="str">
        <f t="shared" si="14"/>
        <v>GAP UP</v>
      </c>
      <c r="I1529" s="18">
        <f t="shared" si="9"/>
        <v>122.6</v>
      </c>
      <c r="J1529" s="19">
        <f t="shared" si="10"/>
        <v>125.2</v>
      </c>
      <c r="K1529" s="19"/>
      <c r="L1529" s="19">
        <f t="shared" si="11"/>
        <v>120.21</v>
      </c>
      <c r="M1529" s="19">
        <f t="shared" si="12"/>
        <v>127.59</v>
      </c>
      <c r="N1529" s="19">
        <f t="shared" si="13"/>
        <v>117.61</v>
      </c>
    </row>
    <row r="1530" ht="24.75" customHeight="1">
      <c r="A1530" s="21" t="s">
        <v>1493</v>
      </c>
      <c r="B1530" s="13">
        <f>IFERROR(__xludf.DUMMYFUNCTION("GOOGLEFINANCE(A1530,""PRICE"")"),37.4)</f>
        <v>37.4</v>
      </c>
      <c r="C1530" s="14">
        <f>IFERROR(__xludf.DUMMYFUNCTION("GOOGLEFINANCE(A1530,""PRICEOPEN"")"),36.0)</f>
        <v>36</v>
      </c>
      <c r="D1530" s="14">
        <f>IFERROR(__xludf.DUMMYFUNCTION("GOOGLEFINANCE(A1530,""HIGH"")"),37.4)</f>
        <v>37.4</v>
      </c>
      <c r="E1530" s="14">
        <f>IFERROR(__xludf.DUMMYFUNCTION("GOOGLEFINANCE(A1530,""LOW"")"),35.76)</f>
        <v>35.76</v>
      </c>
      <c r="F1530" s="15" t="str">
        <f t="shared" si="8"/>
        <v/>
      </c>
      <c r="G1530" s="16">
        <f>IFERROR(__xludf.DUMMYFUNCTION("GOOGLEFINANCE(A1530,""CLOSEYEST"")"),35.75)</f>
        <v>35.75</v>
      </c>
      <c r="H1530" s="17" t="str">
        <f t="shared" si="14"/>
        <v/>
      </c>
      <c r="I1530" s="18">
        <f t="shared" si="9"/>
        <v>36.30333333</v>
      </c>
      <c r="J1530" s="19">
        <f t="shared" si="10"/>
        <v>36.84666667</v>
      </c>
      <c r="K1530" s="19"/>
      <c r="L1530" s="19">
        <f t="shared" si="11"/>
        <v>35.20666667</v>
      </c>
      <c r="M1530" s="19">
        <f t="shared" si="12"/>
        <v>37.94333333</v>
      </c>
      <c r="N1530" s="19">
        <f t="shared" si="13"/>
        <v>34.66333333</v>
      </c>
    </row>
    <row r="1531" ht="24.75" customHeight="1">
      <c r="A1531" s="21" t="s">
        <v>1494</v>
      </c>
      <c r="B1531" s="13">
        <f>IFERROR(__xludf.DUMMYFUNCTION("GOOGLEFINANCE(A1531,""PRICE"")"),27.74)</f>
        <v>27.74</v>
      </c>
      <c r="C1531" s="14">
        <f>IFERROR(__xludf.DUMMYFUNCTION("GOOGLEFINANCE(A1531,""PRICEOPEN"")"),29.2)</f>
        <v>29.2</v>
      </c>
      <c r="D1531" s="14">
        <f>IFERROR(__xludf.DUMMYFUNCTION("GOOGLEFINANCE(A1531,""HIGH"")"),29.5)</f>
        <v>29.5</v>
      </c>
      <c r="E1531" s="14">
        <f>IFERROR(__xludf.DUMMYFUNCTION("GOOGLEFINANCE(A1531,""LOW"")"),27.74)</f>
        <v>27.74</v>
      </c>
      <c r="F1531" s="15" t="str">
        <f t="shared" si="8"/>
        <v/>
      </c>
      <c r="G1531" s="16">
        <f>IFERROR(__xludf.DUMMYFUNCTION("GOOGLEFINANCE(A1531,""CLOSEYEST"")"),29.2)</f>
        <v>29.2</v>
      </c>
      <c r="H1531" s="17" t="str">
        <f t="shared" si="14"/>
        <v/>
      </c>
      <c r="I1531" s="18">
        <f t="shared" si="9"/>
        <v>28.81333333</v>
      </c>
      <c r="J1531" s="19">
        <f t="shared" si="10"/>
        <v>29.88666667</v>
      </c>
      <c r="K1531" s="19"/>
      <c r="L1531" s="19">
        <f t="shared" si="11"/>
        <v>28.12666667</v>
      </c>
      <c r="M1531" s="19">
        <f t="shared" si="12"/>
        <v>30.57333333</v>
      </c>
      <c r="N1531" s="19">
        <f t="shared" si="13"/>
        <v>27.05333333</v>
      </c>
    </row>
    <row r="1532" ht="24.75" customHeight="1">
      <c r="A1532" s="21" t="s">
        <v>1495</v>
      </c>
      <c r="B1532" s="13">
        <f>IFERROR(__xludf.DUMMYFUNCTION("GOOGLEFINANCE(A1532,""PRICE"")"),1025.0)</f>
        <v>1025</v>
      </c>
      <c r="C1532" s="14">
        <f>IFERROR(__xludf.DUMMYFUNCTION("GOOGLEFINANCE(A1532,""PRICEOPEN"")"),1039.5)</f>
        <v>1039.5</v>
      </c>
      <c r="D1532" s="14">
        <f>IFERROR(__xludf.DUMMYFUNCTION("GOOGLEFINANCE(A1532,""HIGH"")"),1039.5)</f>
        <v>1039.5</v>
      </c>
      <c r="E1532" s="14">
        <f>IFERROR(__xludf.DUMMYFUNCTION("GOOGLEFINANCE(A1532,""LOW"")"),1025.0)</f>
        <v>1025</v>
      </c>
      <c r="F1532" s="15" t="str">
        <f t="shared" si="8"/>
        <v>SELL</v>
      </c>
      <c r="G1532" s="16">
        <f>IFERROR(__xludf.DUMMYFUNCTION("GOOGLEFINANCE(A1532,""CLOSEYEST"")"),1039.5)</f>
        <v>1039.5</v>
      </c>
      <c r="H1532" s="17" t="str">
        <f t="shared" si="14"/>
        <v/>
      </c>
      <c r="I1532" s="18">
        <f t="shared" si="9"/>
        <v>1034.666667</v>
      </c>
      <c r="J1532" s="19">
        <f t="shared" si="10"/>
        <v>1044.333333</v>
      </c>
      <c r="K1532" s="19"/>
      <c r="L1532" s="19">
        <f t="shared" si="11"/>
        <v>1029.833333</v>
      </c>
      <c r="M1532" s="19">
        <f t="shared" si="12"/>
        <v>1049.166667</v>
      </c>
      <c r="N1532" s="19">
        <f t="shared" si="13"/>
        <v>1020.166667</v>
      </c>
    </row>
    <row r="1533" ht="24.75" customHeight="1">
      <c r="A1533" s="21" t="s">
        <v>1496</v>
      </c>
      <c r="B1533" s="13">
        <f>IFERROR(__xludf.DUMMYFUNCTION("GOOGLEFINANCE(A1533,""PRICE"")"),82.22)</f>
        <v>82.22</v>
      </c>
      <c r="C1533" s="14">
        <f>IFERROR(__xludf.DUMMYFUNCTION("GOOGLEFINANCE(A1533,""PRICEOPEN"")"),83.0)</f>
        <v>83</v>
      </c>
      <c r="D1533" s="14">
        <f>IFERROR(__xludf.DUMMYFUNCTION("GOOGLEFINANCE(A1533,""HIGH"")"),83.0)</f>
        <v>83</v>
      </c>
      <c r="E1533" s="14">
        <f>IFERROR(__xludf.DUMMYFUNCTION("GOOGLEFINANCE(A1533,""LOW"")"),82.22)</f>
        <v>82.22</v>
      </c>
      <c r="F1533" s="15" t="str">
        <f t="shared" si="8"/>
        <v>SELL</v>
      </c>
      <c r="G1533" s="16">
        <f>IFERROR(__xludf.DUMMYFUNCTION("GOOGLEFINANCE(A1533,""CLOSEYEST"")"),83.9)</f>
        <v>83.9</v>
      </c>
      <c r="H1533" s="17" t="str">
        <f t="shared" si="14"/>
        <v>GAP DOWN</v>
      </c>
      <c r="I1533" s="18">
        <f t="shared" si="9"/>
        <v>83.04</v>
      </c>
      <c r="J1533" s="19">
        <f t="shared" si="10"/>
        <v>83.86</v>
      </c>
      <c r="K1533" s="19"/>
      <c r="L1533" s="19">
        <f t="shared" si="11"/>
        <v>83.08</v>
      </c>
      <c r="M1533" s="19">
        <f t="shared" si="12"/>
        <v>83.82</v>
      </c>
      <c r="N1533" s="19">
        <f t="shared" si="13"/>
        <v>82.26</v>
      </c>
    </row>
    <row r="1534" ht="24.75" customHeight="1">
      <c r="A1534" s="21" t="s">
        <v>1497</v>
      </c>
      <c r="B1534" s="13">
        <f>IFERROR(__xludf.DUMMYFUNCTION("GOOGLEFINANCE(A1534,""PRICE"")"),47.16)</f>
        <v>47.16</v>
      </c>
      <c r="C1534" s="14">
        <f>IFERROR(__xludf.DUMMYFUNCTION("GOOGLEFINANCE(A1534,""PRICEOPEN"")"),47.1)</f>
        <v>47.1</v>
      </c>
      <c r="D1534" s="14">
        <f>IFERROR(__xludf.DUMMYFUNCTION("GOOGLEFINANCE(A1534,""HIGH"")"),49.0)</f>
        <v>49</v>
      </c>
      <c r="E1534" s="14">
        <f>IFERROR(__xludf.DUMMYFUNCTION("GOOGLEFINANCE(A1534,""LOW"")"),46.0)</f>
        <v>46</v>
      </c>
      <c r="F1534" s="15" t="str">
        <f t="shared" si="8"/>
        <v/>
      </c>
      <c r="G1534" s="16">
        <f>IFERROR(__xludf.DUMMYFUNCTION("GOOGLEFINANCE(A1534,""CLOSEYEST"")"),46.4)</f>
        <v>46.4</v>
      </c>
      <c r="H1534" s="17" t="str">
        <f t="shared" si="14"/>
        <v>GAP UP</v>
      </c>
      <c r="I1534" s="18">
        <f t="shared" si="9"/>
        <v>47.13333333</v>
      </c>
      <c r="J1534" s="19">
        <f t="shared" si="10"/>
        <v>48.26666667</v>
      </c>
      <c r="K1534" s="19"/>
      <c r="L1534" s="19">
        <f t="shared" si="11"/>
        <v>45.26666667</v>
      </c>
      <c r="M1534" s="19">
        <f t="shared" si="12"/>
        <v>50.13333333</v>
      </c>
      <c r="N1534" s="19">
        <f t="shared" si="13"/>
        <v>44.13333333</v>
      </c>
    </row>
    <row r="1535" ht="24.75" customHeight="1">
      <c r="A1535" s="21" t="s">
        <v>1498</v>
      </c>
      <c r="B1535" s="13">
        <f>IFERROR(__xludf.DUMMYFUNCTION("GOOGLEFINANCE(A1535,""PRICE"")"),187.0)</f>
        <v>187</v>
      </c>
      <c r="C1535" s="14">
        <f>IFERROR(__xludf.DUMMYFUNCTION("GOOGLEFINANCE(A1535,""PRICEOPEN"")"),185.05)</f>
        <v>185.05</v>
      </c>
      <c r="D1535" s="14">
        <f>IFERROR(__xludf.DUMMYFUNCTION("GOOGLEFINANCE(A1535,""HIGH"")"),190.73)</f>
        <v>190.73</v>
      </c>
      <c r="E1535" s="14">
        <f>IFERROR(__xludf.DUMMYFUNCTION("GOOGLEFINANCE(A1535,""LOW"")"),185.05)</f>
        <v>185.05</v>
      </c>
      <c r="F1535" s="15" t="str">
        <f t="shared" si="8"/>
        <v>BUY</v>
      </c>
      <c r="G1535" s="16">
        <f>IFERROR(__xludf.DUMMYFUNCTION("GOOGLEFINANCE(A1535,""CLOSEYEST"")"),186.01)</f>
        <v>186.01</v>
      </c>
      <c r="H1535" s="17" t="str">
        <f t="shared" si="14"/>
        <v/>
      </c>
      <c r="I1535" s="18">
        <f t="shared" si="9"/>
        <v>187.2633333</v>
      </c>
      <c r="J1535" s="19">
        <f t="shared" si="10"/>
        <v>189.4766667</v>
      </c>
      <c r="K1535" s="19"/>
      <c r="L1535" s="19">
        <f t="shared" si="11"/>
        <v>183.7966667</v>
      </c>
      <c r="M1535" s="19">
        <f t="shared" si="12"/>
        <v>192.9433333</v>
      </c>
      <c r="N1535" s="19">
        <f t="shared" si="13"/>
        <v>181.5833333</v>
      </c>
    </row>
    <row r="1536" ht="24.75" customHeight="1">
      <c r="A1536" s="21" t="s">
        <v>1499</v>
      </c>
      <c r="B1536" s="13">
        <f>IFERROR(__xludf.DUMMYFUNCTION("GOOGLEFINANCE(A1536,""PRICE"")"),36.9)</f>
        <v>36.9</v>
      </c>
      <c r="C1536" s="14">
        <f>IFERROR(__xludf.DUMMYFUNCTION("GOOGLEFINANCE(A1536,""PRICEOPEN"")"),35.49)</f>
        <v>35.49</v>
      </c>
      <c r="D1536" s="14">
        <f>IFERROR(__xludf.DUMMYFUNCTION("GOOGLEFINANCE(A1536,""HIGH"")"),37.47)</f>
        <v>37.47</v>
      </c>
      <c r="E1536" s="14">
        <f>IFERROR(__xludf.DUMMYFUNCTION("GOOGLEFINANCE(A1536,""LOW"")"),34.22)</f>
        <v>34.22</v>
      </c>
      <c r="F1536" s="15" t="str">
        <f t="shared" si="8"/>
        <v/>
      </c>
      <c r="G1536" s="16">
        <f>IFERROR(__xludf.DUMMYFUNCTION("GOOGLEFINANCE(A1536,""CLOSEYEST"")"),35.69)</f>
        <v>35.69</v>
      </c>
      <c r="H1536" s="17" t="str">
        <f t="shared" si="14"/>
        <v/>
      </c>
      <c r="I1536" s="18">
        <f t="shared" si="9"/>
        <v>35.79333333</v>
      </c>
      <c r="J1536" s="19">
        <f t="shared" si="10"/>
        <v>37.36666667</v>
      </c>
      <c r="K1536" s="19"/>
      <c r="L1536" s="19">
        <f t="shared" si="11"/>
        <v>34.11666667</v>
      </c>
      <c r="M1536" s="19">
        <f t="shared" si="12"/>
        <v>39.04333333</v>
      </c>
      <c r="N1536" s="19">
        <f t="shared" si="13"/>
        <v>32.54333333</v>
      </c>
    </row>
    <row r="1537" ht="24.75" customHeight="1">
      <c r="A1537" s="21" t="s">
        <v>1500</v>
      </c>
      <c r="B1537" s="13">
        <f>IFERROR(__xludf.DUMMYFUNCTION("GOOGLEFINANCE(A1537,""PRICE"")"),129.65)</f>
        <v>129.65</v>
      </c>
      <c r="C1537" s="14">
        <f>IFERROR(__xludf.DUMMYFUNCTION("GOOGLEFINANCE(A1537,""PRICEOPEN"")"),123.1)</f>
        <v>123.1</v>
      </c>
      <c r="D1537" s="14">
        <f>IFERROR(__xludf.DUMMYFUNCTION("GOOGLEFINANCE(A1537,""HIGH"")"),129.75)</f>
        <v>129.75</v>
      </c>
      <c r="E1537" s="14">
        <f>IFERROR(__xludf.DUMMYFUNCTION("GOOGLEFINANCE(A1537,""LOW"")"),122.9)</f>
        <v>122.9</v>
      </c>
      <c r="F1537" s="15" t="str">
        <f t="shared" si="8"/>
        <v/>
      </c>
      <c r="G1537" s="16">
        <f>IFERROR(__xludf.DUMMYFUNCTION("GOOGLEFINANCE(A1537,""CLOSEYEST"")"),121.86)</f>
        <v>121.86</v>
      </c>
      <c r="H1537" s="17" t="str">
        <f t="shared" si="14"/>
        <v>GAP UP</v>
      </c>
      <c r="I1537" s="18">
        <f t="shared" si="9"/>
        <v>124.8366667</v>
      </c>
      <c r="J1537" s="19">
        <f t="shared" si="10"/>
        <v>126.7733333</v>
      </c>
      <c r="K1537" s="19"/>
      <c r="L1537" s="19">
        <f t="shared" si="11"/>
        <v>119.9233333</v>
      </c>
      <c r="M1537" s="19">
        <f t="shared" si="12"/>
        <v>131.6866667</v>
      </c>
      <c r="N1537" s="19">
        <f t="shared" si="13"/>
        <v>117.9866667</v>
      </c>
    </row>
    <row r="1538" ht="24.75" customHeight="1">
      <c r="A1538" s="21" t="s">
        <v>1501</v>
      </c>
      <c r="B1538" s="13">
        <f>IFERROR(__xludf.DUMMYFUNCTION("GOOGLEFINANCE(A1538,""PRICE"")"),53.1)</f>
        <v>53.1</v>
      </c>
      <c r="C1538" s="14">
        <f>IFERROR(__xludf.DUMMYFUNCTION("GOOGLEFINANCE(A1538,""PRICEOPEN"")"),51.88)</f>
        <v>51.88</v>
      </c>
      <c r="D1538" s="14">
        <f>IFERROR(__xludf.DUMMYFUNCTION("GOOGLEFINANCE(A1538,""HIGH"")"),53.1)</f>
        <v>53.1</v>
      </c>
      <c r="E1538" s="14">
        <f>IFERROR(__xludf.DUMMYFUNCTION("GOOGLEFINANCE(A1538,""LOW"")"),51.23)</f>
        <v>51.23</v>
      </c>
      <c r="F1538" s="15" t="str">
        <f t="shared" si="8"/>
        <v/>
      </c>
      <c r="G1538" s="16">
        <f>IFERROR(__xludf.DUMMYFUNCTION("GOOGLEFINANCE(A1538,""CLOSEYEST"")"),52.23)</f>
        <v>52.23</v>
      </c>
      <c r="H1538" s="17" t="str">
        <f t="shared" si="14"/>
        <v/>
      </c>
      <c r="I1538" s="18">
        <f t="shared" si="9"/>
        <v>52.18666667</v>
      </c>
      <c r="J1538" s="19">
        <f t="shared" si="10"/>
        <v>53.14333333</v>
      </c>
      <c r="K1538" s="19"/>
      <c r="L1538" s="19">
        <f t="shared" si="11"/>
        <v>51.27333333</v>
      </c>
      <c r="M1538" s="19">
        <f t="shared" si="12"/>
        <v>54.05666667</v>
      </c>
      <c r="N1538" s="19">
        <f t="shared" si="13"/>
        <v>50.31666667</v>
      </c>
    </row>
    <row r="1539" ht="24.75" customHeight="1">
      <c r="A1539" s="21" t="s">
        <v>1502</v>
      </c>
      <c r="B1539" s="13">
        <f>IFERROR(__xludf.DUMMYFUNCTION("GOOGLEFINANCE(A1539,""PRICE"")"),1.0)</f>
        <v>1</v>
      </c>
      <c r="C1539" s="14">
        <f>IFERROR(__xludf.DUMMYFUNCTION("GOOGLEFINANCE(A1539,""PRICEOPEN"")"),1.0)</f>
        <v>1</v>
      </c>
      <c r="D1539" s="14">
        <f>IFERROR(__xludf.DUMMYFUNCTION("GOOGLEFINANCE(A1539,""HIGH"")"),1.06)</f>
        <v>1.06</v>
      </c>
      <c r="E1539" s="14">
        <f>IFERROR(__xludf.DUMMYFUNCTION("GOOGLEFINANCE(A1539,""LOW"")"),0.97)</f>
        <v>0.97</v>
      </c>
      <c r="F1539" s="15" t="str">
        <f t="shared" si="8"/>
        <v/>
      </c>
      <c r="G1539" s="16">
        <f>IFERROR(__xludf.DUMMYFUNCTION("GOOGLEFINANCE(A1539,""CLOSEYEST"")"),0.99)</f>
        <v>0.99</v>
      </c>
      <c r="H1539" s="17" t="str">
        <f t="shared" si="14"/>
        <v>GAP UP</v>
      </c>
      <c r="I1539" s="18">
        <f t="shared" si="9"/>
        <v>1.006666667</v>
      </c>
      <c r="J1539" s="19">
        <f t="shared" si="10"/>
        <v>1.043333333</v>
      </c>
      <c r="K1539" s="19"/>
      <c r="L1539" s="19">
        <f t="shared" si="11"/>
        <v>0.9533333333</v>
      </c>
      <c r="M1539" s="19">
        <f t="shared" si="12"/>
        <v>1.096666667</v>
      </c>
      <c r="N1539" s="19">
        <f t="shared" si="13"/>
        <v>0.9166666667</v>
      </c>
    </row>
    <row r="1540" ht="24.75" customHeight="1">
      <c r="A1540" s="21" t="s">
        <v>1503</v>
      </c>
      <c r="B1540" s="13">
        <f>IFERROR(__xludf.DUMMYFUNCTION("GOOGLEFINANCE(A1540,""PRICE"")"),73.08)</f>
        <v>73.08</v>
      </c>
      <c r="C1540" s="14">
        <f>IFERROR(__xludf.DUMMYFUNCTION("GOOGLEFINANCE(A1540,""PRICEOPEN"")"),72.25)</f>
        <v>72.25</v>
      </c>
      <c r="D1540" s="14">
        <f>IFERROR(__xludf.DUMMYFUNCTION("GOOGLEFINANCE(A1540,""HIGH"")"),73.08)</f>
        <v>73.08</v>
      </c>
      <c r="E1540" s="14">
        <f>IFERROR(__xludf.DUMMYFUNCTION("GOOGLEFINANCE(A1540,""LOW"")"),71.55)</f>
        <v>71.55</v>
      </c>
      <c r="F1540" s="15" t="str">
        <f t="shared" si="8"/>
        <v/>
      </c>
      <c r="G1540" s="16">
        <f>IFERROR(__xludf.DUMMYFUNCTION("GOOGLEFINANCE(A1540,""CLOSEYEST"")"),72.22)</f>
        <v>72.22</v>
      </c>
      <c r="H1540" s="17" t="str">
        <f t="shared" si="14"/>
        <v/>
      </c>
      <c r="I1540" s="18">
        <f t="shared" si="9"/>
        <v>72.28333333</v>
      </c>
      <c r="J1540" s="19">
        <f t="shared" si="10"/>
        <v>73.01666667</v>
      </c>
      <c r="K1540" s="19"/>
      <c r="L1540" s="19">
        <f t="shared" si="11"/>
        <v>71.48666667</v>
      </c>
      <c r="M1540" s="19">
        <f t="shared" si="12"/>
        <v>73.81333333</v>
      </c>
      <c r="N1540" s="19">
        <f t="shared" si="13"/>
        <v>70.75333333</v>
      </c>
    </row>
    <row r="1541" ht="24.75" customHeight="1">
      <c r="A1541" s="21" t="s">
        <v>1504</v>
      </c>
      <c r="B1541" s="13">
        <f>IFERROR(__xludf.DUMMYFUNCTION("GOOGLEFINANCE(A1541,""PRICE"")"),71.4)</f>
        <v>71.4</v>
      </c>
      <c r="C1541" s="14">
        <f>IFERROR(__xludf.DUMMYFUNCTION("GOOGLEFINANCE(A1541,""PRICEOPEN"")"),69.85)</f>
        <v>69.85</v>
      </c>
      <c r="D1541" s="14">
        <f>IFERROR(__xludf.DUMMYFUNCTION("GOOGLEFINANCE(A1541,""HIGH"")"),72.0)</f>
        <v>72</v>
      </c>
      <c r="E1541" s="14">
        <f>IFERROR(__xludf.DUMMYFUNCTION("GOOGLEFINANCE(A1541,""LOW"")"),69.52)</f>
        <v>69.52</v>
      </c>
      <c r="F1541" s="15" t="str">
        <f t="shared" si="8"/>
        <v/>
      </c>
      <c r="G1541" s="16">
        <f>IFERROR(__xludf.DUMMYFUNCTION("GOOGLEFINANCE(A1541,""CLOSEYEST"")"),69.85)</f>
        <v>69.85</v>
      </c>
      <c r="H1541" s="17" t="str">
        <f t="shared" si="14"/>
        <v/>
      </c>
      <c r="I1541" s="18">
        <f t="shared" si="9"/>
        <v>70.45666667</v>
      </c>
      <c r="J1541" s="19">
        <f t="shared" si="10"/>
        <v>71.39333333</v>
      </c>
      <c r="K1541" s="19"/>
      <c r="L1541" s="19">
        <f t="shared" si="11"/>
        <v>68.91333333</v>
      </c>
      <c r="M1541" s="19">
        <f t="shared" si="12"/>
        <v>72.93666667</v>
      </c>
      <c r="N1541" s="19">
        <f t="shared" si="13"/>
        <v>67.97666667</v>
      </c>
    </row>
    <row r="1542" ht="24.75" customHeight="1">
      <c r="A1542" s="21" t="s">
        <v>1505</v>
      </c>
      <c r="B1542" s="13" t="str">
        <f>IFERROR(__xludf.DUMMYFUNCTION("GOOGLEFINANCE(A1542,""PRICE"")"),"#N/A")</f>
        <v>#N/A</v>
      </c>
      <c r="C1542" s="14" t="str">
        <f>IFERROR(__xludf.DUMMYFUNCTION("GOOGLEFINANCE(A1542,""PRICEOPEN"")"),"#N/A")</f>
        <v>#N/A</v>
      </c>
      <c r="D1542" s="14" t="str">
        <f>IFERROR(__xludf.DUMMYFUNCTION("GOOGLEFINANCE(A1542,""HIGH"")"),"#N/A")</f>
        <v>#N/A</v>
      </c>
      <c r="E1542" s="14" t="str">
        <f>IFERROR(__xludf.DUMMYFUNCTION("GOOGLEFINANCE(A1542,""LOW"")"),"#N/A")</f>
        <v>#N/A</v>
      </c>
      <c r="F1542" s="15" t="str">
        <f t="shared" si="8"/>
        <v>#N/A</v>
      </c>
      <c r="G1542" s="16" t="str">
        <f>IFERROR(__xludf.DUMMYFUNCTION("GOOGLEFINANCE(A1542,""CLOSEYEST"")"),"#N/A")</f>
        <v>#N/A</v>
      </c>
      <c r="H1542" s="17" t="str">
        <f t="shared" si="14"/>
        <v>#N/A</v>
      </c>
      <c r="I1542" s="18" t="str">
        <f t="shared" si="9"/>
        <v>#N/A</v>
      </c>
      <c r="J1542" s="19" t="str">
        <f t="shared" si="10"/>
        <v>#N/A</v>
      </c>
      <c r="K1542" s="19"/>
      <c r="L1542" s="19" t="str">
        <f t="shared" si="11"/>
        <v>#N/A</v>
      </c>
      <c r="M1542" s="19" t="str">
        <f t="shared" si="12"/>
        <v>#N/A</v>
      </c>
      <c r="N1542" s="19" t="str">
        <f t="shared" si="13"/>
        <v>#N/A</v>
      </c>
    </row>
    <row r="1543" ht="24.75" customHeight="1">
      <c r="A1543" s="21" t="s">
        <v>1506</v>
      </c>
      <c r="B1543" s="13">
        <f>IFERROR(__xludf.DUMMYFUNCTION("GOOGLEFINANCE(A1543,""PRICE"")"),14.01)</f>
        <v>14.01</v>
      </c>
      <c r="C1543" s="14">
        <f>IFERROR(__xludf.DUMMYFUNCTION("GOOGLEFINANCE(A1543,""PRICEOPEN"")"),13.95)</f>
        <v>13.95</v>
      </c>
      <c r="D1543" s="14">
        <f>IFERROR(__xludf.DUMMYFUNCTION("GOOGLEFINANCE(A1543,""HIGH"")"),14.04)</f>
        <v>14.04</v>
      </c>
      <c r="E1543" s="14">
        <f>IFERROR(__xludf.DUMMYFUNCTION("GOOGLEFINANCE(A1543,""LOW"")"),13.95)</f>
        <v>13.95</v>
      </c>
      <c r="F1543" s="15" t="str">
        <f t="shared" si="8"/>
        <v>BUY</v>
      </c>
      <c r="G1543" s="16">
        <f>IFERROR(__xludf.DUMMYFUNCTION("GOOGLEFINANCE(A1543,""CLOSEYEST"")"),14.0)</f>
        <v>14</v>
      </c>
      <c r="H1543" s="17" t="str">
        <f t="shared" si="14"/>
        <v/>
      </c>
      <c r="I1543" s="18">
        <f t="shared" si="9"/>
        <v>13.99666667</v>
      </c>
      <c r="J1543" s="19">
        <f t="shared" si="10"/>
        <v>14.04333333</v>
      </c>
      <c r="K1543" s="19"/>
      <c r="L1543" s="19">
        <f t="shared" si="11"/>
        <v>13.95333333</v>
      </c>
      <c r="M1543" s="19">
        <f t="shared" si="12"/>
        <v>14.08666667</v>
      </c>
      <c r="N1543" s="19">
        <f t="shared" si="13"/>
        <v>13.90666667</v>
      </c>
    </row>
    <row r="1544" ht="24.75" customHeight="1">
      <c r="A1544" s="21" t="s">
        <v>1507</v>
      </c>
      <c r="B1544" s="13">
        <f>IFERROR(__xludf.DUMMYFUNCTION("GOOGLEFINANCE(A1544,""PRICE"")"),38.9)</f>
        <v>38.9</v>
      </c>
      <c r="C1544" s="14">
        <f>IFERROR(__xludf.DUMMYFUNCTION("GOOGLEFINANCE(A1544,""PRICEOPEN"")"),37.32)</f>
        <v>37.32</v>
      </c>
      <c r="D1544" s="14">
        <f>IFERROR(__xludf.DUMMYFUNCTION("GOOGLEFINANCE(A1544,""HIGH"")"),40.0)</f>
        <v>40</v>
      </c>
      <c r="E1544" s="14">
        <f>IFERROR(__xludf.DUMMYFUNCTION("GOOGLEFINANCE(A1544,""LOW"")"),37.32)</f>
        <v>37.32</v>
      </c>
      <c r="F1544" s="15" t="str">
        <f t="shared" si="8"/>
        <v>BUY</v>
      </c>
      <c r="G1544" s="16">
        <f>IFERROR(__xludf.DUMMYFUNCTION("GOOGLEFINANCE(A1544,""CLOSEYEST"")"),37.31)</f>
        <v>37.31</v>
      </c>
      <c r="H1544" s="17" t="str">
        <f t="shared" si="14"/>
        <v/>
      </c>
      <c r="I1544" s="18">
        <f t="shared" si="9"/>
        <v>38.21</v>
      </c>
      <c r="J1544" s="19">
        <f t="shared" si="10"/>
        <v>39.1</v>
      </c>
      <c r="K1544" s="19"/>
      <c r="L1544" s="19">
        <f t="shared" si="11"/>
        <v>36.42</v>
      </c>
      <c r="M1544" s="19">
        <f t="shared" si="12"/>
        <v>40.89</v>
      </c>
      <c r="N1544" s="19">
        <f t="shared" si="13"/>
        <v>35.53</v>
      </c>
    </row>
    <row r="1545" ht="24.75" customHeight="1">
      <c r="A1545" s="21" t="s">
        <v>1508</v>
      </c>
      <c r="B1545" s="13">
        <f>IFERROR(__xludf.DUMMYFUNCTION("GOOGLEFINANCE(A1545,""PRICE"")"),49.31)</f>
        <v>49.31</v>
      </c>
      <c r="C1545" s="14">
        <f>IFERROR(__xludf.DUMMYFUNCTION("GOOGLEFINANCE(A1545,""PRICEOPEN"")"),49.48)</f>
        <v>49.48</v>
      </c>
      <c r="D1545" s="14">
        <f>IFERROR(__xludf.DUMMYFUNCTION("GOOGLEFINANCE(A1545,""HIGH"")"),49.48)</f>
        <v>49.48</v>
      </c>
      <c r="E1545" s="14">
        <f>IFERROR(__xludf.DUMMYFUNCTION("GOOGLEFINANCE(A1545,""LOW"")"),49.48)</f>
        <v>49.48</v>
      </c>
      <c r="F1545" s="15" t="str">
        <f t="shared" si="8"/>
        <v>SELL</v>
      </c>
      <c r="G1545" s="16">
        <f>IFERROR(__xludf.DUMMYFUNCTION("GOOGLEFINANCE(A1545,""CLOSEYEST"")"),49.31)</f>
        <v>49.31</v>
      </c>
      <c r="H1545" s="17" t="str">
        <f t="shared" si="14"/>
        <v/>
      </c>
      <c r="I1545" s="18">
        <f t="shared" si="9"/>
        <v>49.42333333</v>
      </c>
      <c r="J1545" s="19">
        <f t="shared" si="10"/>
        <v>49.36666667</v>
      </c>
      <c r="K1545" s="19"/>
      <c r="L1545" s="19">
        <f t="shared" si="11"/>
        <v>49.36666667</v>
      </c>
      <c r="M1545" s="19">
        <f t="shared" si="12"/>
        <v>49.42333333</v>
      </c>
      <c r="N1545" s="19">
        <f t="shared" si="13"/>
        <v>49.42333333</v>
      </c>
    </row>
    <row r="1546" ht="24.75" customHeight="1">
      <c r="A1546" s="21" t="s">
        <v>1509</v>
      </c>
      <c r="B1546" s="13">
        <f>IFERROR(__xludf.DUMMYFUNCTION("GOOGLEFINANCE(A1546,""PRICE"")"),70.9)</f>
        <v>70.9</v>
      </c>
      <c r="C1546" s="14">
        <f>IFERROR(__xludf.DUMMYFUNCTION("GOOGLEFINANCE(A1546,""PRICEOPEN"")"),70.01)</f>
        <v>70.01</v>
      </c>
      <c r="D1546" s="14">
        <f>IFERROR(__xludf.DUMMYFUNCTION("GOOGLEFINANCE(A1546,""HIGH"")"),70.98)</f>
        <v>70.98</v>
      </c>
      <c r="E1546" s="14">
        <f>IFERROR(__xludf.DUMMYFUNCTION("GOOGLEFINANCE(A1546,""LOW"")"),70.0)</f>
        <v>70</v>
      </c>
      <c r="F1546" s="15" t="str">
        <f t="shared" si="8"/>
        <v/>
      </c>
      <c r="G1546" s="16">
        <f>IFERROR(__xludf.DUMMYFUNCTION("GOOGLEFINANCE(A1546,""CLOSEYEST"")"),70.0)</f>
        <v>70</v>
      </c>
      <c r="H1546" s="17" t="str">
        <f t="shared" si="14"/>
        <v/>
      </c>
      <c r="I1546" s="18">
        <f t="shared" si="9"/>
        <v>70.32666667</v>
      </c>
      <c r="J1546" s="19">
        <f t="shared" si="10"/>
        <v>70.65333333</v>
      </c>
      <c r="K1546" s="19"/>
      <c r="L1546" s="19">
        <f t="shared" si="11"/>
        <v>69.67333333</v>
      </c>
      <c r="M1546" s="19">
        <f t="shared" si="12"/>
        <v>71.30666667</v>
      </c>
      <c r="N1546" s="19">
        <f t="shared" si="13"/>
        <v>69.34666667</v>
      </c>
    </row>
    <row r="1547" ht="24.75" customHeight="1">
      <c r="A1547" s="21" t="s">
        <v>1510</v>
      </c>
      <c r="B1547" s="13">
        <f>IFERROR(__xludf.DUMMYFUNCTION("GOOGLEFINANCE(A1547,""PRICE"")"),136.5)</f>
        <v>136.5</v>
      </c>
      <c r="C1547" s="14">
        <f>IFERROR(__xludf.DUMMYFUNCTION("GOOGLEFINANCE(A1547,""PRICEOPEN"")"),131.45)</f>
        <v>131.45</v>
      </c>
      <c r="D1547" s="14">
        <f>IFERROR(__xludf.DUMMYFUNCTION("GOOGLEFINANCE(A1547,""HIGH"")"),138.8)</f>
        <v>138.8</v>
      </c>
      <c r="E1547" s="14">
        <f>IFERROR(__xludf.DUMMYFUNCTION("GOOGLEFINANCE(A1547,""LOW"")"),131.45)</f>
        <v>131.45</v>
      </c>
      <c r="F1547" s="15" t="str">
        <f t="shared" si="8"/>
        <v>BUY</v>
      </c>
      <c r="G1547" s="16">
        <f>IFERROR(__xludf.DUMMYFUNCTION("GOOGLEFINANCE(A1547,""CLOSEYEST"")"),132.23)</f>
        <v>132.23</v>
      </c>
      <c r="H1547" s="17" t="str">
        <f t="shared" si="14"/>
        <v/>
      </c>
      <c r="I1547" s="18">
        <f t="shared" si="9"/>
        <v>134.16</v>
      </c>
      <c r="J1547" s="19">
        <f t="shared" si="10"/>
        <v>136.87</v>
      </c>
      <c r="K1547" s="19"/>
      <c r="L1547" s="19">
        <f t="shared" si="11"/>
        <v>129.52</v>
      </c>
      <c r="M1547" s="19">
        <f t="shared" si="12"/>
        <v>141.51</v>
      </c>
      <c r="N1547" s="19">
        <f t="shared" si="13"/>
        <v>126.81</v>
      </c>
    </row>
    <row r="1548" ht="24.75" customHeight="1">
      <c r="A1548" s="21" t="s">
        <v>1511</v>
      </c>
      <c r="B1548" s="13" t="str">
        <f>IFERROR(__xludf.DUMMYFUNCTION("GOOGLEFINANCE(A1548,""PRICE"")"),"#N/A")</f>
        <v>#N/A</v>
      </c>
      <c r="C1548" s="14" t="str">
        <f>IFERROR(__xludf.DUMMYFUNCTION("GOOGLEFINANCE(A1548,""PRICEOPEN"")"),"#N/A")</f>
        <v>#N/A</v>
      </c>
      <c r="D1548" s="14" t="str">
        <f>IFERROR(__xludf.DUMMYFUNCTION("GOOGLEFINANCE(A1548,""HIGH"")"),"#N/A")</f>
        <v>#N/A</v>
      </c>
      <c r="E1548" s="14" t="str">
        <f>IFERROR(__xludf.DUMMYFUNCTION("GOOGLEFINANCE(A1548,""LOW"")"),"#N/A")</f>
        <v>#N/A</v>
      </c>
      <c r="F1548" s="15" t="str">
        <f t="shared" si="8"/>
        <v>#N/A</v>
      </c>
      <c r="G1548" s="16" t="str">
        <f>IFERROR(__xludf.DUMMYFUNCTION("GOOGLEFINANCE(A1548,""CLOSEYEST"")"),"#N/A")</f>
        <v>#N/A</v>
      </c>
      <c r="H1548" s="17" t="str">
        <f t="shared" si="14"/>
        <v>#N/A</v>
      </c>
      <c r="I1548" s="18" t="str">
        <f t="shared" si="9"/>
        <v>#N/A</v>
      </c>
      <c r="J1548" s="19" t="str">
        <f t="shared" si="10"/>
        <v>#N/A</v>
      </c>
      <c r="K1548" s="19"/>
      <c r="L1548" s="19" t="str">
        <f t="shared" si="11"/>
        <v>#N/A</v>
      </c>
      <c r="M1548" s="19" t="str">
        <f t="shared" si="12"/>
        <v>#N/A</v>
      </c>
      <c r="N1548" s="19" t="str">
        <f t="shared" si="13"/>
        <v>#N/A</v>
      </c>
    </row>
    <row r="1549" ht="24.75" customHeight="1">
      <c r="A1549" s="21" t="s">
        <v>1512</v>
      </c>
      <c r="B1549" s="13">
        <f>IFERROR(__xludf.DUMMYFUNCTION("GOOGLEFINANCE(A1549,""PRICE"")"),50.6)</f>
        <v>50.6</v>
      </c>
      <c r="C1549" s="14">
        <f>IFERROR(__xludf.DUMMYFUNCTION("GOOGLEFINANCE(A1549,""PRICEOPEN"")"),49.06)</f>
        <v>49.06</v>
      </c>
      <c r="D1549" s="14">
        <f>IFERROR(__xludf.DUMMYFUNCTION("GOOGLEFINANCE(A1549,""HIGH"")"),51.5)</f>
        <v>51.5</v>
      </c>
      <c r="E1549" s="14">
        <f>IFERROR(__xludf.DUMMYFUNCTION("GOOGLEFINANCE(A1549,""LOW"")"),49.06)</f>
        <v>49.06</v>
      </c>
      <c r="F1549" s="15" t="str">
        <f t="shared" si="8"/>
        <v>BUY</v>
      </c>
      <c r="G1549" s="16">
        <f>IFERROR(__xludf.DUMMYFUNCTION("GOOGLEFINANCE(A1549,""CLOSEYEST"")"),49.65)</f>
        <v>49.65</v>
      </c>
      <c r="H1549" s="17" t="str">
        <f t="shared" si="14"/>
        <v>GAP DOWN</v>
      </c>
      <c r="I1549" s="18">
        <f t="shared" si="9"/>
        <v>50.07</v>
      </c>
      <c r="J1549" s="19">
        <f t="shared" si="10"/>
        <v>51.08</v>
      </c>
      <c r="K1549" s="19"/>
      <c r="L1549" s="19">
        <f t="shared" si="11"/>
        <v>48.64</v>
      </c>
      <c r="M1549" s="19">
        <f t="shared" si="12"/>
        <v>52.51</v>
      </c>
      <c r="N1549" s="19">
        <f t="shared" si="13"/>
        <v>47.63</v>
      </c>
    </row>
    <row r="1550" ht="24.75" customHeight="1">
      <c r="A1550" s="21" t="s">
        <v>1513</v>
      </c>
      <c r="B1550" s="13">
        <f>IFERROR(__xludf.DUMMYFUNCTION("GOOGLEFINANCE(A1550,""PRICE"")"),1098.7)</f>
        <v>1098.7</v>
      </c>
      <c r="C1550" s="14">
        <f>IFERROR(__xludf.DUMMYFUNCTION("GOOGLEFINANCE(A1550,""PRICEOPEN"")"),1098.7)</f>
        <v>1098.7</v>
      </c>
      <c r="D1550" s="14">
        <f>IFERROR(__xludf.DUMMYFUNCTION("GOOGLEFINANCE(A1550,""HIGH"")"),1098.7)</f>
        <v>1098.7</v>
      </c>
      <c r="E1550" s="14">
        <f>IFERROR(__xludf.DUMMYFUNCTION("GOOGLEFINANCE(A1550,""LOW"")"),1098.7)</f>
        <v>1098.7</v>
      </c>
      <c r="F1550" s="15" t="str">
        <f t="shared" si="8"/>
        <v>SELL</v>
      </c>
      <c r="G1550" s="16">
        <f>IFERROR(__xludf.DUMMYFUNCTION("GOOGLEFINANCE(A1550,""CLOSEYEST"")"),1156.5)</f>
        <v>1156.5</v>
      </c>
      <c r="H1550" s="17" t="str">
        <f t="shared" si="14"/>
        <v>GAP DOWN</v>
      </c>
      <c r="I1550" s="18">
        <f t="shared" si="9"/>
        <v>1117.966667</v>
      </c>
      <c r="J1550" s="19">
        <f t="shared" si="10"/>
        <v>1137.233333</v>
      </c>
      <c r="K1550" s="19"/>
      <c r="L1550" s="19">
        <f t="shared" si="11"/>
        <v>1137.233333</v>
      </c>
      <c r="M1550" s="19">
        <f t="shared" si="12"/>
        <v>1117.966667</v>
      </c>
      <c r="N1550" s="19">
        <f t="shared" si="13"/>
        <v>1117.966667</v>
      </c>
    </row>
    <row r="1551" ht="24.75" customHeight="1">
      <c r="A1551" s="21" t="s">
        <v>1514</v>
      </c>
      <c r="B1551" s="13">
        <f>IFERROR(__xludf.DUMMYFUNCTION("GOOGLEFINANCE(A1551,""PRICE"")"),1.72)</f>
        <v>1.72</v>
      </c>
      <c r="C1551" s="14">
        <f>IFERROR(__xludf.DUMMYFUNCTION("GOOGLEFINANCE(A1551,""PRICEOPEN"")"),1.72)</f>
        <v>1.72</v>
      </c>
      <c r="D1551" s="14">
        <f>IFERROR(__xludf.DUMMYFUNCTION("GOOGLEFINANCE(A1551,""HIGH"")"),1.72)</f>
        <v>1.72</v>
      </c>
      <c r="E1551" s="14">
        <f>IFERROR(__xludf.DUMMYFUNCTION("GOOGLEFINANCE(A1551,""LOW"")"),1.72)</f>
        <v>1.72</v>
      </c>
      <c r="F1551" s="15" t="str">
        <f t="shared" si="8"/>
        <v>SELL</v>
      </c>
      <c r="G1551" s="16">
        <f>IFERROR(__xludf.DUMMYFUNCTION("GOOGLEFINANCE(A1551,""CLOSEYEST"")"),1.69)</f>
        <v>1.69</v>
      </c>
      <c r="H1551" s="17" t="str">
        <f t="shared" si="14"/>
        <v>GAP UP</v>
      </c>
      <c r="I1551" s="18">
        <f t="shared" si="9"/>
        <v>1.71</v>
      </c>
      <c r="J1551" s="19">
        <f t="shared" si="10"/>
        <v>1.7</v>
      </c>
      <c r="K1551" s="19"/>
      <c r="L1551" s="19">
        <f t="shared" si="11"/>
        <v>1.7</v>
      </c>
      <c r="M1551" s="19">
        <f t="shared" si="12"/>
        <v>1.71</v>
      </c>
      <c r="N1551" s="19">
        <f t="shared" si="13"/>
        <v>1.71</v>
      </c>
    </row>
    <row r="1552" ht="24.75" customHeight="1">
      <c r="A1552" s="21" t="s">
        <v>1515</v>
      </c>
      <c r="B1552" s="13">
        <f>IFERROR(__xludf.DUMMYFUNCTION("GOOGLEFINANCE(A1552,""PRICE"")"),1.94)</f>
        <v>1.94</v>
      </c>
      <c r="C1552" s="14">
        <f>IFERROR(__xludf.DUMMYFUNCTION("GOOGLEFINANCE(A1552,""PRICEOPEN"")"),1.96)</f>
        <v>1.96</v>
      </c>
      <c r="D1552" s="14">
        <f>IFERROR(__xludf.DUMMYFUNCTION("GOOGLEFINANCE(A1552,""HIGH"")"),1.96)</f>
        <v>1.96</v>
      </c>
      <c r="E1552" s="14">
        <f>IFERROR(__xludf.DUMMYFUNCTION("GOOGLEFINANCE(A1552,""LOW"")"),1.9)</f>
        <v>1.9</v>
      </c>
      <c r="F1552" s="15" t="str">
        <f t="shared" si="8"/>
        <v>SELL</v>
      </c>
      <c r="G1552" s="16">
        <f>IFERROR(__xludf.DUMMYFUNCTION("GOOGLEFINANCE(A1552,""CLOSEYEST"")"),1.91)</f>
        <v>1.91</v>
      </c>
      <c r="H1552" s="17" t="str">
        <f t="shared" si="14"/>
        <v>GAP UP</v>
      </c>
      <c r="I1552" s="18">
        <f t="shared" si="9"/>
        <v>1.923333333</v>
      </c>
      <c r="J1552" s="19">
        <f t="shared" si="10"/>
        <v>1.946666667</v>
      </c>
      <c r="K1552" s="19"/>
      <c r="L1552" s="19">
        <f t="shared" si="11"/>
        <v>1.886666667</v>
      </c>
      <c r="M1552" s="19">
        <f t="shared" si="12"/>
        <v>1.983333333</v>
      </c>
      <c r="N1552" s="19">
        <f t="shared" si="13"/>
        <v>1.863333333</v>
      </c>
    </row>
    <row r="1553" ht="24.75" customHeight="1">
      <c r="A1553" s="21" t="s">
        <v>1516</v>
      </c>
      <c r="B1553" s="13" t="str">
        <f>IFERROR(__xludf.DUMMYFUNCTION("GOOGLEFINANCE(A1553,""PRICE"")"),"#N/A")</f>
        <v>#N/A</v>
      </c>
      <c r="C1553" s="14" t="str">
        <f>IFERROR(__xludf.DUMMYFUNCTION("GOOGLEFINANCE(A1553,""PRICEOPEN"")"),"#N/A")</f>
        <v>#N/A</v>
      </c>
      <c r="D1553" s="14" t="str">
        <f>IFERROR(__xludf.DUMMYFUNCTION("GOOGLEFINANCE(A1553,""HIGH"")"),"#N/A")</f>
        <v>#N/A</v>
      </c>
      <c r="E1553" s="14" t="str">
        <f>IFERROR(__xludf.DUMMYFUNCTION("GOOGLEFINANCE(A1553,""LOW"")"),"#N/A")</f>
        <v>#N/A</v>
      </c>
      <c r="F1553" s="15" t="str">
        <f t="shared" si="8"/>
        <v>#N/A</v>
      </c>
      <c r="G1553" s="16" t="str">
        <f>IFERROR(__xludf.DUMMYFUNCTION("GOOGLEFINANCE(A1553,""CLOSEYEST"")"),"#N/A")</f>
        <v>#N/A</v>
      </c>
      <c r="H1553" s="17" t="str">
        <f t="shared" si="14"/>
        <v>#N/A</v>
      </c>
      <c r="I1553" s="18" t="str">
        <f t="shared" si="9"/>
        <v>#N/A</v>
      </c>
      <c r="J1553" s="19" t="str">
        <f t="shared" si="10"/>
        <v>#N/A</v>
      </c>
      <c r="K1553" s="19"/>
      <c r="L1553" s="19" t="str">
        <f t="shared" si="11"/>
        <v>#N/A</v>
      </c>
      <c r="M1553" s="19" t="str">
        <f t="shared" si="12"/>
        <v>#N/A</v>
      </c>
      <c r="N1553" s="19" t="str">
        <f t="shared" si="13"/>
        <v>#N/A</v>
      </c>
    </row>
    <row r="1554" ht="24.75" customHeight="1">
      <c r="A1554" s="21" t="s">
        <v>1517</v>
      </c>
      <c r="B1554" s="13">
        <f>IFERROR(__xludf.DUMMYFUNCTION("GOOGLEFINANCE(A1554,""PRICE"")"),7.09)</f>
        <v>7.09</v>
      </c>
      <c r="C1554" s="14">
        <f>IFERROR(__xludf.DUMMYFUNCTION("GOOGLEFINANCE(A1554,""PRICEOPEN"")"),7.14)</f>
        <v>7.14</v>
      </c>
      <c r="D1554" s="14">
        <f>IFERROR(__xludf.DUMMYFUNCTION("GOOGLEFINANCE(A1554,""HIGH"")"),7.14)</f>
        <v>7.14</v>
      </c>
      <c r="E1554" s="14">
        <f>IFERROR(__xludf.DUMMYFUNCTION("GOOGLEFINANCE(A1554,""LOW"")"),6.93)</f>
        <v>6.93</v>
      </c>
      <c r="F1554" s="15" t="str">
        <f t="shared" si="8"/>
        <v>SELL</v>
      </c>
      <c r="G1554" s="16">
        <f>IFERROR(__xludf.DUMMYFUNCTION("GOOGLEFINANCE(A1554,""CLOSEYEST"")"),7.02)</f>
        <v>7.02</v>
      </c>
      <c r="H1554" s="17" t="str">
        <f t="shared" si="14"/>
        <v>GAP UP</v>
      </c>
      <c r="I1554" s="18">
        <f t="shared" si="9"/>
        <v>7.03</v>
      </c>
      <c r="J1554" s="19">
        <f t="shared" si="10"/>
        <v>7.13</v>
      </c>
      <c r="K1554" s="19"/>
      <c r="L1554" s="19">
        <f t="shared" si="11"/>
        <v>6.92</v>
      </c>
      <c r="M1554" s="19">
        <f t="shared" si="12"/>
        <v>7.24</v>
      </c>
      <c r="N1554" s="19">
        <f t="shared" si="13"/>
        <v>6.82</v>
      </c>
    </row>
    <row r="1555" ht="24.75" customHeight="1">
      <c r="A1555" s="21" t="s">
        <v>1518</v>
      </c>
      <c r="B1555" s="13">
        <f>IFERROR(__xludf.DUMMYFUNCTION("GOOGLEFINANCE(A1555,""PRICE"")"),59.53)</f>
        <v>59.53</v>
      </c>
      <c r="C1555" s="14">
        <f>IFERROR(__xludf.DUMMYFUNCTION("GOOGLEFINANCE(A1555,""PRICEOPEN"")"),59.68)</f>
        <v>59.68</v>
      </c>
      <c r="D1555" s="14">
        <f>IFERROR(__xludf.DUMMYFUNCTION("GOOGLEFINANCE(A1555,""HIGH"")"),62.2)</f>
        <v>62.2</v>
      </c>
      <c r="E1555" s="14">
        <f>IFERROR(__xludf.DUMMYFUNCTION("GOOGLEFINANCE(A1555,""LOW"")"),59.0)</f>
        <v>59</v>
      </c>
      <c r="F1555" s="15" t="str">
        <f t="shared" si="8"/>
        <v/>
      </c>
      <c r="G1555" s="16">
        <f>IFERROR(__xludf.DUMMYFUNCTION("GOOGLEFINANCE(A1555,""CLOSEYEST"")"),59.7)</f>
        <v>59.7</v>
      </c>
      <c r="H1555" s="17" t="str">
        <f t="shared" si="14"/>
        <v/>
      </c>
      <c r="I1555" s="18">
        <f t="shared" si="9"/>
        <v>60.3</v>
      </c>
      <c r="J1555" s="19">
        <f t="shared" si="10"/>
        <v>61.6</v>
      </c>
      <c r="K1555" s="19"/>
      <c r="L1555" s="19">
        <f t="shared" si="11"/>
        <v>58.4</v>
      </c>
      <c r="M1555" s="19">
        <f t="shared" si="12"/>
        <v>63.5</v>
      </c>
      <c r="N1555" s="19">
        <f t="shared" si="13"/>
        <v>57.1</v>
      </c>
    </row>
    <row r="1556" ht="24.75" customHeight="1">
      <c r="A1556" s="21" t="s">
        <v>1519</v>
      </c>
      <c r="B1556" s="13">
        <f>IFERROR(__xludf.DUMMYFUNCTION("GOOGLEFINANCE(A1556,""PRICE"")"),67.85)</f>
        <v>67.85</v>
      </c>
      <c r="C1556" s="14">
        <f>IFERROR(__xludf.DUMMYFUNCTION("GOOGLEFINANCE(A1556,""PRICEOPEN"")"),67.14)</f>
        <v>67.14</v>
      </c>
      <c r="D1556" s="14">
        <f>IFERROR(__xludf.DUMMYFUNCTION("GOOGLEFINANCE(A1556,""HIGH"")"),67.85)</f>
        <v>67.85</v>
      </c>
      <c r="E1556" s="14">
        <f>IFERROR(__xludf.DUMMYFUNCTION("GOOGLEFINANCE(A1556,""LOW"")"),65.41)</f>
        <v>65.41</v>
      </c>
      <c r="F1556" s="15" t="str">
        <f t="shared" si="8"/>
        <v/>
      </c>
      <c r="G1556" s="16">
        <f>IFERROR(__xludf.DUMMYFUNCTION("GOOGLEFINANCE(A1556,""CLOSEYEST"")"),65.25)</f>
        <v>65.25</v>
      </c>
      <c r="H1556" s="17" t="str">
        <f t="shared" si="14"/>
        <v>GAP UP</v>
      </c>
      <c r="I1556" s="18">
        <f t="shared" si="9"/>
        <v>66.17</v>
      </c>
      <c r="J1556" s="19">
        <f t="shared" si="10"/>
        <v>66.93</v>
      </c>
      <c r="K1556" s="19"/>
      <c r="L1556" s="19">
        <f t="shared" si="11"/>
        <v>64.49</v>
      </c>
      <c r="M1556" s="19">
        <f t="shared" si="12"/>
        <v>68.61</v>
      </c>
      <c r="N1556" s="19">
        <f t="shared" si="13"/>
        <v>63.73</v>
      </c>
    </row>
    <row r="1557" ht="24.75" customHeight="1">
      <c r="A1557" s="21" t="s">
        <v>1520</v>
      </c>
      <c r="B1557" s="13">
        <f>IFERROR(__xludf.DUMMYFUNCTION("GOOGLEFINANCE(A1557,""PRICE"")"),109.4)</f>
        <v>109.4</v>
      </c>
      <c r="C1557" s="14">
        <f>IFERROR(__xludf.DUMMYFUNCTION("GOOGLEFINANCE(A1557,""PRICEOPEN"")"),110.21)</f>
        <v>110.21</v>
      </c>
      <c r="D1557" s="14">
        <f>IFERROR(__xludf.DUMMYFUNCTION("GOOGLEFINANCE(A1557,""HIGH"")"),110.21)</f>
        <v>110.21</v>
      </c>
      <c r="E1557" s="14">
        <f>IFERROR(__xludf.DUMMYFUNCTION("GOOGLEFINANCE(A1557,""LOW"")"),107.04)</f>
        <v>107.04</v>
      </c>
      <c r="F1557" s="15" t="str">
        <f t="shared" si="8"/>
        <v>SELL</v>
      </c>
      <c r="G1557" s="16">
        <f>IFERROR(__xludf.DUMMYFUNCTION("GOOGLEFINANCE(A1557,""CLOSEYEST"")"),109.12)</f>
        <v>109.12</v>
      </c>
      <c r="H1557" s="17" t="str">
        <f t="shared" si="14"/>
        <v/>
      </c>
      <c r="I1557" s="18">
        <f t="shared" si="9"/>
        <v>108.79</v>
      </c>
      <c r="J1557" s="19">
        <f t="shared" si="10"/>
        <v>110.54</v>
      </c>
      <c r="K1557" s="19"/>
      <c r="L1557" s="19">
        <f t="shared" si="11"/>
        <v>107.37</v>
      </c>
      <c r="M1557" s="19">
        <f t="shared" si="12"/>
        <v>111.96</v>
      </c>
      <c r="N1557" s="19">
        <f t="shared" si="13"/>
        <v>105.62</v>
      </c>
    </row>
    <row r="1558" ht="24.75" customHeight="1">
      <c r="A1558" s="21" t="s">
        <v>1521</v>
      </c>
      <c r="B1558" s="13">
        <f>IFERROR(__xludf.DUMMYFUNCTION("GOOGLEFINANCE(A1558,""PRICE"")"),265.25)</f>
        <v>265.25</v>
      </c>
      <c r="C1558" s="14">
        <f>IFERROR(__xludf.DUMMYFUNCTION("GOOGLEFINANCE(A1558,""PRICEOPEN"")"),263.85)</f>
        <v>263.85</v>
      </c>
      <c r="D1558" s="14">
        <f>IFERROR(__xludf.DUMMYFUNCTION("GOOGLEFINANCE(A1558,""HIGH"")"),267.9)</f>
        <v>267.9</v>
      </c>
      <c r="E1558" s="14">
        <f>IFERROR(__xludf.DUMMYFUNCTION("GOOGLEFINANCE(A1558,""LOW"")"),263.8)</f>
        <v>263.8</v>
      </c>
      <c r="F1558" s="15" t="str">
        <f t="shared" si="8"/>
        <v/>
      </c>
      <c r="G1558" s="16">
        <f>IFERROR(__xludf.DUMMYFUNCTION("GOOGLEFINANCE(A1558,""CLOSEYEST"")"),263.75)</f>
        <v>263.75</v>
      </c>
      <c r="H1558" s="17" t="str">
        <f t="shared" si="14"/>
        <v/>
      </c>
      <c r="I1558" s="18">
        <f t="shared" si="9"/>
        <v>265.15</v>
      </c>
      <c r="J1558" s="19">
        <f t="shared" si="10"/>
        <v>266.5</v>
      </c>
      <c r="K1558" s="19"/>
      <c r="L1558" s="19">
        <f t="shared" si="11"/>
        <v>262.4</v>
      </c>
      <c r="M1558" s="19">
        <f t="shared" si="12"/>
        <v>269.25</v>
      </c>
      <c r="N1558" s="19">
        <f t="shared" si="13"/>
        <v>261.05</v>
      </c>
    </row>
    <row r="1559" ht="24.75" customHeight="1">
      <c r="A1559" s="21" t="s">
        <v>1522</v>
      </c>
      <c r="B1559" s="13">
        <f>IFERROR(__xludf.DUMMYFUNCTION("GOOGLEFINANCE(A1559,""PRICE"")"),457.0)</f>
        <v>457</v>
      </c>
      <c r="C1559" s="14">
        <f>IFERROR(__xludf.DUMMYFUNCTION("GOOGLEFINANCE(A1559,""PRICEOPEN"")"),454.0)</f>
        <v>454</v>
      </c>
      <c r="D1559" s="14">
        <f>IFERROR(__xludf.DUMMYFUNCTION("GOOGLEFINANCE(A1559,""HIGH"")"),468.0)</f>
        <v>468</v>
      </c>
      <c r="E1559" s="14">
        <f>IFERROR(__xludf.DUMMYFUNCTION("GOOGLEFINANCE(A1559,""LOW"")"),446.0)</f>
        <v>446</v>
      </c>
      <c r="F1559" s="15" t="str">
        <f t="shared" si="8"/>
        <v/>
      </c>
      <c r="G1559" s="16">
        <f>IFERROR(__xludf.DUMMYFUNCTION("GOOGLEFINANCE(A1559,""CLOSEYEST"")"),454.0)</f>
        <v>454</v>
      </c>
      <c r="H1559" s="17" t="str">
        <f t="shared" si="14"/>
        <v/>
      </c>
      <c r="I1559" s="18">
        <f t="shared" si="9"/>
        <v>456</v>
      </c>
      <c r="J1559" s="19">
        <f t="shared" si="10"/>
        <v>466</v>
      </c>
      <c r="K1559" s="19"/>
      <c r="L1559" s="19">
        <f t="shared" si="11"/>
        <v>444</v>
      </c>
      <c r="M1559" s="19">
        <f t="shared" si="12"/>
        <v>478</v>
      </c>
      <c r="N1559" s="19">
        <f t="shared" si="13"/>
        <v>434</v>
      </c>
    </row>
    <row r="1560" ht="24.75" customHeight="1">
      <c r="A1560" s="21" t="s">
        <v>1523</v>
      </c>
      <c r="B1560" s="13" t="str">
        <f>IFERROR(__xludf.DUMMYFUNCTION("GOOGLEFINANCE(A1560,""PRICE"")"),"#N/A")</f>
        <v>#N/A</v>
      </c>
      <c r="C1560" s="14" t="str">
        <f>IFERROR(__xludf.DUMMYFUNCTION("GOOGLEFINANCE(A1560,""PRICEOPEN"")"),"#N/A")</f>
        <v>#N/A</v>
      </c>
      <c r="D1560" s="14" t="str">
        <f>IFERROR(__xludf.DUMMYFUNCTION("GOOGLEFINANCE(A1560,""HIGH"")"),"#N/A")</f>
        <v>#N/A</v>
      </c>
      <c r="E1560" s="14" t="str">
        <f>IFERROR(__xludf.DUMMYFUNCTION("GOOGLEFINANCE(A1560,""LOW"")"),"#N/A")</f>
        <v>#N/A</v>
      </c>
      <c r="F1560" s="15" t="str">
        <f t="shared" si="8"/>
        <v>#N/A</v>
      </c>
      <c r="G1560" s="16" t="str">
        <f>IFERROR(__xludf.DUMMYFUNCTION("GOOGLEFINANCE(A1560,""CLOSEYEST"")"),"#N/A")</f>
        <v>#N/A</v>
      </c>
      <c r="H1560" s="17" t="str">
        <f t="shared" si="14"/>
        <v>#N/A</v>
      </c>
      <c r="I1560" s="18" t="str">
        <f t="shared" si="9"/>
        <v>#N/A</v>
      </c>
      <c r="J1560" s="19" t="str">
        <f t="shared" si="10"/>
        <v>#N/A</v>
      </c>
      <c r="K1560" s="19"/>
      <c r="L1560" s="19" t="str">
        <f t="shared" si="11"/>
        <v>#N/A</v>
      </c>
      <c r="M1560" s="19" t="str">
        <f t="shared" si="12"/>
        <v>#N/A</v>
      </c>
      <c r="N1560" s="19" t="str">
        <f t="shared" si="13"/>
        <v>#N/A</v>
      </c>
    </row>
    <row r="1561" ht="24.75" customHeight="1">
      <c r="A1561" s="21" t="s">
        <v>1524</v>
      </c>
      <c r="B1561" s="13" t="str">
        <f>IFERROR(__xludf.DUMMYFUNCTION("GOOGLEFINANCE(A1561,""PRICE"")"),"#N/A")</f>
        <v>#N/A</v>
      </c>
      <c r="C1561" s="14" t="str">
        <f>IFERROR(__xludf.DUMMYFUNCTION("GOOGLEFINANCE(A1561,""PRICEOPEN"")"),"#N/A")</f>
        <v>#N/A</v>
      </c>
      <c r="D1561" s="14" t="str">
        <f>IFERROR(__xludf.DUMMYFUNCTION("GOOGLEFINANCE(A1561,""HIGH"")"),"#N/A")</f>
        <v>#N/A</v>
      </c>
      <c r="E1561" s="14" t="str">
        <f>IFERROR(__xludf.DUMMYFUNCTION("GOOGLEFINANCE(A1561,""LOW"")"),"#N/A")</f>
        <v>#N/A</v>
      </c>
      <c r="F1561" s="15" t="str">
        <f t="shared" si="8"/>
        <v>#N/A</v>
      </c>
      <c r="G1561" s="16" t="str">
        <f>IFERROR(__xludf.DUMMYFUNCTION("GOOGLEFINANCE(A1561,""CLOSEYEST"")"),"#N/A")</f>
        <v>#N/A</v>
      </c>
      <c r="H1561" s="17" t="str">
        <f t="shared" si="14"/>
        <v>#N/A</v>
      </c>
      <c r="I1561" s="18" t="str">
        <f t="shared" si="9"/>
        <v>#N/A</v>
      </c>
      <c r="J1561" s="19" t="str">
        <f t="shared" si="10"/>
        <v>#N/A</v>
      </c>
      <c r="K1561" s="19"/>
      <c r="L1561" s="19" t="str">
        <f t="shared" si="11"/>
        <v>#N/A</v>
      </c>
      <c r="M1561" s="19" t="str">
        <f t="shared" si="12"/>
        <v>#N/A</v>
      </c>
      <c r="N1561" s="19" t="str">
        <f t="shared" si="13"/>
        <v>#N/A</v>
      </c>
    </row>
    <row r="1562" ht="24.75" customHeight="1">
      <c r="A1562" s="21" t="s">
        <v>1525</v>
      </c>
      <c r="B1562" s="13">
        <f>IFERROR(__xludf.DUMMYFUNCTION("GOOGLEFINANCE(A1562,""PRICE"")"),14.5)</f>
        <v>14.5</v>
      </c>
      <c r="C1562" s="14">
        <f>IFERROR(__xludf.DUMMYFUNCTION("GOOGLEFINANCE(A1562,""PRICEOPEN"")"),14.58)</f>
        <v>14.58</v>
      </c>
      <c r="D1562" s="14">
        <f>IFERROR(__xludf.DUMMYFUNCTION("GOOGLEFINANCE(A1562,""HIGH"")"),14.77)</f>
        <v>14.77</v>
      </c>
      <c r="E1562" s="14">
        <f>IFERROR(__xludf.DUMMYFUNCTION("GOOGLEFINANCE(A1562,""LOW"")"),14.23)</f>
        <v>14.23</v>
      </c>
      <c r="F1562" s="15" t="str">
        <f t="shared" si="8"/>
        <v/>
      </c>
      <c r="G1562" s="16">
        <f>IFERROR(__xludf.DUMMYFUNCTION("GOOGLEFINANCE(A1562,""CLOSEYEST"")"),14.45)</f>
        <v>14.45</v>
      </c>
      <c r="H1562" s="17" t="str">
        <f t="shared" si="14"/>
        <v/>
      </c>
      <c r="I1562" s="18">
        <f t="shared" si="9"/>
        <v>14.48333333</v>
      </c>
      <c r="J1562" s="19">
        <f t="shared" si="10"/>
        <v>14.73666667</v>
      </c>
      <c r="K1562" s="19"/>
      <c r="L1562" s="19">
        <f t="shared" si="11"/>
        <v>14.19666667</v>
      </c>
      <c r="M1562" s="19">
        <f t="shared" si="12"/>
        <v>15.02333333</v>
      </c>
      <c r="N1562" s="19">
        <f t="shared" si="13"/>
        <v>13.94333333</v>
      </c>
    </row>
    <row r="1563" ht="24.75" customHeight="1">
      <c r="A1563" s="21" t="s">
        <v>1526</v>
      </c>
      <c r="B1563" s="13">
        <f>IFERROR(__xludf.DUMMYFUNCTION("GOOGLEFINANCE(A1563,""PRICE"")"),26.25)</f>
        <v>26.25</v>
      </c>
      <c r="C1563" s="14">
        <f>IFERROR(__xludf.DUMMYFUNCTION("GOOGLEFINANCE(A1563,""PRICEOPEN"")"),26.21)</f>
        <v>26.21</v>
      </c>
      <c r="D1563" s="14">
        <f>IFERROR(__xludf.DUMMYFUNCTION("GOOGLEFINANCE(A1563,""HIGH"")"),26.59)</f>
        <v>26.59</v>
      </c>
      <c r="E1563" s="14">
        <f>IFERROR(__xludf.DUMMYFUNCTION("GOOGLEFINANCE(A1563,""LOW"")"),26.01)</f>
        <v>26.01</v>
      </c>
      <c r="F1563" s="15" t="str">
        <f t="shared" si="8"/>
        <v/>
      </c>
      <c r="G1563" s="16">
        <f>IFERROR(__xludf.DUMMYFUNCTION("GOOGLEFINANCE(A1563,""CLOSEYEST"")"),26.21)</f>
        <v>26.21</v>
      </c>
      <c r="H1563" s="17" t="str">
        <f t="shared" si="14"/>
        <v/>
      </c>
      <c r="I1563" s="18">
        <f t="shared" si="9"/>
        <v>26.27</v>
      </c>
      <c r="J1563" s="19">
        <f t="shared" si="10"/>
        <v>26.53</v>
      </c>
      <c r="K1563" s="19"/>
      <c r="L1563" s="19">
        <f t="shared" si="11"/>
        <v>25.95</v>
      </c>
      <c r="M1563" s="19">
        <f t="shared" si="12"/>
        <v>26.85</v>
      </c>
      <c r="N1563" s="19">
        <f t="shared" si="13"/>
        <v>25.69</v>
      </c>
    </row>
    <row r="1564" ht="24.75" customHeight="1">
      <c r="A1564" s="21" t="s">
        <v>1527</v>
      </c>
      <c r="B1564" s="13">
        <f>IFERROR(__xludf.DUMMYFUNCTION("GOOGLEFINANCE(A1564,""PRICE"")"),103.78)</f>
        <v>103.78</v>
      </c>
      <c r="C1564" s="14">
        <f>IFERROR(__xludf.DUMMYFUNCTION("GOOGLEFINANCE(A1564,""PRICEOPEN"")"),106.0)</f>
        <v>106</v>
      </c>
      <c r="D1564" s="14">
        <f>IFERROR(__xludf.DUMMYFUNCTION("GOOGLEFINANCE(A1564,""HIGH"")"),106.0)</f>
        <v>106</v>
      </c>
      <c r="E1564" s="14">
        <f>IFERROR(__xludf.DUMMYFUNCTION("GOOGLEFINANCE(A1564,""LOW"")"),101.5)</f>
        <v>101.5</v>
      </c>
      <c r="F1564" s="15" t="str">
        <f t="shared" si="8"/>
        <v>SELL</v>
      </c>
      <c r="G1564" s="16">
        <f>IFERROR(__xludf.DUMMYFUNCTION("GOOGLEFINANCE(A1564,""CLOSEYEST"")"),102.8)</f>
        <v>102.8</v>
      </c>
      <c r="H1564" s="17" t="str">
        <f t="shared" si="14"/>
        <v>GAP UP</v>
      </c>
      <c r="I1564" s="18">
        <f t="shared" si="9"/>
        <v>103.4333333</v>
      </c>
      <c r="J1564" s="19">
        <f t="shared" si="10"/>
        <v>105.3666667</v>
      </c>
      <c r="K1564" s="19"/>
      <c r="L1564" s="19">
        <f t="shared" si="11"/>
        <v>100.8666667</v>
      </c>
      <c r="M1564" s="19">
        <f t="shared" si="12"/>
        <v>107.9333333</v>
      </c>
      <c r="N1564" s="19">
        <f t="shared" si="13"/>
        <v>98.93333333</v>
      </c>
    </row>
    <row r="1565" ht="24.75" customHeight="1">
      <c r="A1565" s="21" t="s">
        <v>1528</v>
      </c>
      <c r="B1565" s="13" t="str">
        <f>IFERROR(__xludf.DUMMYFUNCTION("GOOGLEFINANCE(A1565,""PRICE"")"),"#N/A")</f>
        <v>#N/A</v>
      </c>
      <c r="C1565" s="14" t="str">
        <f>IFERROR(__xludf.DUMMYFUNCTION("GOOGLEFINANCE(A1565,""PRICEOPEN"")"),"#N/A")</f>
        <v>#N/A</v>
      </c>
      <c r="D1565" s="14" t="str">
        <f>IFERROR(__xludf.DUMMYFUNCTION("GOOGLEFINANCE(A1565,""HIGH"")"),"#N/A")</f>
        <v>#N/A</v>
      </c>
      <c r="E1565" s="14" t="str">
        <f>IFERROR(__xludf.DUMMYFUNCTION("GOOGLEFINANCE(A1565,""LOW"")"),"#N/A")</f>
        <v>#N/A</v>
      </c>
      <c r="F1565" s="15" t="str">
        <f t="shared" si="8"/>
        <v>#N/A</v>
      </c>
      <c r="G1565" s="16" t="str">
        <f>IFERROR(__xludf.DUMMYFUNCTION("GOOGLEFINANCE(A1565,""CLOSEYEST"")"),"#N/A")</f>
        <v>#N/A</v>
      </c>
      <c r="H1565" s="17" t="str">
        <f t="shared" si="14"/>
        <v>#N/A</v>
      </c>
      <c r="I1565" s="18" t="str">
        <f t="shared" si="9"/>
        <v>#N/A</v>
      </c>
      <c r="J1565" s="19" t="str">
        <f t="shared" si="10"/>
        <v>#N/A</v>
      </c>
      <c r="K1565" s="19"/>
      <c r="L1565" s="19" t="str">
        <f t="shared" si="11"/>
        <v>#N/A</v>
      </c>
      <c r="M1565" s="19" t="str">
        <f t="shared" si="12"/>
        <v>#N/A</v>
      </c>
      <c r="N1565" s="19" t="str">
        <f t="shared" si="13"/>
        <v>#N/A</v>
      </c>
    </row>
    <row r="1566" ht="24.75" customHeight="1">
      <c r="A1566" s="21" t="s">
        <v>1529</v>
      </c>
      <c r="B1566" s="13">
        <f>IFERROR(__xludf.DUMMYFUNCTION("GOOGLEFINANCE(A1566,""PRICE"")"),190.0)</f>
        <v>190</v>
      </c>
      <c r="C1566" s="14">
        <f>IFERROR(__xludf.DUMMYFUNCTION("GOOGLEFINANCE(A1566,""PRICEOPEN"")"),183.0)</f>
        <v>183</v>
      </c>
      <c r="D1566" s="14">
        <f>IFERROR(__xludf.DUMMYFUNCTION("GOOGLEFINANCE(A1566,""HIGH"")"),194.48)</f>
        <v>194.48</v>
      </c>
      <c r="E1566" s="14">
        <f>IFERROR(__xludf.DUMMYFUNCTION("GOOGLEFINANCE(A1566,""LOW"")"),181.61)</f>
        <v>181.61</v>
      </c>
      <c r="F1566" s="15" t="str">
        <f t="shared" si="8"/>
        <v/>
      </c>
      <c r="G1566" s="16">
        <f>IFERROR(__xludf.DUMMYFUNCTION("GOOGLEFINANCE(A1566,""CLOSEYEST"")"),180.17)</f>
        <v>180.17</v>
      </c>
      <c r="H1566" s="17" t="str">
        <f t="shared" si="14"/>
        <v>GAP UP</v>
      </c>
      <c r="I1566" s="18">
        <f t="shared" si="9"/>
        <v>185.42</v>
      </c>
      <c r="J1566" s="19">
        <f t="shared" si="10"/>
        <v>189.23</v>
      </c>
      <c r="K1566" s="19"/>
      <c r="L1566" s="19">
        <f t="shared" si="11"/>
        <v>176.36</v>
      </c>
      <c r="M1566" s="19">
        <f t="shared" si="12"/>
        <v>198.29</v>
      </c>
      <c r="N1566" s="19">
        <f t="shared" si="13"/>
        <v>172.55</v>
      </c>
    </row>
    <row r="1567" ht="24.75" customHeight="1">
      <c r="A1567" s="21" t="s">
        <v>1530</v>
      </c>
      <c r="B1567" s="13" t="str">
        <f>IFERROR(__xludf.DUMMYFUNCTION("GOOGLEFINANCE(A1567,""PRICE"")"),"#N/A")</f>
        <v>#N/A</v>
      </c>
      <c r="C1567" s="14" t="str">
        <f>IFERROR(__xludf.DUMMYFUNCTION("GOOGLEFINANCE(A1567,""PRICEOPEN"")"),"#N/A")</f>
        <v>#N/A</v>
      </c>
      <c r="D1567" s="14" t="str">
        <f>IFERROR(__xludf.DUMMYFUNCTION("GOOGLEFINANCE(A1567,""HIGH"")"),"#N/A")</f>
        <v>#N/A</v>
      </c>
      <c r="E1567" s="14" t="str">
        <f>IFERROR(__xludf.DUMMYFUNCTION("GOOGLEFINANCE(A1567,""LOW"")"),"#N/A")</f>
        <v>#N/A</v>
      </c>
      <c r="F1567" s="15" t="str">
        <f t="shared" si="8"/>
        <v>#N/A</v>
      </c>
      <c r="G1567" s="16" t="str">
        <f>IFERROR(__xludf.DUMMYFUNCTION("GOOGLEFINANCE(A1567,""CLOSEYEST"")"),"#N/A")</f>
        <v>#N/A</v>
      </c>
      <c r="H1567" s="17" t="str">
        <f t="shared" si="14"/>
        <v>#N/A</v>
      </c>
      <c r="I1567" s="18" t="str">
        <f t="shared" si="9"/>
        <v>#N/A</v>
      </c>
      <c r="J1567" s="19" t="str">
        <f t="shared" si="10"/>
        <v>#N/A</v>
      </c>
      <c r="K1567" s="19"/>
      <c r="L1567" s="19" t="str">
        <f t="shared" si="11"/>
        <v>#N/A</v>
      </c>
      <c r="M1567" s="19" t="str">
        <f t="shared" si="12"/>
        <v>#N/A</v>
      </c>
      <c r="N1567" s="19" t="str">
        <f t="shared" si="13"/>
        <v>#N/A</v>
      </c>
    </row>
    <row r="1568" ht="24.75" customHeight="1">
      <c r="A1568" s="21" t="s">
        <v>1531</v>
      </c>
      <c r="B1568" s="13">
        <f>IFERROR(__xludf.DUMMYFUNCTION("GOOGLEFINANCE(A1568,""PRICE"")"),323.0)</f>
        <v>323</v>
      </c>
      <c r="C1568" s="14">
        <f>IFERROR(__xludf.DUMMYFUNCTION("GOOGLEFINANCE(A1568,""PRICEOPEN"")"),322.0)</f>
        <v>322</v>
      </c>
      <c r="D1568" s="14">
        <f>IFERROR(__xludf.DUMMYFUNCTION("GOOGLEFINANCE(A1568,""HIGH"")"),324.9)</f>
        <v>324.9</v>
      </c>
      <c r="E1568" s="14">
        <f>IFERROR(__xludf.DUMMYFUNCTION("GOOGLEFINANCE(A1568,""LOW"")"),317.1)</f>
        <v>317.1</v>
      </c>
      <c r="F1568" s="15" t="str">
        <f t="shared" si="8"/>
        <v/>
      </c>
      <c r="G1568" s="16">
        <f>IFERROR(__xludf.DUMMYFUNCTION("GOOGLEFINANCE(A1568,""CLOSEYEST"")"),318.1)</f>
        <v>318.1</v>
      </c>
      <c r="H1568" s="17" t="str">
        <f t="shared" si="14"/>
        <v>GAP UP</v>
      </c>
      <c r="I1568" s="18">
        <f t="shared" si="9"/>
        <v>320.0333333</v>
      </c>
      <c r="J1568" s="19">
        <f t="shared" si="10"/>
        <v>322.9666667</v>
      </c>
      <c r="K1568" s="19"/>
      <c r="L1568" s="19">
        <f t="shared" si="11"/>
        <v>315.1666667</v>
      </c>
      <c r="M1568" s="19">
        <f t="shared" si="12"/>
        <v>327.8333333</v>
      </c>
      <c r="N1568" s="19">
        <f t="shared" si="13"/>
        <v>312.2333333</v>
      </c>
    </row>
    <row r="1569" ht="24.75" customHeight="1">
      <c r="A1569" s="21" t="s">
        <v>1532</v>
      </c>
      <c r="B1569" s="13" t="str">
        <f>IFERROR(__xludf.DUMMYFUNCTION("GOOGLEFINANCE(A1569,""PRICE"")"),"#N/A")</f>
        <v>#N/A</v>
      </c>
      <c r="C1569" s="14" t="str">
        <f>IFERROR(__xludf.DUMMYFUNCTION("GOOGLEFINANCE(A1569,""PRICEOPEN"")"),"#N/A")</f>
        <v>#N/A</v>
      </c>
      <c r="D1569" s="14" t="str">
        <f>IFERROR(__xludf.DUMMYFUNCTION("GOOGLEFINANCE(A1569,""HIGH"")"),"#N/A")</f>
        <v>#N/A</v>
      </c>
      <c r="E1569" s="14" t="str">
        <f>IFERROR(__xludf.DUMMYFUNCTION("GOOGLEFINANCE(A1569,""LOW"")"),"#N/A")</f>
        <v>#N/A</v>
      </c>
      <c r="F1569" s="15" t="str">
        <f t="shared" si="8"/>
        <v>#N/A</v>
      </c>
      <c r="G1569" s="16" t="str">
        <f>IFERROR(__xludf.DUMMYFUNCTION("GOOGLEFINANCE(A1569,""CLOSEYEST"")"),"#N/A")</f>
        <v>#N/A</v>
      </c>
      <c r="H1569" s="17" t="str">
        <f t="shared" si="14"/>
        <v>#N/A</v>
      </c>
      <c r="I1569" s="18" t="str">
        <f t="shared" si="9"/>
        <v>#N/A</v>
      </c>
      <c r="J1569" s="19" t="str">
        <f t="shared" si="10"/>
        <v>#N/A</v>
      </c>
      <c r="K1569" s="19"/>
      <c r="L1569" s="19" t="str">
        <f t="shared" si="11"/>
        <v>#N/A</v>
      </c>
      <c r="M1569" s="19" t="str">
        <f t="shared" si="12"/>
        <v>#N/A</v>
      </c>
      <c r="N1569" s="19" t="str">
        <f t="shared" si="13"/>
        <v>#N/A</v>
      </c>
    </row>
    <row r="1570" ht="24.75" customHeight="1">
      <c r="A1570" s="21" t="s">
        <v>1533</v>
      </c>
      <c r="B1570" s="13">
        <f>IFERROR(__xludf.DUMMYFUNCTION("GOOGLEFINANCE(A1570,""PRICE"")"),749.0)</f>
        <v>749</v>
      </c>
      <c r="C1570" s="14">
        <f>IFERROR(__xludf.DUMMYFUNCTION("GOOGLEFINANCE(A1570,""PRICEOPEN"")"),759.8)</f>
        <v>759.8</v>
      </c>
      <c r="D1570" s="14">
        <f>IFERROR(__xludf.DUMMYFUNCTION("GOOGLEFINANCE(A1570,""HIGH"")"),761.3)</f>
        <v>761.3</v>
      </c>
      <c r="E1570" s="14">
        <f>IFERROR(__xludf.DUMMYFUNCTION("GOOGLEFINANCE(A1570,""LOW"")"),740.1)</f>
        <v>740.1</v>
      </c>
      <c r="F1570" s="15" t="str">
        <f t="shared" si="8"/>
        <v/>
      </c>
      <c r="G1570" s="16">
        <f>IFERROR(__xludf.DUMMYFUNCTION("GOOGLEFINANCE(A1570,""CLOSEYEST"")"),748.2)</f>
        <v>748.2</v>
      </c>
      <c r="H1570" s="17" t="str">
        <f t="shared" si="14"/>
        <v>GAP UP</v>
      </c>
      <c r="I1570" s="18">
        <f t="shared" si="9"/>
        <v>749.8666667</v>
      </c>
      <c r="J1570" s="19">
        <f t="shared" si="10"/>
        <v>759.6333333</v>
      </c>
      <c r="K1570" s="19"/>
      <c r="L1570" s="19">
        <f t="shared" si="11"/>
        <v>738.4333333</v>
      </c>
      <c r="M1570" s="19">
        <f t="shared" si="12"/>
        <v>771.0666667</v>
      </c>
      <c r="N1570" s="19">
        <f t="shared" si="13"/>
        <v>728.6666667</v>
      </c>
    </row>
    <row r="1571" ht="24.75" customHeight="1">
      <c r="A1571" s="21" t="s">
        <v>1534</v>
      </c>
      <c r="B1571" s="13">
        <f>IFERROR(__xludf.DUMMYFUNCTION("GOOGLEFINANCE(A1571,""PRICE"")"),52.6)</f>
        <v>52.6</v>
      </c>
      <c r="C1571" s="14">
        <f>IFERROR(__xludf.DUMMYFUNCTION("GOOGLEFINANCE(A1571,""PRICEOPEN"")"),52.75)</f>
        <v>52.75</v>
      </c>
      <c r="D1571" s="14">
        <f>IFERROR(__xludf.DUMMYFUNCTION("GOOGLEFINANCE(A1571,""HIGH"")"),52.75)</f>
        <v>52.75</v>
      </c>
      <c r="E1571" s="14">
        <f>IFERROR(__xludf.DUMMYFUNCTION("GOOGLEFINANCE(A1571,""LOW"")"),51.5)</f>
        <v>51.5</v>
      </c>
      <c r="F1571" s="15" t="str">
        <f t="shared" si="8"/>
        <v>SELL</v>
      </c>
      <c r="G1571" s="16">
        <f>IFERROR(__xludf.DUMMYFUNCTION("GOOGLEFINANCE(A1571,""CLOSEYEST"")"),51.63)</f>
        <v>51.63</v>
      </c>
      <c r="H1571" s="17" t="str">
        <f t="shared" si="14"/>
        <v>GAP UP</v>
      </c>
      <c r="I1571" s="18">
        <f t="shared" si="9"/>
        <v>51.96</v>
      </c>
      <c r="J1571" s="19">
        <f t="shared" si="10"/>
        <v>52.42</v>
      </c>
      <c r="K1571" s="19"/>
      <c r="L1571" s="19">
        <f t="shared" si="11"/>
        <v>51.17</v>
      </c>
      <c r="M1571" s="19">
        <f t="shared" si="12"/>
        <v>53.21</v>
      </c>
      <c r="N1571" s="19">
        <f t="shared" si="13"/>
        <v>50.71</v>
      </c>
    </row>
    <row r="1572" ht="24.75" customHeight="1">
      <c r="A1572" s="21" t="s">
        <v>1535</v>
      </c>
      <c r="B1572" s="13">
        <f>IFERROR(__xludf.DUMMYFUNCTION("GOOGLEFINANCE(A1572,""PRICE"")"),47.43)</f>
        <v>47.43</v>
      </c>
      <c r="C1572" s="14">
        <f>IFERROR(__xludf.DUMMYFUNCTION("GOOGLEFINANCE(A1572,""PRICEOPEN"")"),47.43)</f>
        <v>47.43</v>
      </c>
      <c r="D1572" s="14">
        <f>IFERROR(__xludf.DUMMYFUNCTION("GOOGLEFINANCE(A1572,""HIGH"")"),47.43)</f>
        <v>47.43</v>
      </c>
      <c r="E1572" s="14">
        <f>IFERROR(__xludf.DUMMYFUNCTION("GOOGLEFINANCE(A1572,""LOW"")"),47.43)</f>
        <v>47.43</v>
      </c>
      <c r="F1572" s="15" t="str">
        <f t="shared" si="8"/>
        <v>SELL</v>
      </c>
      <c r="G1572" s="16">
        <f>IFERROR(__xludf.DUMMYFUNCTION("GOOGLEFINANCE(A1572,""CLOSEYEST"")"),45.18)</f>
        <v>45.18</v>
      </c>
      <c r="H1572" s="17" t="str">
        <f t="shared" si="14"/>
        <v>GAP UP</v>
      </c>
      <c r="I1572" s="18">
        <f t="shared" si="9"/>
        <v>46.68</v>
      </c>
      <c r="J1572" s="19">
        <f t="shared" si="10"/>
        <v>45.93</v>
      </c>
      <c r="K1572" s="19"/>
      <c r="L1572" s="19">
        <f t="shared" si="11"/>
        <v>45.93</v>
      </c>
      <c r="M1572" s="19">
        <f t="shared" si="12"/>
        <v>46.68</v>
      </c>
      <c r="N1572" s="19">
        <f t="shared" si="13"/>
        <v>46.68</v>
      </c>
    </row>
    <row r="1573" ht="24.75" customHeight="1">
      <c r="A1573" s="21" t="s">
        <v>1536</v>
      </c>
      <c r="B1573" s="13">
        <f>IFERROR(__xludf.DUMMYFUNCTION("GOOGLEFINANCE(A1573,""PRICE"")"),75.8)</f>
        <v>75.8</v>
      </c>
      <c r="C1573" s="14">
        <f>IFERROR(__xludf.DUMMYFUNCTION("GOOGLEFINANCE(A1573,""PRICEOPEN"")"),79.9)</f>
        <v>79.9</v>
      </c>
      <c r="D1573" s="14">
        <f>IFERROR(__xludf.DUMMYFUNCTION("GOOGLEFINANCE(A1573,""HIGH"")"),79.9)</f>
        <v>79.9</v>
      </c>
      <c r="E1573" s="14">
        <f>IFERROR(__xludf.DUMMYFUNCTION("GOOGLEFINANCE(A1573,""LOW"")"),75.8)</f>
        <v>75.8</v>
      </c>
      <c r="F1573" s="15" t="str">
        <f t="shared" si="8"/>
        <v>SELL</v>
      </c>
      <c r="G1573" s="16">
        <f>IFERROR(__xludf.DUMMYFUNCTION("GOOGLEFINANCE(A1573,""CLOSEYEST"")"),77.76)</f>
        <v>77.76</v>
      </c>
      <c r="H1573" s="17" t="str">
        <f t="shared" si="14"/>
        <v>GAP UP</v>
      </c>
      <c r="I1573" s="18">
        <f t="shared" si="9"/>
        <v>77.82</v>
      </c>
      <c r="J1573" s="19">
        <f t="shared" si="10"/>
        <v>79.84</v>
      </c>
      <c r="K1573" s="19"/>
      <c r="L1573" s="19">
        <f t="shared" si="11"/>
        <v>75.74</v>
      </c>
      <c r="M1573" s="19">
        <f t="shared" si="12"/>
        <v>81.92</v>
      </c>
      <c r="N1573" s="19">
        <f t="shared" si="13"/>
        <v>73.72</v>
      </c>
    </row>
    <row r="1574" ht="24.75" customHeight="1">
      <c r="A1574" s="21" t="s">
        <v>1537</v>
      </c>
      <c r="B1574" s="13">
        <f>IFERROR(__xludf.DUMMYFUNCTION("GOOGLEFINANCE(A1574,""PRICE"")"),40.28)</f>
        <v>40.28</v>
      </c>
      <c r="C1574" s="14">
        <f>IFERROR(__xludf.DUMMYFUNCTION("GOOGLEFINANCE(A1574,""PRICEOPEN"")"),39.81)</f>
        <v>39.81</v>
      </c>
      <c r="D1574" s="14">
        <f>IFERROR(__xludf.DUMMYFUNCTION("GOOGLEFINANCE(A1574,""HIGH"")"),40.69)</f>
        <v>40.69</v>
      </c>
      <c r="E1574" s="14">
        <f>IFERROR(__xludf.DUMMYFUNCTION("GOOGLEFINANCE(A1574,""LOW"")"),39.81)</f>
        <v>39.81</v>
      </c>
      <c r="F1574" s="15" t="str">
        <f t="shared" si="8"/>
        <v>BUY</v>
      </c>
      <c r="G1574" s="16">
        <f>IFERROR(__xludf.DUMMYFUNCTION("GOOGLEFINANCE(A1574,""CLOSEYEST"")"),40.46)</f>
        <v>40.46</v>
      </c>
      <c r="H1574" s="17" t="str">
        <f t="shared" si="14"/>
        <v>GAP DOWN</v>
      </c>
      <c r="I1574" s="18">
        <f t="shared" si="9"/>
        <v>40.32</v>
      </c>
      <c r="J1574" s="19">
        <f t="shared" si="10"/>
        <v>40.83</v>
      </c>
      <c r="K1574" s="19"/>
      <c r="L1574" s="19">
        <f t="shared" si="11"/>
        <v>39.95</v>
      </c>
      <c r="M1574" s="19">
        <f t="shared" si="12"/>
        <v>41.2</v>
      </c>
      <c r="N1574" s="19">
        <f t="shared" si="13"/>
        <v>39.44</v>
      </c>
    </row>
    <row r="1575" ht="24.75" customHeight="1">
      <c r="A1575" s="21" t="s">
        <v>1538</v>
      </c>
      <c r="B1575" s="13">
        <f>IFERROR(__xludf.DUMMYFUNCTION("GOOGLEFINANCE(A1575,""PRICE"")"),122.9)</f>
        <v>122.9</v>
      </c>
      <c r="C1575" s="14">
        <f>IFERROR(__xludf.DUMMYFUNCTION("GOOGLEFINANCE(A1575,""PRICEOPEN"")"),121.1)</f>
        <v>121.1</v>
      </c>
      <c r="D1575" s="14">
        <f>IFERROR(__xludf.DUMMYFUNCTION("GOOGLEFINANCE(A1575,""HIGH"")"),123.89)</f>
        <v>123.89</v>
      </c>
      <c r="E1575" s="14">
        <f>IFERROR(__xludf.DUMMYFUNCTION("GOOGLEFINANCE(A1575,""LOW"")"),121.1)</f>
        <v>121.1</v>
      </c>
      <c r="F1575" s="15" t="str">
        <f t="shared" si="8"/>
        <v>BUY</v>
      </c>
      <c r="G1575" s="16">
        <f>IFERROR(__xludf.DUMMYFUNCTION("GOOGLEFINANCE(A1575,""CLOSEYEST"")"),122.77)</f>
        <v>122.77</v>
      </c>
      <c r="H1575" s="17" t="str">
        <f t="shared" si="14"/>
        <v>GAP DOWN</v>
      </c>
      <c r="I1575" s="18">
        <f t="shared" si="9"/>
        <v>122.5866667</v>
      </c>
      <c r="J1575" s="19">
        <f t="shared" si="10"/>
        <v>124.0733333</v>
      </c>
      <c r="K1575" s="19"/>
      <c r="L1575" s="19">
        <f t="shared" si="11"/>
        <v>121.2833333</v>
      </c>
      <c r="M1575" s="19">
        <f t="shared" si="12"/>
        <v>125.3766667</v>
      </c>
      <c r="N1575" s="19">
        <f t="shared" si="13"/>
        <v>119.7966667</v>
      </c>
    </row>
    <row r="1576" ht="24.75" customHeight="1">
      <c r="A1576" s="21" t="s">
        <v>1539</v>
      </c>
      <c r="B1576" s="13">
        <f>IFERROR(__xludf.DUMMYFUNCTION("GOOGLEFINANCE(A1576,""PRICE"")"),138.8)</f>
        <v>138.8</v>
      </c>
      <c r="C1576" s="14">
        <f>IFERROR(__xludf.DUMMYFUNCTION("GOOGLEFINANCE(A1576,""PRICEOPEN"")"),131.4)</f>
        <v>131.4</v>
      </c>
      <c r="D1576" s="14">
        <f>IFERROR(__xludf.DUMMYFUNCTION("GOOGLEFINANCE(A1576,""HIGH"")"),139.36)</f>
        <v>139.36</v>
      </c>
      <c r="E1576" s="14">
        <f>IFERROR(__xludf.DUMMYFUNCTION("GOOGLEFINANCE(A1576,""LOW"")"),129.11)</f>
        <v>129.11</v>
      </c>
      <c r="F1576" s="15" t="str">
        <f t="shared" si="8"/>
        <v/>
      </c>
      <c r="G1576" s="16">
        <f>IFERROR(__xludf.DUMMYFUNCTION("GOOGLEFINANCE(A1576,""CLOSEYEST"")"),132.73)</f>
        <v>132.73</v>
      </c>
      <c r="H1576" s="17" t="str">
        <f t="shared" si="14"/>
        <v>GAP DOWN</v>
      </c>
      <c r="I1576" s="18">
        <f t="shared" si="9"/>
        <v>133.7333333</v>
      </c>
      <c r="J1576" s="19">
        <f t="shared" si="10"/>
        <v>138.3566667</v>
      </c>
      <c r="K1576" s="19"/>
      <c r="L1576" s="19">
        <f t="shared" si="11"/>
        <v>128.1066667</v>
      </c>
      <c r="M1576" s="19">
        <f t="shared" si="12"/>
        <v>143.9833333</v>
      </c>
      <c r="N1576" s="19">
        <f t="shared" si="13"/>
        <v>123.4833333</v>
      </c>
    </row>
    <row r="1577" ht="24.75" customHeight="1">
      <c r="A1577" s="21" t="s">
        <v>1540</v>
      </c>
      <c r="B1577" s="13">
        <f>IFERROR(__xludf.DUMMYFUNCTION("GOOGLEFINANCE(A1577,""PRICE"")"),68.5)</f>
        <v>68.5</v>
      </c>
      <c r="C1577" s="14">
        <f>IFERROR(__xludf.DUMMYFUNCTION("GOOGLEFINANCE(A1577,""PRICEOPEN"")"),69.74)</f>
        <v>69.74</v>
      </c>
      <c r="D1577" s="14">
        <f>IFERROR(__xludf.DUMMYFUNCTION("GOOGLEFINANCE(A1577,""HIGH"")"),69.74)</f>
        <v>69.74</v>
      </c>
      <c r="E1577" s="14">
        <f>IFERROR(__xludf.DUMMYFUNCTION("GOOGLEFINANCE(A1577,""LOW"")"),67.07)</f>
        <v>67.07</v>
      </c>
      <c r="F1577" s="15" t="str">
        <f t="shared" si="8"/>
        <v>SELL</v>
      </c>
      <c r="G1577" s="16">
        <f>IFERROR(__xludf.DUMMYFUNCTION("GOOGLEFINANCE(A1577,""CLOSEYEST"")"),68.65)</f>
        <v>68.65</v>
      </c>
      <c r="H1577" s="17" t="str">
        <f t="shared" si="14"/>
        <v>GAP UP</v>
      </c>
      <c r="I1577" s="18">
        <f t="shared" si="9"/>
        <v>68.48666667</v>
      </c>
      <c r="J1577" s="19">
        <f t="shared" si="10"/>
        <v>69.90333333</v>
      </c>
      <c r="K1577" s="19"/>
      <c r="L1577" s="19">
        <f t="shared" si="11"/>
        <v>67.23333333</v>
      </c>
      <c r="M1577" s="19">
        <f t="shared" si="12"/>
        <v>71.15666667</v>
      </c>
      <c r="N1577" s="19">
        <f t="shared" si="13"/>
        <v>65.81666667</v>
      </c>
    </row>
    <row r="1578" ht="24.75" customHeight="1">
      <c r="A1578" s="21" t="s">
        <v>1541</v>
      </c>
      <c r="B1578" s="13">
        <f>IFERROR(__xludf.DUMMYFUNCTION("GOOGLEFINANCE(A1578,""PRICE"")"),24.19)</f>
        <v>24.19</v>
      </c>
      <c r="C1578" s="14">
        <f>IFERROR(__xludf.DUMMYFUNCTION("GOOGLEFINANCE(A1578,""PRICEOPEN"")"),24.14)</f>
        <v>24.14</v>
      </c>
      <c r="D1578" s="14">
        <f>IFERROR(__xludf.DUMMYFUNCTION("GOOGLEFINANCE(A1578,""HIGH"")"),24.5)</f>
        <v>24.5</v>
      </c>
      <c r="E1578" s="14">
        <f>IFERROR(__xludf.DUMMYFUNCTION("GOOGLEFINANCE(A1578,""LOW"")"),23.8)</f>
        <v>23.8</v>
      </c>
      <c r="F1578" s="15" t="str">
        <f t="shared" si="8"/>
        <v/>
      </c>
      <c r="G1578" s="16">
        <f>IFERROR(__xludf.DUMMYFUNCTION("GOOGLEFINANCE(A1578,""CLOSEYEST"")"),24.14)</f>
        <v>24.14</v>
      </c>
      <c r="H1578" s="17" t="str">
        <f t="shared" si="14"/>
        <v/>
      </c>
      <c r="I1578" s="18">
        <f t="shared" si="9"/>
        <v>24.14666667</v>
      </c>
      <c r="J1578" s="19">
        <f t="shared" si="10"/>
        <v>24.49333333</v>
      </c>
      <c r="K1578" s="19"/>
      <c r="L1578" s="19">
        <f t="shared" si="11"/>
        <v>23.79333333</v>
      </c>
      <c r="M1578" s="19">
        <f t="shared" si="12"/>
        <v>24.84666667</v>
      </c>
      <c r="N1578" s="19">
        <f t="shared" si="13"/>
        <v>23.44666667</v>
      </c>
    </row>
    <row r="1579" ht="24.75" customHeight="1">
      <c r="A1579" s="21" t="s">
        <v>1542</v>
      </c>
      <c r="B1579" s="13">
        <f>IFERROR(__xludf.DUMMYFUNCTION("GOOGLEFINANCE(A1579,""PRICE"")"),122.75)</f>
        <v>122.75</v>
      </c>
      <c r="C1579" s="14">
        <f>IFERROR(__xludf.DUMMYFUNCTION("GOOGLEFINANCE(A1579,""PRICEOPEN"")"),123.0)</f>
        <v>123</v>
      </c>
      <c r="D1579" s="14">
        <f>IFERROR(__xludf.DUMMYFUNCTION("GOOGLEFINANCE(A1579,""HIGH"")"),125.0)</f>
        <v>125</v>
      </c>
      <c r="E1579" s="14">
        <f>IFERROR(__xludf.DUMMYFUNCTION("GOOGLEFINANCE(A1579,""LOW"")"),120.3)</f>
        <v>120.3</v>
      </c>
      <c r="F1579" s="15" t="str">
        <f t="shared" si="8"/>
        <v/>
      </c>
      <c r="G1579" s="16">
        <f>IFERROR(__xludf.DUMMYFUNCTION("GOOGLEFINANCE(A1579,""CLOSEYEST"")"),122.89)</f>
        <v>122.89</v>
      </c>
      <c r="H1579" s="17" t="str">
        <f t="shared" si="14"/>
        <v/>
      </c>
      <c r="I1579" s="18">
        <f t="shared" si="9"/>
        <v>122.73</v>
      </c>
      <c r="J1579" s="19">
        <f t="shared" si="10"/>
        <v>125.16</v>
      </c>
      <c r="K1579" s="19"/>
      <c r="L1579" s="19">
        <f t="shared" si="11"/>
        <v>120.46</v>
      </c>
      <c r="M1579" s="19">
        <f t="shared" si="12"/>
        <v>127.43</v>
      </c>
      <c r="N1579" s="19">
        <f t="shared" si="13"/>
        <v>118.03</v>
      </c>
    </row>
    <row r="1580" ht="24.75" customHeight="1">
      <c r="A1580" s="21" t="s">
        <v>1543</v>
      </c>
      <c r="B1580" s="13">
        <f>IFERROR(__xludf.DUMMYFUNCTION("GOOGLEFINANCE(A1580,""PRICE"")"),70.95)</f>
        <v>70.95</v>
      </c>
      <c r="C1580" s="14">
        <f>IFERROR(__xludf.DUMMYFUNCTION("GOOGLEFINANCE(A1580,""PRICEOPEN"")"),71.79)</f>
        <v>71.79</v>
      </c>
      <c r="D1580" s="14">
        <f>IFERROR(__xludf.DUMMYFUNCTION("GOOGLEFINANCE(A1580,""HIGH"")"),72.4)</f>
        <v>72.4</v>
      </c>
      <c r="E1580" s="14">
        <f>IFERROR(__xludf.DUMMYFUNCTION("GOOGLEFINANCE(A1580,""LOW"")"),70.59)</f>
        <v>70.59</v>
      </c>
      <c r="F1580" s="15" t="str">
        <f t="shared" si="8"/>
        <v/>
      </c>
      <c r="G1580" s="16">
        <f>IFERROR(__xludf.DUMMYFUNCTION("GOOGLEFINANCE(A1580,""CLOSEYEST"")"),71.25)</f>
        <v>71.25</v>
      </c>
      <c r="H1580" s="17" t="str">
        <f t="shared" si="14"/>
        <v/>
      </c>
      <c r="I1580" s="18">
        <f t="shared" si="9"/>
        <v>71.41333333</v>
      </c>
      <c r="J1580" s="19">
        <f t="shared" si="10"/>
        <v>72.23666667</v>
      </c>
      <c r="K1580" s="19"/>
      <c r="L1580" s="19">
        <f t="shared" si="11"/>
        <v>70.42666667</v>
      </c>
      <c r="M1580" s="19">
        <f t="shared" si="12"/>
        <v>73.22333333</v>
      </c>
      <c r="N1580" s="19">
        <f t="shared" si="13"/>
        <v>69.60333333</v>
      </c>
    </row>
    <row r="1581" ht="24.75" customHeight="1">
      <c r="A1581" s="21" t="s">
        <v>1544</v>
      </c>
      <c r="B1581" s="13">
        <f>IFERROR(__xludf.DUMMYFUNCTION("GOOGLEFINANCE(A1581,""PRICE"")"),33.5)</f>
        <v>33.5</v>
      </c>
      <c r="C1581" s="14">
        <f>IFERROR(__xludf.DUMMYFUNCTION("GOOGLEFINANCE(A1581,""PRICEOPEN"")"),33.3)</f>
        <v>33.3</v>
      </c>
      <c r="D1581" s="14">
        <f>IFERROR(__xludf.DUMMYFUNCTION("GOOGLEFINANCE(A1581,""HIGH"")"),33.5)</f>
        <v>33.5</v>
      </c>
      <c r="E1581" s="14">
        <f>IFERROR(__xludf.DUMMYFUNCTION("GOOGLEFINANCE(A1581,""LOW"")"),32.6)</f>
        <v>32.6</v>
      </c>
      <c r="F1581" s="15" t="str">
        <f t="shared" si="8"/>
        <v/>
      </c>
      <c r="G1581" s="16">
        <f>IFERROR(__xludf.DUMMYFUNCTION("GOOGLEFINANCE(A1581,""CLOSEYEST"")"),33.19)</f>
        <v>33.19</v>
      </c>
      <c r="H1581" s="17" t="str">
        <f t="shared" si="14"/>
        <v/>
      </c>
      <c r="I1581" s="18">
        <f t="shared" si="9"/>
        <v>33.09666667</v>
      </c>
      <c r="J1581" s="19">
        <f t="shared" si="10"/>
        <v>33.59333333</v>
      </c>
      <c r="K1581" s="19"/>
      <c r="L1581" s="19">
        <f t="shared" si="11"/>
        <v>32.69333333</v>
      </c>
      <c r="M1581" s="19">
        <f t="shared" si="12"/>
        <v>33.99666667</v>
      </c>
      <c r="N1581" s="19">
        <f t="shared" si="13"/>
        <v>32.19666667</v>
      </c>
    </row>
    <row r="1582" ht="24.75" customHeight="1">
      <c r="A1582" s="21" t="s">
        <v>1545</v>
      </c>
      <c r="B1582" s="13">
        <f>IFERROR(__xludf.DUMMYFUNCTION("GOOGLEFINANCE(A1582,""PRICE"")"),91.6)</f>
        <v>91.6</v>
      </c>
      <c r="C1582" s="14">
        <f>IFERROR(__xludf.DUMMYFUNCTION("GOOGLEFINANCE(A1582,""PRICEOPEN"")"),92.9)</f>
        <v>92.9</v>
      </c>
      <c r="D1582" s="14">
        <f>IFERROR(__xludf.DUMMYFUNCTION("GOOGLEFINANCE(A1582,""HIGH"")"),92.9)</f>
        <v>92.9</v>
      </c>
      <c r="E1582" s="14">
        <f>IFERROR(__xludf.DUMMYFUNCTION("GOOGLEFINANCE(A1582,""LOW"")"),91.6)</f>
        <v>91.6</v>
      </c>
      <c r="F1582" s="15" t="str">
        <f t="shared" si="8"/>
        <v>SELL</v>
      </c>
      <c r="G1582" s="16">
        <f>IFERROR(__xludf.DUMMYFUNCTION("GOOGLEFINANCE(A1582,""CLOSEYEST"")"),91.64)</f>
        <v>91.64</v>
      </c>
      <c r="H1582" s="17" t="str">
        <f t="shared" si="14"/>
        <v>GAP UP</v>
      </c>
      <c r="I1582" s="18">
        <f t="shared" si="9"/>
        <v>92.04666667</v>
      </c>
      <c r="J1582" s="19">
        <f t="shared" si="10"/>
        <v>92.49333333</v>
      </c>
      <c r="K1582" s="19"/>
      <c r="L1582" s="19">
        <f t="shared" si="11"/>
        <v>91.19333333</v>
      </c>
      <c r="M1582" s="19">
        <f t="shared" si="12"/>
        <v>93.34666667</v>
      </c>
      <c r="N1582" s="19">
        <f t="shared" si="13"/>
        <v>90.74666667</v>
      </c>
    </row>
    <row r="1583" ht="24.75" customHeight="1">
      <c r="A1583" s="21" t="s">
        <v>1546</v>
      </c>
      <c r="B1583" s="13">
        <f>IFERROR(__xludf.DUMMYFUNCTION("GOOGLEFINANCE(A1583,""PRICE"")"),108.0)</f>
        <v>108</v>
      </c>
      <c r="C1583" s="14">
        <f>IFERROR(__xludf.DUMMYFUNCTION("GOOGLEFINANCE(A1583,""PRICEOPEN"")"),107.0)</f>
        <v>107</v>
      </c>
      <c r="D1583" s="14">
        <f>IFERROR(__xludf.DUMMYFUNCTION("GOOGLEFINANCE(A1583,""HIGH"")"),108.46)</f>
        <v>108.46</v>
      </c>
      <c r="E1583" s="14">
        <f>IFERROR(__xludf.DUMMYFUNCTION("GOOGLEFINANCE(A1583,""LOW"")"),103.0)</f>
        <v>103</v>
      </c>
      <c r="F1583" s="15" t="str">
        <f t="shared" si="8"/>
        <v/>
      </c>
      <c r="G1583" s="16">
        <f>IFERROR(__xludf.DUMMYFUNCTION("GOOGLEFINANCE(A1583,""CLOSEYEST"")"),105.6)</f>
        <v>105.6</v>
      </c>
      <c r="H1583" s="17" t="str">
        <f t="shared" si="14"/>
        <v>GAP UP</v>
      </c>
      <c r="I1583" s="18">
        <f t="shared" si="9"/>
        <v>105.6866667</v>
      </c>
      <c r="J1583" s="19">
        <f t="shared" si="10"/>
        <v>108.3733333</v>
      </c>
      <c r="K1583" s="19"/>
      <c r="L1583" s="19">
        <f t="shared" si="11"/>
        <v>102.9133333</v>
      </c>
      <c r="M1583" s="19">
        <f t="shared" si="12"/>
        <v>111.1466667</v>
      </c>
      <c r="N1583" s="19">
        <f t="shared" si="13"/>
        <v>100.2266667</v>
      </c>
    </row>
    <row r="1584" ht="24.75" customHeight="1">
      <c r="A1584" s="21" t="s">
        <v>1547</v>
      </c>
      <c r="B1584" s="13">
        <f>IFERROR(__xludf.DUMMYFUNCTION("GOOGLEFINANCE(A1584,""PRICE"")"),38.07)</f>
        <v>38.07</v>
      </c>
      <c r="C1584" s="14">
        <f>IFERROR(__xludf.DUMMYFUNCTION("GOOGLEFINANCE(A1584,""PRICEOPEN"")"),38.07)</f>
        <v>38.07</v>
      </c>
      <c r="D1584" s="14">
        <f>IFERROR(__xludf.DUMMYFUNCTION("GOOGLEFINANCE(A1584,""HIGH"")"),38.07)</f>
        <v>38.07</v>
      </c>
      <c r="E1584" s="14">
        <f>IFERROR(__xludf.DUMMYFUNCTION("GOOGLEFINANCE(A1584,""LOW"")"),37.0)</f>
        <v>37</v>
      </c>
      <c r="F1584" s="15" t="str">
        <f t="shared" si="8"/>
        <v>SELL</v>
      </c>
      <c r="G1584" s="16">
        <f>IFERROR(__xludf.DUMMYFUNCTION("GOOGLEFINANCE(A1584,""CLOSEYEST"")"),36.26)</f>
        <v>36.26</v>
      </c>
      <c r="H1584" s="17" t="str">
        <f t="shared" si="14"/>
        <v>GAP UP</v>
      </c>
      <c r="I1584" s="18">
        <f t="shared" si="9"/>
        <v>37.11</v>
      </c>
      <c r="J1584" s="19">
        <f t="shared" si="10"/>
        <v>37.22</v>
      </c>
      <c r="K1584" s="19"/>
      <c r="L1584" s="19">
        <f t="shared" si="11"/>
        <v>36.15</v>
      </c>
      <c r="M1584" s="19">
        <f t="shared" si="12"/>
        <v>38.18</v>
      </c>
      <c r="N1584" s="19">
        <f t="shared" si="13"/>
        <v>36.04</v>
      </c>
    </row>
    <row r="1585" ht="24.75" customHeight="1">
      <c r="A1585" s="21" t="s">
        <v>1548</v>
      </c>
      <c r="B1585" s="13">
        <f>IFERROR(__xludf.DUMMYFUNCTION("GOOGLEFINANCE(A1585,""PRICE"")"),72.5)</f>
        <v>72.5</v>
      </c>
      <c r="C1585" s="14">
        <f>IFERROR(__xludf.DUMMYFUNCTION("GOOGLEFINANCE(A1585,""PRICEOPEN"")"),73.98)</f>
        <v>73.98</v>
      </c>
      <c r="D1585" s="14">
        <f>IFERROR(__xludf.DUMMYFUNCTION("GOOGLEFINANCE(A1585,""HIGH"")"),73.98)</f>
        <v>73.98</v>
      </c>
      <c r="E1585" s="14">
        <f>IFERROR(__xludf.DUMMYFUNCTION("GOOGLEFINANCE(A1585,""LOW"")"),70.91)</f>
        <v>70.91</v>
      </c>
      <c r="F1585" s="15" t="str">
        <f t="shared" si="8"/>
        <v>SELL</v>
      </c>
      <c r="G1585" s="16">
        <f>IFERROR(__xludf.DUMMYFUNCTION("GOOGLEFINANCE(A1585,""CLOSEYEST"")"),70.46)</f>
        <v>70.46</v>
      </c>
      <c r="H1585" s="17" t="str">
        <f t="shared" si="14"/>
        <v>GAP UP</v>
      </c>
      <c r="I1585" s="18">
        <f t="shared" si="9"/>
        <v>71.78333333</v>
      </c>
      <c r="J1585" s="19">
        <f t="shared" si="10"/>
        <v>72.65666667</v>
      </c>
      <c r="K1585" s="19"/>
      <c r="L1585" s="19">
        <f t="shared" si="11"/>
        <v>69.58666667</v>
      </c>
      <c r="M1585" s="19">
        <f t="shared" si="12"/>
        <v>74.85333333</v>
      </c>
      <c r="N1585" s="19">
        <f t="shared" si="13"/>
        <v>68.71333333</v>
      </c>
    </row>
    <row r="1586" ht="24.75" customHeight="1">
      <c r="A1586" s="21" t="s">
        <v>1549</v>
      </c>
      <c r="B1586" s="13">
        <f>IFERROR(__xludf.DUMMYFUNCTION("GOOGLEFINANCE(A1586,""PRICE"")"),9.11)</f>
        <v>9.11</v>
      </c>
      <c r="C1586" s="14">
        <f>IFERROR(__xludf.DUMMYFUNCTION("GOOGLEFINANCE(A1586,""PRICEOPEN"")"),9.11)</f>
        <v>9.11</v>
      </c>
      <c r="D1586" s="14">
        <f>IFERROR(__xludf.DUMMYFUNCTION("GOOGLEFINANCE(A1586,""HIGH"")"),9.11)</f>
        <v>9.11</v>
      </c>
      <c r="E1586" s="14">
        <f>IFERROR(__xludf.DUMMYFUNCTION("GOOGLEFINANCE(A1586,""LOW"")"),9.11)</f>
        <v>9.11</v>
      </c>
      <c r="F1586" s="15" t="str">
        <f t="shared" si="8"/>
        <v>SELL</v>
      </c>
      <c r="G1586" s="16">
        <f>IFERROR(__xludf.DUMMYFUNCTION("GOOGLEFINANCE(A1586,""CLOSEYEST"")"),8.68)</f>
        <v>8.68</v>
      </c>
      <c r="H1586" s="17" t="str">
        <f t="shared" si="14"/>
        <v>GAP UP</v>
      </c>
      <c r="I1586" s="18">
        <f t="shared" si="9"/>
        <v>8.966666667</v>
      </c>
      <c r="J1586" s="19">
        <f t="shared" si="10"/>
        <v>8.823333333</v>
      </c>
      <c r="K1586" s="19"/>
      <c r="L1586" s="19">
        <f t="shared" si="11"/>
        <v>8.823333333</v>
      </c>
      <c r="M1586" s="19">
        <f t="shared" si="12"/>
        <v>8.966666667</v>
      </c>
      <c r="N1586" s="19">
        <f t="shared" si="13"/>
        <v>8.966666667</v>
      </c>
    </row>
    <row r="1587" ht="24.75" customHeight="1">
      <c r="A1587" s="21" t="s">
        <v>1550</v>
      </c>
      <c r="B1587" s="13">
        <f>IFERROR(__xludf.DUMMYFUNCTION("GOOGLEFINANCE(A1587,""PRICE"")"),20.66)</f>
        <v>20.66</v>
      </c>
      <c r="C1587" s="14">
        <f>IFERROR(__xludf.DUMMYFUNCTION("GOOGLEFINANCE(A1587,""PRICEOPEN"")"),21.35)</f>
        <v>21.35</v>
      </c>
      <c r="D1587" s="14">
        <f>IFERROR(__xludf.DUMMYFUNCTION("GOOGLEFINANCE(A1587,""HIGH"")"),21.35)</f>
        <v>21.35</v>
      </c>
      <c r="E1587" s="14">
        <f>IFERROR(__xludf.DUMMYFUNCTION("GOOGLEFINANCE(A1587,""LOW"")"),20.0)</f>
        <v>20</v>
      </c>
      <c r="F1587" s="15" t="str">
        <f t="shared" si="8"/>
        <v>SELL</v>
      </c>
      <c r="G1587" s="16">
        <f>IFERROR(__xludf.DUMMYFUNCTION("GOOGLEFINANCE(A1587,""CLOSEYEST"")"),21.02)</f>
        <v>21.02</v>
      </c>
      <c r="H1587" s="17" t="str">
        <f t="shared" si="14"/>
        <v>GAP UP</v>
      </c>
      <c r="I1587" s="18">
        <f t="shared" si="9"/>
        <v>20.79</v>
      </c>
      <c r="J1587" s="19">
        <f t="shared" si="10"/>
        <v>21.58</v>
      </c>
      <c r="K1587" s="19"/>
      <c r="L1587" s="19">
        <f t="shared" si="11"/>
        <v>20.23</v>
      </c>
      <c r="M1587" s="19">
        <f t="shared" si="12"/>
        <v>22.14</v>
      </c>
      <c r="N1587" s="19">
        <f t="shared" si="13"/>
        <v>19.44</v>
      </c>
    </row>
    <row r="1588" ht="24.75" customHeight="1">
      <c r="A1588" s="21" t="s">
        <v>1551</v>
      </c>
      <c r="B1588" s="13" t="str">
        <f>IFERROR(__xludf.DUMMYFUNCTION("GOOGLEFINANCE(A1588,""PRICE"")"),"#N/A")</f>
        <v>#N/A</v>
      </c>
      <c r="C1588" s="14" t="str">
        <f>IFERROR(__xludf.DUMMYFUNCTION("GOOGLEFINANCE(A1588,""PRICEOPEN"")"),"#N/A")</f>
        <v>#N/A</v>
      </c>
      <c r="D1588" s="14" t="str">
        <f>IFERROR(__xludf.DUMMYFUNCTION("GOOGLEFINANCE(A1588,""HIGH"")"),"#N/A")</f>
        <v>#N/A</v>
      </c>
      <c r="E1588" s="14" t="str">
        <f>IFERROR(__xludf.DUMMYFUNCTION("GOOGLEFINANCE(A1588,""LOW"")"),"#N/A")</f>
        <v>#N/A</v>
      </c>
      <c r="F1588" s="15" t="str">
        <f t="shared" si="8"/>
        <v>#N/A</v>
      </c>
      <c r="G1588" s="16" t="str">
        <f>IFERROR(__xludf.DUMMYFUNCTION("GOOGLEFINANCE(A1588,""CLOSEYEST"")"),"#N/A")</f>
        <v>#N/A</v>
      </c>
      <c r="H1588" s="17" t="str">
        <f t="shared" si="14"/>
        <v>#N/A</v>
      </c>
      <c r="I1588" s="18" t="str">
        <f t="shared" si="9"/>
        <v>#N/A</v>
      </c>
      <c r="J1588" s="19" t="str">
        <f t="shared" si="10"/>
        <v>#N/A</v>
      </c>
      <c r="K1588" s="19"/>
      <c r="L1588" s="19" t="str">
        <f t="shared" si="11"/>
        <v>#N/A</v>
      </c>
      <c r="M1588" s="19" t="str">
        <f t="shared" si="12"/>
        <v>#N/A</v>
      </c>
      <c r="N1588" s="19" t="str">
        <f t="shared" si="13"/>
        <v>#N/A</v>
      </c>
    </row>
    <row r="1589" ht="24.75" customHeight="1">
      <c r="A1589" s="21" t="s">
        <v>1552</v>
      </c>
      <c r="B1589" s="13">
        <f>IFERROR(__xludf.DUMMYFUNCTION("GOOGLEFINANCE(A1589,""PRICE"")"),99.99)</f>
        <v>99.99</v>
      </c>
      <c r="C1589" s="14">
        <f>IFERROR(__xludf.DUMMYFUNCTION("GOOGLEFINANCE(A1589,""PRICEOPEN"")"),101.32)</f>
        <v>101.32</v>
      </c>
      <c r="D1589" s="14">
        <f>IFERROR(__xludf.DUMMYFUNCTION("GOOGLEFINANCE(A1589,""HIGH"")"),102.2)</f>
        <v>102.2</v>
      </c>
      <c r="E1589" s="14">
        <f>IFERROR(__xludf.DUMMYFUNCTION("GOOGLEFINANCE(A1589,""LOW"")"),99.6)</f>
        <v>99.6</v>
      </c>
      <c r="F1589" s="15" t="str">
        <f t="shared" si="8"/>
        <v/>
      </c>
      <c r="G1589" s="16">
        <f>IFERROR(__xludf.DUMMYFUNCTION("GOOGLEFINANCE(A1589,""CLOSEYEST"")"),101.32)</f>
        <v>101.32</v>
      </c>
      <c r="H1589" s="17" t="str">
        <f t="shared" si="14"/>
        <v/>
      </c>
      <c r="I1589" s="18">
        <f t="shared" si="9"/>
        <v>101.04</v>
      </c>
      <c r="J1589" s="19">
        <f t="shared" si="10"/>
        <v>102.48</v>
      </c>
      <c r="K1589" s="19"/>
      <c r="L1589" s="19">
        <f t="shared" si="11"/>
        <v>99.88</v>
      </c>
      <c r="M1589" s="19">
        <f t="shared" si="12"/>
        <v>103.64</v>
      </c>
      <c r="N1589" s="19">
        <f t="shared" si="13"/>
        <v>98.44</v>
      </c>
    </row>
    <row r="1590" ht="24.75" customHeight="1">
      <c r="A1590" s="21" t="s">
        <v>1553</v>
      </c>
      <c r="B1590" s="13">
        <f>IFERROR(__xludf.DUMMYFUNCTION("GOOGLEFINANCE(A1590,""PRICE"")"),102.0)</f>
        <v>102</v>
      </c>
      <c r="C1590" s="14">
        <f>IFERROR(__xludf.DUMMYFUNCTION("GOOGLEFINANCE(A1590,""PRICEOPEN"")"),101.24)</f>
        <v>101.24</v>
      </c>
      <c r="D1590" s="14">
        <f>IFERROR(__xludf.DUMMYFUNCTION("GOOGLEFINANCE(A1590,""HIGH"")"),102.84)</f>
        <v>102.84</v>
      </c>
      <c r="E1590" s="14">
        <f>IFERROR(__xludf.DUMMYFUNCTION("GOOGLEFINANCE(A1590,""LOW"")"),101.05)</f>
        <v>101.05</v>
      </c>
      <c r="F1590" s="15" t="str">
        <f t="shared" si="8"/>
        <v/>
      </c>
      <c r="G1590" s="16">
        <f>IFERROR(__xludf.DUMMYFUNCTION("GOOGLEFINANCE(A1590,""CLOSEYEST"")"),101.85)</f>
        <v>101.85</v>
      </c>
      <c r="H1590" s="17" t="str">
        <f t="shared" si="14"/>
        <v/>
      </c>
      <c r="I1590" s="18">
        <f t="shared" si="9"/>
        <v>101.9133333</v>
      </c>
      <c r="J1590" s="19">
        <f t="shared" si="10"/>
        <v>102.7766667</v>
      </c>
      <c r="K1590" s="19"/>
      <c r="L1590" s="19">
        <f t="shared" si="11"/>
        <v>100.9866667</v>
      </c>
      <c r="M1590" s="19">
        <f t="shared" si="12"/>
        <v>103.7033333</v>
      </c>
      <c r="N1590" s="19">
        <f t="shared" si="13"/>
        <v>100.1233333</v>
      </c>
    </row>
    <row r="1591" ht="24.75" customHeight="1">
      <c r="A1591" s="21" t="s">
        <v>1554</v>
      </c>
      <c r="B1591" s="13">
        <f>IFERROR(__xludf.DUMMYFUNCTION("GOOGLEFINANCE(A1591,""PRICE"")"),0.59)</f>
        <v>0.59</v>
      </c>
      <c r="C1591" s="14">
        <f>IFERROR(__xludf.DUMMYFUNCTION("GOOGLEFINANCE(A1591,""PRICEOPEN"")"),0.59)</f>
        <v>0.59</v>
      </c>
      <c r="D1591" s="14">
        <f>IFERROR(__xludf.DUMMYFUNCTION("GOOGLEFINANCE(A1591,""HIGH"")"),0.6)</f>
        <v>0.6</v>
      </c>
      <c r="E1591" s="14">
        <f>IFERROR(__xludf.DUMMYFUNCTION("GOOGLEFINANCE(A1591,""LOW"")"),0.58)</f>
        <v>0.58</v>
      </c>
      <c r="F1591" s="15" t="str">
        <f t="shared" si="8"/>
        <v/>
      </c>
      <c r="G1591" s="16">
        <f>IFERROR(__xludf.DUMMYFUNCTION("GOOGLEFINANCE(A1591,""CLOSEYEST"")"),0.59)</f>
        <v>0.59</v>
      </c>
      <c r="H1591" s="17" t="str">
        <f t="shared" si="14"/>
        <v/>
      </c>
      <c r="I1591" s="18">
        <f t="shared" si="9"/>
        <v>0.59</v>
      </c>
      <c r="J1591" s="19">
        <f t="shared" si="10"/>
        <v>0.6</v>
      </c>
      <c r="K1591" s="19"/>
      <c r="L1591" s="19">
        <f t="shared" si="11"/>
        <v>0.58</v>
      </c>
      <c r="M1591" s="19">
        <f t="shared" si="12"/>
        <v>0.61</v>
      </c>
      <c r="N1591" s="19">
        <f t="shared" si="13"/>
        <v>0.57</v>
      </c>
    </row>
    <row r="1592" ht="24.75" customHeight="1">
      <c r="A1592" s="21" t="s">
        <v>1555</v>
      </c>
      <c r="B1592" s="13">
        <f>IFERROR(__xludf.DUMMYFUNCTION("GOOGLEFINANCE(A1592,""PRICE"")"),1.22)</f>
        <v>1.22</v>
      </c>
      <c r="C1592" s="14">
        <f>IFERROR(__xludf.DUMMYFUNCTION("GOOGLEFINANCE(A1592,""PRICEOPEN"")"),1.18)</f>
        <v>1.18</v>
      </c>
      <c r="D1592" s="14">
        <f>IFERROR(__xludf.DUMMYFUNCTION("GOOGLEFINANCE(A1592,""HIGH"")"),1.29)</f>
        <v>1.29</v>
      </c>
      <c r="E1592" s="14">
        <f>IFERROR(__xludf.DUMMYFUNCTION("GOOGLEFINANCE(A1592,""LOW"")"),1.18)</f>
        <v>1.18</v>
      </c>
      <c r="F1592" s="15" t="str">
        <f t="shared" si="8"/>
        <v>BUY</v>
      </c>
      <c r="G1592" s="16">
        <f>IFERROR(__xludf.DUMMYFUNCTION("GOOGLEFINANCE(A1592,""CLOSEYEST"")"),1.23)</f>
        <v>1.23</v>
      </c>
      <c r="H1592" s="17" t="str">
        <f t="shared" si="14"/>
        <v>GAP DOWN</v>
      </c>
      <c r="I1592" s="18">
        <f t="shared" si="9"/>
        <v>1.233333333</v>
      </c>
      <c r="J1592" s="19">
        <f t="shared" si="10"/>
        <v>1.286666667</v>
      </c>
      <c r="K1592" s="19"/>
      <c r="L1592" s="19">
        <f t="shared" si="11"/>
        <v>1.176666667</v>
      </c>
      <c r="M1592" s="19">
        <f t="shared" si="12"/>
        <v>1.343333333</v>
      </c>
      <c r="N1592" s="19">
        <f t="shared" si="13"/>
        <v>1.123333333</v>
      </c>
    </row>
    <row r="1593" ht="15.75" customHeight="1">
      <c r="A1593" s="22"/>
    </row>
    <row r="1594" ht="15.75" customHeight="1">
      <c r="A1594" s="22"/>
    </row>
    <row r="1595" ht="15.75" customHeight="1">
      <c r="A1595" s="22"/>
    </row>
  </sheetData>
  <mergeCells count="1">
    <mergeCell ref="B1:N1"/>
  </mergeCells>
  <conditionalFormatting sqref="H2:H1592">
    <cfRule type="containsText" dxfId="0" priority="1" operator="containsText" text="GAP UP">
      <formula>NOT(ISERROR(SEARCH(("GAP UP"),(H2))))</formula>
    </cfRule>
  </conditionalFormatting>
  <conditionalFormatting sqref="H2:H1592">
    <cfRule type="containsText" dxfId="1" priority="2" operator="containsText" text="GAP DOWN">
      <formula>NOT(ISERROR(SEARCH(("GAP DOWN"),(H2))))</formula>
    </cfRule>
  </conditionalFormatting>
  <conditionalFormatting sqref="F2:F1592">
    <cfRule type="containsText" dxfId="0" priority="3" operator="containsText" text="BUY">
      <formula>NOT(ISERROR(SEARCH(("BUY"),(F2))))</formula>
    </cfRule>
  </conditionalFormatting>
  <conditionalFormatting sqref="F2:F1592">
    <cfRule type="containsText" dxfId="2" priority="4" operator="containsText" text="SELL">
      <formula>NOT(ISERROR(SEARCH(("SELL"),(F2))))</formula>
    </cfRule>
  </conditionalFormatting>
  <conditionalFormatting sqref="F2:F1592">
    <cfRule type="containsBlanks" dxfId="3" priority="5">
      <formula>LEN(TRIM(F2))=0</formula>
    </cfRule>
  </conditionalFormatting>
  <conditionalFormatting sqref="H2:H1592">
    <cfRule type="containsBlanks" dxfId="4" priority="6">
      <formula>LEN(TRIM(H2))=0</formula>
    </cfRule>
  </conditionalFormatting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2025-09-12T11:11:05Z</dcterms:created>
  <dc:creator>welcome</dc:creator>
</cp:coreProperties>
</file>